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Markets" sheetId="1" state="visible" r:id="rId1"/>
    <sheet name="Trades" sheetId="2" state="visible" r:id="rId2"/>
    <sheet name="Analysis" sheetId="3" state="visible" r:id="rId3"/>
    <sheet name="Dashboard" sheetId="4" state="visible" r:id="rId4"/>
  </sheets>
  <definedNames>
    <definedName name="SnapshotDate">Dashboard!$C$3</definedName>
    <definedName name="MktTitle">Markets!$A$2:$A$101</definedName>
    <definedName name="MktCat">Markets!$B$2:$B$101</definedName>
    <definedName name="MktYes">Markets!$D$2:$D$101</definedName>
    <definedName name="MktVol24">Markets!$F$2:$F$101</definedName>
    <definedName name="MktTotVol">Markets!$G$2:$G$101</definedName>
    <definedName name="WhaleThreshold">Analysis!$B$8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00"/>
    <numFmt numFmtId="166" formatCode="yyyy-mm-dd h:mm:ss"/>
    <numFmt numFmtId="167" formatCode="yyyy-mm-dd hh:mm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864"/>
      <sz val="14"/>
    </font>
    <font>
      <i val="1"/>
      <color rgb="00595959"/>
      <sz val="9"/>
    </font>
    <font>
      <b val="1"/>
      <sz val="10"/>
    </font>
    <font>
      <b val="1"/>
      <color rgb="001F3864"/>
    </font>
    <font>
      <b val="1"/>
      <color rgb="001F3864"/>
      <sz val="12"/>
    </font>
    <font>
      <b val="1"/>
      <color rgb="00C00000"/>
      <sz val="12"/>
    </font>
    <font>
      <b val="1"/>
      <color rgb="001F3864"/>
      <sz val="16"/>
    </font>
    <font>
      <b val="1"/>
      <sz val="11"/>
    </font>
    <font>
      <b val="1"/>
      <color rgb="00C0000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B9C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4" fontId="5" fillId="0" borderId="0" pivotButton="0" quotePrefix="0" xfId="0"/>
    <xf numFmtId="2" fontId="5" fillId="0" borderId="0" pivotButton="0" quotePrefix="0" xfId="0"/>
    <xf numFmtId="0" fontId="6" fillId="0" borderId="0" pivotButton="0" quotePrefix="0" xfId="0"/>
    <xf numFmtId="0" fontId="7" fillId="3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10" fillId="0" borderId="0" pivotButton="0" quotePrefix="0" xfId="0"/>
    <xf numFmtId="0" fontId="0" fillId="0" borderId="4" pivotButton="0" quotePrefix="0" xfId="0"/>
    <xf numFmtId="0" fontId="9" fillId="0" borderId="1" applyAlignment="1" pivotButton="0" quotePrefix="0" xfId="0">
      <alignment horizontal="left"/>
    </xf>
    <xf numFmtId="0" fontId="0" fillId="0" borderId="1" pivotButton="0" quotePrefix="0" xfId="0"/>
    <xf numFmtId="3" fontId="6" fillId="0" borderId="1" pivotButton="0" quotePrefix="0" xfId="0"/>
  </cellXfs>
  <cellStyles count="1">
    <cellStyle name="Normal" xfId="0" builtinId="0" hidden="0"/>
  </cellStyles>
  <dxfs count="3">
    <dxf>
      <font>
        <b val="1"/>
        <color rgb="00C55A11"/>
      </font>
      <fill>
        <patternFill patternType="solid">
          <fgColor rgb="00FCE4D6"/>
        </patternFill>
      </fill>
    </dxf>
    <dxf>
      <font>
        <b val="1"/>
        <color rgb="009C0006"/>
      </font>
      <fill>
        <patternFill patternType="solid">
          <fgColor rgb="00FFC7CE"/>
        </patternFill>
      </fill>
    </dxf>
    <dxf>
      <font>
        <b val="1"/>
        <color rgb="009C6500"/>
      </font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10 Markets by 24h Volume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'Dashboard'!F8</f>
            </strRef>
          </tx>
          <spPr>
            <a:ln>
              <a:prstDash val="solid"/>
            </a:ln>
          </spPr>
          <cat>
            <numRef>
              <f>'Dashboard'!$E$9:$E$18</f>
            </numRef>
          </cat>
          <val>
            <numRef>
              <f>'Dashboard'!$F$9:$F$18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24h volume (USD)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Daily Trade Volume (top-10 sports markets)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'Dashboard'!F20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'Dashboard'!$E$21:$E$23</f>
            </numRef>
          </cat>
          <val>
            <numRef>
              <f>'Dashboard'!$F$21:$F$23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trade volume (USD)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36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2" customWidth="1" min="2" max="2"/>
    <col width="10" customWidth="1" min="3" max="3"/>
    <col width="10" customWidth="1" min="4" max="4"/>
    <col width="10" customWidth="1" min="5" max="5"/>
    <col width="13" customWidth="1" min="6" max="6"/>
    <col width="15" customWidth="1" min="7" max="7"/>
    <col width="14" customWidth="1" min="8" max="8"/>
    <col width="12" customWidth="1" min="9" max="9"/>
    <col width="12" customWidth="1" min="10" max="10"/>
  </cols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is_sports</t>
        </is>
      </c>
      <c r="D1" s="1" t="inlineStr">
        <is>
          <t>yes_price</t>
        </is>
      </c>
      <c r="E1" s="1" t="inlineStr">
        <is>
          <t>no_price</t>
        </is>
      </c>
      <c r="F1" s="1" t="inlineStr">
        <is>
          <t>volume_24h</t>
        </is>
      </c>
      <c r="G1" s="1" t="inlineStr">
        <is>
          <t>total_volume</t>
        </is>
      </c>
      <c r="H1" s="1" t="inlineStr">
        <is>
          <t>liquidity</t>
        </is>
      </c>
      <c r="I1" s="1" t="inlineStr">
        <is>
          <t>end_date</t>
        </is>
      </c>
      <c r="J1" s="1" t="inlineStr">
        <is>
          <t>days_to_resolution</t>
        </is>
      </c>
    </row>
    <row r="2">
      <c r="A2" t="inlineStr">
        <is>
          <t>Will Croatia win the 2026 FIFA World Cup?</t>
        </is>
      </c>
      <c r="B2" t="inlineStr">
        <is>
          <t>Soccer</t>
        </is>
      </c>
      <c r="C2" t="b">
        <v>1</v>
      </c>
      <c r="D2" s="2" t="n">
        <v>0.0005</v>
      </c>
      <c r="E2" s="2" t="n">
        <v>0.9995000000000001</v>
      </c>
      <c r="F2" s="3" t="n">
        <v>8290650.15</v>
      </c>
      <c r="G2" s="3" t="n">
        <v>109480264.08</v>
      </c>
      <c r="H2" s="3" t="n">
        <v>6886779.04</v>
      </c>
      <c r="I2" s="4" t="n">
        <v>46223</v>
      </c>
      <c r="J2" s="3">
        <f>IF(I2="","",INT(I2)-INT(SnapshotDate))</f>
        <v/>
      </c>
    </row>
    <row r="3">
      <c r="A3" t="inlineStr">
        <is>
          <t>Will Paraguay win the 2026 FIFA World Cup?</t>
        </is>
      </c>
      <c r="B3" t="inlineStr">
        <is>
          <t>Soccer</t>
        </is>
      </c>
      <c r="C3" t="b">
        <v>1</v>
      </c>
      <c r="D3" s="2" t="n">
        <v>0.0015</v>
      </c>
      <c r="E3" s="2" t="n">
        <v>0.9985000000000001</v>
      </c>
      <c r="F3" s="3" t="n">
        <v>7556846.54</v>
      </c>
      <c r="G3" s="3" t="n">
        <v>102040931.45</v>
      </c>
      <c r="H3" s="3" t="n">
        <v>10387239.19</v>
      </c>
      <c r="I3" s="4" t="n">
        <v>46223</v>
      </c>
      <c r="J3" s="3">
        <f>IF(I3="","",INT(I3)-INT(SnapshotDate))</f>
        <v/>
      </c>
    </row>
    <row r="4">
      <c r="A4" t="inlineStr">
        <is>
          <t>Will Spain win the 2026 FIFA World Cup?</t>
        </is>
      </c>
      <c r="B4" t="inlineStr">
        <is>
          <t>Soccer</t>
        </is>
      </c>
      <c r="C4" t="b">
        <v>1</v>
      </c>
      <c r="D4" s="2" t="n">
        <v>0.1235</v>
      </c>
      <c r="E4" s="2" t="n">
        <v>0.8764999999999999</v>
      </c>
      <c r="F4" s="3" t="n">
        <v>5231098.57</v>
      </c>
      <c r="G4" s="3" t="n">
        <v>80313998.66</v>
      </c>
      <c r="H4" s="3" t="n">
        <v>7132753.4</v>
      </c>
      <c r="I4" s="4" t="n">
        <v>46223</v>
      </c>
      <c r="J4" s="3">
        <f>IF(I4="","",INT(I4)-INT(SnapshotDate))</f>
        <v/>
      </c>
    </row>
    <row r="5">
      <c r="A5" t="inlineStr">
        <is>
          <t>Will Portugal win the 2026 FIFA World Cup?</t>
        </is>
      </c>
      <c r="B5" t="inlineStr">
        <is>
          <t>Soccer</t>
        </is>
      </c>
      <c r="C5" t="b">
        <v>1</v>
      </c>
      <c r="D5" s="2" t="n">
        <v>0.065</v>
      </c>
      <c r="E5" s="2" t="n">
        <v>0.9350000000000001</v>
      </c>
      <c r="F5" s="3" t="n">
        <v>4855499.85</v>
      </c>
      <c r="G5" s="3" t="n">
        <v>92255349.56999999</v>
      </c>
      <c r="H5" s="3" t="n">
        <v>1016179.57</v>
      </c>
      <c r="I5" s="4" t="n">
        <v>46223</v>
      </c>
      <c r="J5" s="3">
        <f>IF(I5="","",INT(I5)-INT(SnapshotDate))</f>
        <v/>
      </c>
    </row>
    <row r="6">
      <c r="A6" t="inlineStr">
        <is>
          <t>Will Switzerland win on 2026-07-02?</t>
        </is>
      </c>
      <c r="B6" t="inlineStr">
        <is>
          <t>Soccer</t>
        </is>
      </c>
      <c r="C6" t="b">
        <v>1</v>
      </c>
      <c r="D6" s="2" t="n">
        <v>0.48875</v>
      </c>
      <c r="E6" s="2" t="n">
        <v>0.51125</v>
      </c>
      <c r="F6" s="3" t="n">
        <v>3741587.81</v>
      </c>
      <c r="G6" s="3" t="n">
        <v>4234734.6</v>
      </c>
      <c r="H6" s="3" t="n">
        <v>2204021.24</v>
      </c>
      <c r="I6" s="4" t="n">
        <v>46206</v>
      </c>
      <c r="J6" s="3">
        <f>IF(I6="","",INT(I6)-INT(SnapshotDate))</f>
        <v/>
      </c>
    </row>
    <row r="7">
      <c r="A7" t="inlineStr">
        <is>
          <t>Will Mexico win the 2026 FIFA World Cup?</t>
        </is>
      </c>
      <c r="B7" t="inlineStr">
        <is>
          <t>Soccer</t>
        </is>
      </c>
      <c r="C7" t="b">
        <v>1</v>
      </c>
      <c r="D7" s="2" t="n">
        <v>0.0345</v>
      </c>
      <c r="E7" s="2" t="n">
        <v>0.9655</v>
      </c>
      <c r="F7" s="3" t="n">
        <v>3695969.71</v>
      </c>
      <c r="G7" s="3" t="n">
        <v>121831620.4</v>
      </c>
      <c r="H7" s="3" t="n">
        <v>852100.99</v>
      </c>
      <c r="I7" s="4" t="n">
        <v>46223</v>
      </c>
      <c r="J7" s="3">
        <f>IF(I7="","",INT(I7)-INT(SnapshotDate))</f>
        <v/>
      </c>
    </row>
    <row r="8">
      <c r="A8" t="inlineStr">
        <is>
          <t>Will Ghana win the 2026 FIFA World Cup?</t>
        </is>
      </c>
      <c r="B8" t="inlineStr">
        <is>
          <t>Soccer</t>
        </is>
      </c>
      <c r="C8" t="b">
        <v>1</v>
      </c>
      <c r="D8" s="2" t="n">
        <v>0.0005</v>
      </c>
      <c r="E8" s="2" t="n">
        <v>0.9995000000000001</v>
      </c>
      <c r="F8" s="3" t="n">
        <v>3593612.6</v>
      </c>
      <c r="G8" s="3" t="n">
        <v>86927728.91</v>
      </c>
      <c r="H8" s="3" t="n">
        <v>14177015.89</v>
      </c>
      <c r="I8" s="4" t="n">
        <v>46223</v>
      </c>
      <c r="J8" s="3">
        <f>IF(I8="","",INT(I8)-INT(SnapshotDate))</f>
        <v/>
      </c>
    </row>
    <row r="9">
      <c r="A9" t="inlineStr">
        <is>
          <t>Will USA win the 2026 FIFA World Cup?</t>
        </is>
      </c>
      <c r="B9" t="inlineStr">
        <is>
          <t>Soccer</t>
        </is>
      </c>
      <c r="C9" t="b">
        <v>1</v>
      </c>
      <c r="D9" s="2" t="n">
        <v>0.0265</v>
      </c>
      <c r="E9" s="2" t="n">
        <v>0.9735</v>
      </c>
      <c r="F9" s="3" t="n">
        <v>3400840.93</v>
      </c>
      <c r="G9" s="3" t="n">
        <v>124115137.29</v>
      </c>
      <c r="H9" s="3" t="n">
        <v>3419936.25</v>
      </c>
      <c r="I9" s="4" t="n">
        <v>46223</v>
      </c>
      <c r="J9" s="3">
        <f>IF(I9="","",INT(I9)-INT(SnapshotDate))</f>
        <v/>
      </c>
    </row>
    <row r="10">
      <c r="A10" t="inlineStr">
        <is>
          <t>Will Cape Verde win the 2026 FIFA World Cup?</t>
        </is>
      </c>
      <c r="B10" t="inlineStr">
        <is>
          <t>Soccer</t>
        </is>
      </c>
      <c r="C10" t="b">
        <v>1</v>
      </c>
      <c r="D10" s="2" t="n">
        <v>0.0005</v>
      </c>
      <c r="E10" s="2" t="n">
        <v>0.9995000000000001</v>
      </c>
      <c r="F10" s="3" t="n">
        <v>2769471.7</v>
      </c>
      <c r="G10" s="3" t="n">
        <v>96660856.88</v>
      </c>
      <c r="H10" s="3" t="n">
        <v>11781411.3</v>
      </c>
      <c r="I10" s="4" t="n">
        <v>46223</v>
      </c>
      <c r="J10" s="3">
        <f>IF(I10="","",INT(I10)-INT(SnapshotDate))</f>
        <v/>
      </c>
    </row>
    <row r="11">
      <c r="A11" t="inlineStr">
        <is>
          <t>Will Algeria win the 2026 FIFA World Cup?</t>
        </is>
      </c>
      <c r="B11" t="inlineStr">
        <is>
          <t>Soccer</t>
        </is>
      </c>
      <c r="C11" t="b">
        <v>1</v>
      </c>
      <c r="D11" s="2" t="n">
        <v>0.0005</v>
      </c>
      <c r="E11" s="2" t="n">
        <v>0.9995000000000001</v>
      </c>
      <c r="F11" s="3" t="n">
        <v>2754433.49</v>
      </c>
      <c r="G11" s="3" t="n">
        <v>90084362.40000001</v>
      </c>
      <c r="H11" s="3" t="n">
        <v>7915090.07</v>
      </c>
      <c r="I11" s="4" t="n">
        <v>46223</v>
      </c>
      <c r="J11" s="3">
        <f>IF(I11="","",INT(I11)-INT(SnapshotDate))</f>
        <v/>
      </c>
    </row>
    <row r="12">
      <c r="A12" t="inlineStr">
        <is>
          <t>Will Norway win the 2026 FIFA World Cup?</t>
        </is>
      </c>
      <c r="B12" t="inlineStr">
        <is>
          <t>Soccer</t>
        </is>
      </c>
      <c r="C12" t="b">
        <v>1</v>
      </c>
      <c r="D12" s="2" t="n">
        <v>0.0185</v>
      </c>
      <c r="E12" s="2" t="n">
        <v>0.9815</v>
      </c>
      <c r="F12" s="3" t="n">
        <v>2651995.03</v>
      </c>
      <c r="G12" s="3" t="n">
        <v>91798257.05</v>
      </c>
      <c r="H12" s="3" t="n">
        <v>2854735.02</v>
      </c>
      <c r="I12" s="4" t="n">
        <v>46223</v>
      </c>
      <c r="J12" s="3">
        <f>IF(I12="","",INT(I12)-INT(SnapshotDate))</f>
        <v/>
      </c>
    </row>
    <row r="13">
      <c r="A13" t="inlineStr">
        <is>
          <t>Will Morocco win the 2026 FIFA World Cup?</t>
        </is>
      </c>
      <c r="B13" t="inlineStr">
        <is>
          <t>Soccer</t>
        </is>
      </c>
      <c r="C13" t="b">
        <v>1</v>
      </c>
      <c r="D13" s="2" t="n">
        <v>0.0235</v>
      </c>
      <c r="E13" s="2" t="n">
        <v>0.9765</v>
      </c>
      <c r="F13" s="3" t="n">
        <v>2498375.91</v>
      </c>
      <c r="G13" s="3" t="n">
        <v>114084862.29</v>
      </c>
      <c r="H13" s="3" t="n">
        <v>1838163.18</v>
      </c>
      <c r="I13" s="4" t="n">
        <v>46223</v>
      </c>
      <c r="J13" s="3">
        <f>IF(I13="","",INT(I13)-INT(SnapshotDate))</f>
        <v/>
      </c>
    </row>
    <row r="14">
      <c r="A14" t="inlineStr">
        <is>
          <t>Will Argentina win the 2026 FIFA World Cup?</t>
        </is>
      </c>
      <c r="B14" t="inlineStr">
        <is>
          <t>Soccer</t>
        </is>
      </c>
      <c r="C14" t="b">
        <v>1</v>
      </c>
      <c r="D14" s="2" t="n">
        <v>0.1955</v>
      </c>
      <c r="E14" s="2" t="n">
        <v>0.8045</v>
      </c>
      <c r="F14" s="3" t="n">
        <v>2232773.06</v>
      </c>
      <c r="G14" s="3" t="n">
        <v>91718654.51000001</v>
      </c>
      <c r="H14" s="3" t="n">
        <v>8169036</v>
      </c>
      <c r="I14" s="4" t="n">
        <v>46223</v>
      </c>
      <c r="J14" s="3">
        <f>IF(I14="","",INT(I14)-INT(SnapshotDate))</f>
        <v/>
      </c>
    </row>
    <row r="15">
      <c r="A15" t="inlineStr">
        <is>
          <t>Will England win the 2026 FIFA World Cup?</t>
        </is>
      </c>
      <c r="B15" t="inlineStr">
        <is>
          <t>Soccer</t>
        </is>
      </c>
      <c r="C15" t="b">
        <v>1</v>
      </c>
      <c r="D15" s="2" t="n">
        <v>0.0765</v>
      </c>
      <c r="E15" s="2" t="n">
        <v>0.9235</v>
      </c>
      <c r="F15" s="3" t="n">
        <v>2073051.73</v>
      </c>
      <c r="G15" s="3" t="n">
        <v>73038600.3</v>
      </c>
      <c r="H15" s="3" t="n">
        <v>5229057.45</v>
      </c>
      <c r="I15" s="4" t="n">
        <v>46223</v>
      </c>
      <c r="J15" s="3">
        <f>IF(I15="","",INT(I15)-INT(SnapshotDate))</f>
        <v/>
      </c>
    </row>
    <row r="16">
      <c r="A16" t="inlineStr">
        <is>
          <t>Will France win the 2026 FIFA World Cup?</t>
        </is>
      </c>
      <c r="B16" t="inlineStr">
        <is>
          <t>Soccer</t>
        </is>
      </c>
      <c r="C16" t="b">
        <v>1</v>
      </c>
      <c r="D16" s="2" t="n">
        <v>0.3425</v>
      </c>
      <c r="E16" s="2" t="n">
        <v>0.6575</v>
      </c>
      <c r="F16" s="3" t="n">
        <v>2023118.28</v>
      </c>
      <c r="G16" s="3" t="n">
        <v>89559521.12</v>
      </c>
      <c r="H16" s="3" t="n">
        <v>6933829.18</v>
      </c>
      <c r="I16" s="4" t="n">
        <v>46223</v>
      </c>
      <c r="J16" s="3">
        <f>IF(I16="","",INT(I16)-INT(SnapshotDate))</f>
        <v/>
      </c>
    </row>
    <row r="17">
      <c r="A17" t="inlineStr">
        <is>
          <t>Switzerland vs. Algeria: Team to Advance</t>
        </is>
      </c>
      <c r="B17" t="inlineStr">
        <is>
          <t>Soccer</t>
        </is>
      </c>
      <c r="C17" t="b">
        <v>1</v>
      </c>
      <c r="D17" s="2" t="n">
        <v>0.67125</v>
      </c>
      <c r="E17" s="2" t="n">
        <v>0.32875</v>
      </c>
      <c r="F17" s="3" t="n">
        <v>1746536.66</v>
      </c>
      <c r="G17" s="3" t="n">
        <v>1775237.75</v>
      </c>
      <c r="H17" s="3" t="n">
        <v>912263.61</v>
      </c>
      <c r="I17" s="4" t="n">
        <v>46206</v>
      </c>
      <c r="J17" s="3">
        <f>IF(I17="","",INT(I17)-INT(SnapshotDate))</f>
        <v/>
      </c>
    </row>
    <row r="18">
      <c r="A18" t="inlineStr">
        <is>
          <t>Will Switzerland win the 2026 FIFA World Cup?</t>
        </is>
      </c>
      <c r="B18" t="inlineStr">
        <is>
          <t>Soccer</t>
        </is>
      </c>
      <c r="C18" t="b">
        <v>1</v>
      </c>
      <c r="D18" s="2" t="n">
        <v>0.0065</v>
      </c>
      <c r="E18" s="2" t="n">
        <v>0.9935</v>
      </c>
      <c r="F18" s="3" t="n">
        <v>1691375.1</v>
      </c>
      <c r="G18" s="3" t="n">
        <v>83050777.48999999</v>
      </c>
      <c r="H18" s="3" t="n">
        <v>7872201.67</v>
      </c>
      <c r="I18" s="4" t="n">
        <v>46223</v>
      </c>
      <c r="J18" s="3">
        <f>IF(I18="","",INT(I18)-INT(SnapshotDate))</f>
        <v/>
      </c>
    </row>
    <row r="19">
      <c r="A19" t="inlineStr">
        <is>
          <t>Will Austin Reaves play for the Detroit Pistons in 2026-27?</t>
        </is>
      </c>
      <c r="B19" t="inlineStr">
        <is>
          <t>NBA</t>
        </is>
      </c>
      <c r="C19" t="b">
        <v>1</v>
      </c>
      <c r="D19" s="2" t="n">
        <v>0.0035</v>
      </c>
      <c r="E19" s="2" t="n">
        <v>0.9965000000000001</v>
      </c>
      <c r="F19" s="3" t="n">
        <v>1540426</v>
      </c>
      <c r="G19" s="3" t="n">
        <v>1541448.28</v>
      </c>
      <c r="H19" s="3" t="n">
        <v>1856.06</v>
      </c>
      <c r="I19" s="4" t="n">
        <v>46326</v>
      </c>
      <c r="J19" s="3">
        <f>IF(I19="","",INT(I19)-INT(SnapshotDate))</f>
        <v/>
      </c>
    </row>
    <row r="20">
      <c r="A20" t="inlineStr">
        <is>
          <t>Will Brazil win the 2026 FIFA World Cup?</t>
        </is>
      </c>
      <c r="B20" t="inlineStr">
        <is>
          <t>Soccer</t>
        </is>
      </c>
      <c r="C20" t="b">
        <v>1</v>
      </c>
      <c r="D20" s="2" t="n">
        <v>0.0635</v>
      </c>
      <c r="E20" s="2" t="n">
        <v>0.9365</v>
      </c>
      <c r="F20" s="3" t="n">
        <v>1478814.73</v>
      </c>
      <c r="G20" s="3" t="n">
        <v>73716242.68000001</v>
      </c>
      <c r="H20" s="3" t="n">
        <v>4312005.28</v>
      </c>
      <c r="I20" s="4" t="n">
        <v>46223</v>
      </c>
      <c r="J20" s="3">
        <f>IF(I20="","",INT(I20)-INT(SnapshotDate))</f>
        <v/>
      </c>
    </row>
    <row r="21">
      <c r="A21" t="inlineStr">
        <is>
          <t>Will Colombia win the 2026 FIFA World Cup?</t>
        </is>
      </c>
      <c r="B21" t="inlineStr">
        <is>
          <t>Soccer</t>
        </is>
      </c>
      <c r="C21" t="b">
        <v>1</v>
      </c>
      <c r="D21" s="2" t="n">
        <v>0.0245</v>
      </c>
      <c r="E21" s="2" t="n">
        <v>0.9755</v>
      </c>
      <c r="F21" s="3" t="n">
        <v>1444581.6</v>
      </c>
      <c r="G21" s="3" t="n">
        <v>88248805.13</v>
      </c>
      <c r="H21" s="3" t="n">
        <v>2026475.7</v>
      </c>
      <c r="I21" s="4" t="n">
        <v>46223</v>
      </c>
      <c r="J21" s="3">
        <f>IF(I21="","",INT(I21)-INT(SnapshotDate))</f>
        <v/>
      </c>
    </row>
    <row r="22">
      <c r="A22" t="inlineStr">
        <is>
          <t>Will Belgium win the 2026 FIFA World Cup?</t>
        </is>
      </c>
      <c r="B22" t="inlineStr">
        <is>
          <t>Soccer</t>
        </is>
      </c>
      <c r="C22" t="b">
        <v>1</v>
      </c>
      <c r="D22" s="2" t="n">
        <v>0.0125</v>
      </c>
      <c r="E22" s="2" t="n">
        <v>0.9875</v>
      </c>
      <c r="F22" s="3" t="n">
        <v>1217319.18</v>
      </c>
      <c r="G22" s="3" t="n">
        <v>97286907.45999999</v>
      </c>
      <c r="H22" s="3" t="n">
        <v>5570498.61</v>
      </c>
      <c r="I22" s="4" t="n">
        <v>46223</v>
      </c>
      <c r="J22" s="3">
        <f>IF(I22="","",INT(I22)-INT(SnapshotDate))</f>
        <v/>
      </c>
    </row>
    <row r="23">
      <c r="A23" t="inlineStr">
        <is>
          <t>Will Canada win the 2026 FIFA World Cup?</t>
        </is>
      </c>
      <c r="B23" t="inlineStr">
        <is>
          <t>Soccer</t>
        </is>
      </c>
      <c r="C23" t="b">
        <v>1</v>
      </c>
      <c r="D23" s="2" t="n">
        <v>0.0025</v>
      </c>
      <c r="E23" s="2" t="n">
        <v>0.9975000000000001</v>
      </c>
      <c r="F23" s="3" t="n">
        <v>1045800.26</v>
      </c>
      <c r="G23" s="3" t="n">
        <v>96241074.2</v>
      </c>
      <c r="H23" s="3" t="n">
        <v>9123095.66</v>
      </c>
      <c r="I23" s="4" t="n">
        <v>46223</v>
      </c>
      <c r="J23" s="3">
        <f>IF(I23="","",INT(I23)-INT(SnapshotDate))</f>
        <v/>
      </c>
    </row>
    <row r="24">
      <c r="A24" t="inlineStr">
        <is>
          <t>Will Australia win the 2026 FIFA World Cup?</t>
        </is>
      </c>
      <c r="B24" t="inlineStr">
        <is>
          <t>Soccer</t>
        </is>
      </c>
      <c r="C24" t="b">
        <v>1</v>
      </c>
      <c r="D24" s="2" t="n">
        <v>0.0015</v>
      </c>
      <c r="E24" s="2" t="n">
        <v>0.9985000000000001</v>
      </c>
      <c r="F24" s="3" t="n">
        <v>982096.72</v>
      </c>
      <c r="G24" s="3" t="n">
        <v>83140182.44</v>
      </c>
      <c r="H24" s="3" t="n">
        <v>12782633.75</v>
      </c>
      <c r="I24" s="4" t="n">
        <v>46223</v>
      </c>
      <c r="J24" s="3">
        <f>IF(I24="","",INT(I24)-INT(SnapshotDate))</f>
        <v/>
      </c>
    </row>
    <row r="25">
      <c r="A25" t="inlineStr">
        <is>
          <t>Will Egypt win the 2026 FIFA World Cup?</t>
        </is>
      </c>
      <c r="B25" t="inlineStr">
        <is>
          <t>Soccer</t>
        </is>
      </c>
      <c r="C25" t="b">
        <v>1</v>
      </c>
      <c r="D25" s="2" t="n">
        <v>0.0015</v>
      </c>
      <c r="E25" s="2" t="n">
        <v>0.9985000000000001</v>
      </c>
      <c r="F25" s="3" t="n">
        <v>972860.65</v>
      </c>
      <c r="G25" s="3" t="n">
        <v>101874416.55</v>
      </c>
      <c r="H25" s="3" t="n">
        <v>17563463.01</v>
      </c>
      <c r="I25" s="4" t="n">
        <v>46223</v>
      </c>
      <c r="J25" s="3">
        <f>IF(I25="","",INT(I25)-INT(SnapshotDate))</f>
        <v/>
      </c>
    </row>
    <row r="26">
      <c r="A26" t="inlineStr">
        <is>
          <t>Will Declan Rice win the Golden Ball at the 2026 FIFA World Cup?</t>
        </is>
      </c>
      <c r="B26" t="inlineStr">
        <is>
          <t>Soccer</t>
        </is>
      </c>
      <c r="C26" t="b">
        <v>1</v>
      </c>
      <c r="D26" s="2" t="n">
        <v>0.0015</v>
      </c>
      <c r="E26" s="2" t="n">
        <v>0.9985000000000001</v>
      </c>
      <c r="F26" s="3" t="n">
        <v>945180.49</v>
      </c>
      <c r="G26" s="3" t="n">
        <v>1027441.71</v>
      </c>
      <c r="H26" s="3" t="n">
        <v>56154.74</v>
      </c>
      <c r="I26" s="4" t="n">
        <v>46223</v>
      </c>
      <c r="J26" s="3">
        <f>IF(I26="","",INT(I26)-INT(SnapshotDate))</f>
        <v/>
      </c>
    </row>
    <row r="27">
      <c r="A27" t="inlineStr">
        <is>
          <t>Switzerland vs. Algeria: O/U 2.5</t>
        </is>
      </c>
      <c r="B27" t="inlineStr">
        <is>
          <t>Soccer</t>
        </is>
      </c>
      <c r="C27" t="b">
        <v>1</v>
      </c>
      <c r="D27" s="2" t="n">
        <v>0.43875</v>
      </c>
      <c r="E27" s="2" t="n">
        <v>0.56125</v>
      </c>
      <c r="F27" s="3" t="n">
        <v>942982.2</v>
      </c>
      <c r="G27" s="3" t="n">
        <v>980429.5699999999</v>
      </c>
      <c r="H27" s="3" t="n">
        <v>442967.89</v>
      </c>
      <c r="I27" s="4" t="n">
        <v>46206</v>
      </c>
      <c r="J27" s="3">
        <f>IF(I27="","",INT(I27)-INT(SnapshotDate))</f>
        <v/>
      </c>
    </row>
    <row r="28">
      <c r="A28" t="inlineStr">
        <is>
          <t>Argentina vs. Cabo Verde: Team to Advance</t>
        </is>
      </c>
      <c r="B28" t="inlineStr">
        <is>
          <t>Soccer</t>
        </is>
      </c>
      <c r="C28" t="b">
        <v>1</v>
      </c>
      <c r="D28" s="2" t="n">
        <v>0.925</v>
      </c>
      <c r="E28" s="2" t="n">
        <v>0.075</v>
      </c>
      <c r="F28" s="3" t="n">
        <v>941466.85</v>
      </c>
      <c r="G28" s="3" t="n">
        <v>1737394.41</v>
      </c>
      <c r="H28" s="3" t="n">
        <v>482629.22</v>
      </c>
      <c r="I28" s="4" t="n">
        <v>46206</v>
      </c>
      <c r="J28" s="3">
        <f>IF(I28="","",INT(I28)-INT(SnapshotDate))</f>
        <v/>
      </c>
    </row>
    <row r="29">
      <c r="A29" t="inlineStr">
        <is>
          <t>Exact Score: Switzerland 2 - 1 Algeria?</t>
        </is>
      </c>
      <c r="B29" t="inlineStr">
        <is>
          <t>Soccer</t>
        </is>
      </c>
      <c r="C29" t="b">
        <v>1</v>
      </c>
      <c r="D29" s="2" t="n">
        <v>0.115</v>
      </c>
      <c r="E29" s="2" t="n">
        <v>0.885</v>
      </c>
      <c r="F29" s="3" t="n">
        <v>738407.98</v>
      </c>
      <c r="G29" s="3" t="n">
        <v>740315.47</v>
      </c>
      <c r="H29" s="3" t="n">
        <v>423209.63</v>
      </c>
      <c r="I29" s="4" t="n">
        <v>46206</v>
      </c>
      <c r="J29" s="3">
        <f>IF(I29="","",INT(I29)-INT(SnapshotDate))</f>
        <v/>
      </c>
    </row>
    <row r="30">
      <c r="A30" t="inlineStr">
        <is>
          <t>Will Switzerland vs. Algeria end in a draw?</t>
        </is>
      </c>
      <c r="B30" t="inlineStr">
        <is>
          <t>Soccer</t>
        </is>
      </c>
      <c r="C30" t="b">
        <v>1</v>
      </c>
      <c r="D30" s="2" t="n">
        <v>0.30375</v>
      </c>
      <c r="E30" s="2" t="n">
        <v>0.69625</v>
      </c>
      <c r="F30" s="3" t="n">
        <v>727347.45</v>
      </c>
      <c r="G30" s="3" t="n">
        <v>769750.1</v>
      </c>
      <c r="H30" s="3" t="n">
        <v>1375436.35</v>
      </c>
      <c r="I30" s="4" t="n">
        <v>46206</v>
      </c>
      <c r="J30" s="3">
        <f>IF(I30="","",INT(I30)-INT(SnapshotDate))</f>
        <v/>
      </c>
    </row>
    <row r="31">
      <c r="A31" t="inlineStr">
        <is>
          <t>Switzerland vs. Algeria: Both Teams to Score</t>
        </is>
      </c>
      <c r="B31" t="inlineStr">
        <is>
          <t>Soccer</t>
        </is>
      </c>
      <c r="C31" t="b">
        <v>1</v>
      </c>
      <c r="D31" s="2" t="n">
        <v>0.525</v>
      </c>
      <c r="E31" s="2" t="n">
        <v>0.475</v>
      </c>
      <c r="F31" s="3" t="n">
        <v>689274.49</v>
      </c>
      <c r="G31" s="3" t="n">
        <v>700838.59</v>
      </c>
      <c r="H31" s="3" t="n">
        <v>563738.6800000001</v>
      </c>
      <c r="I31" s="4" t="n">
        <v>46206</v>
      </c>
      <c r="J31" s="3">
        <f>IF(I31="","",INT(I31)-INT(SnapshotDate))</f>
        <v/>
      </c>
    </row>
    <row r="32">
      <c r="A32" t="inlineStr">
        <is>
          <t>Will Algeria win on 2026-07-02?</t>
        </is>
      </c>
      <c r="B32" t="inlineStr">
        <is>
          <t>Soccer</t>
        </is>
      </c>
      <c r="C32" t="b">
        <v>1</v>
      </c>
      <c r="D32" s="2" t="n">
        <v>0.21125</v>
      </c>
      <c r="E32" s="2" t="n">
        <v>0.78875</v>
      </c>
      <c r="F32" s="3" t="n">
        <v>585430.62</v>
      </c>
      <c r="G32" s="3" t="n">
        <v>639748.23</v>
      </c>
      <c r="H32" s="3" t="n">
        <v>1493188.17</v>
      </c>
      <c r="I32" s="4" t="n">
        <v>46206</v>
      </c>
      <c r="J32" s="3">
        <f>IF(I32="","",INT(I32)-INT(SnapshotDate))</f>
        <v/>
      </c>
    </row>
    <row r="33">
      <c r="A33" t="inlineStr">
        <is>
          <t>Tampa Bay Rays vs. Kansas City Royals</t>
        </is>
      </c>
      <c r="B33" t="inlineStr">
        <is>
          <t>MLB</t>
        </is>
      </c>
      <c r="C33" t="b">
        <v>1</v>
      </c>
      <c r="D33" s="2" t="n">
        <v>0.9995000000000001</v>
      </c>
      <c r="E33" s="2" t="n">
        <v>0.0005</v>
      </c>
      <c r="F33" s="3" t="n">
        <v>574332.9300000001</v>
      </c>
      <c r="G33" s="3" t="n">
        <v>575181.08</v>
      </c>
      <c r="H33" s="3" t="n">
        <v>509292.89</v>
      </c>
      <c r="I33" s="4" t="n">
        <v>46212</v>
      </c>
      <c r="J33" s="3">
        <f>IF(I33="","",INT(I33)-INT(SnapshotDate))</f>
        <v/>
      </c>
    </row>
    <row r="34">
      <c r="A34" t="inlineStr">
        <is>
          <t>Will Cabo Verde win on 2026-07-03?</t>
        </is>
      </c>
      <c r="B34" t="inlineStr">
        <is>
          <t>Soccer</t>
        </is>
      </c>
      <c r="C34" t="b">
        <v>1</v>
      </c>
      <c r="D34" s="2" t="n">
        <v>0.0425</v>
      </c>
      <c r="E34" s="2" t="n">
        <v>0.9575</v>
      </c>
      <c r="F34" s="3" t="n">
        <v>513313.63</v>
      </c>
      <c r="G34" s="3" t="n">
        <v>1445517.02</v>
      </c>
      <c r="H34" s="3" t="n">
        <v>630337.91</v>
      </c>
      <c r="I34" s="4" t="n">
        <v>46206</v>
      </c>
      <c r="J34" s="3">
        <f>IF(I34="","",INT(I34)-INT(SnapshotDate))</f>
        <v/>
      </c>
    </row>
    <row r="35">
      <c r="A35" t="inlineStr">
        <is>
          <t>Will a player representing Switzerland be the top goalscorer at the 2026 FIFA World Cup?</t>
        </is>
      </c>
      <c r="B35" t="inlineStr">
        <is>
          <t>Soccer</t>
        </is>
      </c>
      <c r="C35" t="b">
        <v>1</v>
      </c>
      <c r="D35" s="2" t="n">
        <v>0.0015</v>
      </c>
      <c r="E35" s="2" t="n">
        <v>0.9985000000000001</v>
      </c>
      <c r="F35" s="3" t="n">
        <v>491812.55</v>
      </c>
      <c r="G35" s="3" t="n">
        <v>763016.48</v>
      </c>
      <c r="H35" s="3" t="n">
        <v>29571.46</v>
      </c>
      <c r="I35" s="4" t="n">
        <v>46254</v>
      </c>
      <c r="J35" s="3">
        <f>IF(I35="","",INT(I35)-INT(SnapshotDate))</f>
        <v/>
      </c>
    </row>
    <row r="36">
      <c r="A36" t="inlineStr">
        <is>
          <t>San Diego Padres vs. Los Angeles Dodgers: O/U 9.5</t>
        </is>
      </c>
      <c r="B36" t="inlineStr">
        <is>
          <t>MLB</t>
        </is>
      </c>
      <c r="C36" t="b">
        <v>1</v>
      </c>
      <c r="D36" s="2" t="n">
        <v>0.485</v>
      </c>
      <c r="E36" s="2" t="n">
        <v>0.515</v>
      </c>
      <c r="F36" s="3" t="n">
        <v>481978.34</v>
      </c>
      <c r="G36" s="3" t="n">
        <v>482001.06</v>
      </c>
      <c r="H36" s="3" t="n">
        <v>192029.2</v>
      </c>
      <c r="I36" s="4" t="n">
        <v>46206</v>
      </c>
      <c r="J36" s="3">
        <f>IF(I36="","",INT(I36)-INT(SnapshotDate))</f>
        <v/>
      </c>
    </row>
    <row r="37">
      <c r="A37" t="inlineStr">
        <is>
          <t>Will Argentina win on 2026-07-03?</t>
        </is>
      </c>
      <c r="B37" t="inlineStr">
        <is>
          <t>Soccer</t>
        </is>
      </c>
      <c r="C37" t="b">
        <v>1</v>
      </c>
      <c r="D37" s="2" t="n">
        <v>0.855</v>
      </c>
      <c r="E37" s="2" t="n">
        <v>0.145</v>
      </c>
      <c r="F37" s="3" t="n">
        <v>480729.7</v>
      </c>
      <c r="G37" s="3" t="n">
        <v>1192986.93</v>
      </c>
      <c r="H37" s="3" t="n">
        <v>1310312.31</v>
      </c>
      <c r="I37" s="4" t="n">
        <v>46206</v>
      </c>
      <c r="J37" s="3">
        <f>IF(I37="","",INT(I37)-INT(SnapshotDate))</f>
        <v/>
      </c>
    </row>
    <row r="38">
      <c r="A38" t="inlineStr">
        <is>
          <t>Exact Score: Switzerland 3 - 3 Algeria?</t>
        </is>
      </c>
      <c r="B38" t="inlineStr">
        <is>
          <t>Soccer</t>
        </is>
      </c>
      <c r="C38" t="b">
        <v>1</v>
      </c>
      <c r="D38" s="2" t="n">
        <v>0.011</v>
      </c>
      <c r="E38" s="2" t="n">
        <v>0.989</v>
      </c>
      <c r="F38" s="3" t="n">
        <v>461810.63</v>
      </c>
      <c r="G38" s="3" t="n">
        <v>464427.25</v>
      </c>
      <c r="H38" s="3" t="n">
        <v>248977.45</v>
      </c>
      <c r="I38" s="4" t="n">
        <v>46206</v>
      </c>
      <c r="J38" s="3">
        <f>IF(I38="","",INT(I38)-INT(SnapshotDate))</f>
        <v/>
      </c>
    </row>
    <row r="39">
      <c r="A39" t="inlineStr">
        <is>
          <t>St. Louis Cardinals vs. Atlanta Braves</t>
        </is>
      </c>
      <c r="B39" t="inlineStr">
        <is>
          <t>MLB</t>
        </is>
      </c>
      <c r="C39" t="b">
        <v>1</v>
      </c>
      <c r="D39" s="2" t="n">
        <v>0.9975000000000001</v>
      </c>
      <c r="E39" s="2" t="n">
        <v>0.0025</v>
      </c>
      <c r="F39" s="3" t="n">
        <v>437185.89</v>
      </c>
      <c r="G39" s="3" t="n">
        <v>437555.14</v>
      </c>
      <c r="H39" s="3" t="n">
        <v>73272.2</v>
      </c>
      <c r="I39" s="4" t="n">
        <v>46212</v>
      </c>
      <c r="J39" s="3">
        <f>IF(I39="","",INT(I39)-INT(SnapshotDate))</f>
        <v/>
      </c>
    </row>
    <row r="40">
      <c r="A40" t="inlineStr">
        <is>
          <t>Detroit Tigers vs. Texas Rangers</t>
        </is>
      </c>
      <c r="B40" t="inlineStr">
        <is>
          <t>MLB</t>
        </is>
      </c>
      <c r="C40" t="b">
        <v>1</v>
      </c>
      <c r="D40" s="2" t="n">
        <v>0.245</v>
      </c>
      <c r="E40" s="2" t="n">
        <v>0.755</v>
      </c>
      <c r="F40" s="3" t="n">
        <v>434541.56</v>
      </c>
      <c r="G40" s="3" t="n">
        <v>435069.35</v>
      </c>
      <c r="H40" s="3" t="n">
        <v>178692.54</v>
      </c>
      <c r="I40" s="4" t="n">
        <v>46213</v>
      </c>
      <c r="J40" s="3">
        <f>IF(I40="","",INT(I40)-INT(SnapshotDate))</f>
        <v/>
      </c>
    </row>
    <row r="41">
      <c r="A41" t="inlineStr">
        <is>
          <t>Spread: Switzerland (-1.5)</t>
        </is>
      </c>
      <c r="B41" t="inlineStr">
        <is>
          <t>Soccer</t>
        </is>
      </c>
      <c r="C41" t="b">
        <v>1</v>
      </c>
      <c r="D41" s="2" t="n">
        <v>0.24125</v>
      </c>
      <c r="E41" s="2" t="n">
        <v>0.75875</v>
      </c>
      <c r="F41" s="3" t="n">
        <v>408328.51</v>
      </c>
      <c r="G41" s="3" t="n">
        <v>422710.76</v>
      </c>
      <c r="H41" s="3" t="n">
        <v>353893.79</v>
      </c>
      <c r="I41" s="4" t="n">
        <v>46206</v>
      </c>
      <c r="J41" s="3">
        <f>IF(I41="","",INT(I41)-INT(SnapshotDate))</f>
        <v/>
      </c>
    </row>
    <row r="42">
      <c r="A42" t="inlineStr">
        <is>
          <t>Will the Cincinnati Reds win the 2026 World Series?</t>
        </is>
      </c>
      <c r="B42" t="inlineStr">
        <is>
          <t>MLB</t>
        </is>
      </c>
      <c r="C42" t="b">
        <v>1</v>
      </c>
      <c r="D42" s="2" t="n">
        <v>0.0035</v>
      </c>
      <c r="E42" s="2" t="n">
        <v>0.9965000000000001</v>
      </c>
      <c r="F42" s="3" t="n">
        <v>393493.88</v>
      </c>
      <c r="G42" s="3" t="n">
        <v>1500299.81</v>
      </c>
      <c r="H42" s="3" t="n">
        <v>138536.51</v>
      </c>
      <c r="I42" s="4" t="n">
        <v>46326</v>
      </c>
      <c r="J42" s="3">
        <f>IF(I42="","",INT(I42)-INT(SnapshotDate))</f>
        <v/>
      </c>
    </row>
    <row r="43">
      <c r="A43" t="inlineStr">
        <is>
          <t>Exact Score: Switzerland 2 - 0 Algeria?</t>
        </is>
      </c>
      <c r="B43" t="inlineStr">
        <is>
          <t>Soccer</t>
        </is>
      </c>
      <c r="C43" t="b">
        <v>1</v>
      </c>
      <c r="D43" s="2" t="n">
        <v>0.105</v>
      </c>
      <c r="E43" s="2" t="n">
        <v>0.895</v>
      </c>
      <c r="F43" s="3" t="n">
        <v>391059.78</v>
      </c>
      <c r="G43" s="3" t="n">
        <v>392444.78</v>
      </c>
      <c r="H43" s="3" t="n">
        <v>613838.83</v>
      </c>
      <c r="I43" s="4" t="n">
        <v>46206</v>
      </c>
      <c r="J43" s="3">
        <f>IF(I43="","",INT(I43)-INT(SnapshotDate))</f>
        <v/>
      </c>
    </row>
    <row r="44">
      <c r="A44" t="inlineStr">
        <is>
          <t>Will Belgium win on 2026-07-06?</t>
        </is>
      </c>
      <c r="B44" t="inlineStr">
        <is>
          <t>Soccer</t>
        </is>
      </c>
      <c r="C44" t="b">
        <v>1</v>
      </c>
      <c r="D44" s="2" t="n">
        <v>0.345</v>
      </c>
      <c r="E44" s="2" t="n">
        <v>0.655</v>
      </c>
      <c r="F44" s="3" t="n">
        <v>389406.06</v>
      </c>
      <c r="G44" s="3" t="n">
        <v>389406.06</v>
      </c>
      <c r="H44" s="3" t="n">
        <v>444278.06</v>
      </c>
      <c r="I44" s="4" t="n">
        <v>46210</v>
      </c>
      <c r="J44" s="3">
        <f>IF(I44="","",INT(I44)-INT(SnapshotDate))</f>
        <v/>
      </c>
    </row>
    <row r="45">
      <c r="A45" t="inlineStr">
        <is>
          <t>Will Cristiano Ronaldo be the top goalscorer at the 2026 FIFA World Cup?</t>
        </is>
      </c>
      <c r="B45" t="inlineStr">
        <is>
          <t>Soccer</t>
        </is>
      </c>
      <c r="C45" t="b">
        <v>1</v>
      </c>
      <c r="D45" s="2" t="n">
        <v>0.0065</v>
      </c>
      <c r="E45" s="2" t="n">
        <v>0.9935</v>
      </c>
      <c r="F45" s="3" t="n">
        <v>376220.03</v>
      </c>
      <c r="G45" s="3" t="n">
        <v>2227763.74</v>
      </c>
      <c r="H45" s="3" t="n">
        <v>90960.74000000001</v>
      </c>
      <c r="I45" s="4" t="n">
        <v>46223</v>
      </c>
      <c r="J45" s="3">
        <f>IF(I45="","",INT(I45)-INT(SnapshotDate))</f>
        <v/>
      </c>
    </row>
    <row r="46">
      <c r="A46" t="inlineStr">
        <is>
          <t>Will there be 30+ missed penalties during the 2026 FIFA World Cup?</t>
        </is>
      </c>
      <c r="B46" t="inlineStr">
        <is>
          <t>Soccer</t>
        </is>
      </c>
      <c r="C46" t="b">
        <v>1</v>
      </c>
      <c r="D46" s="2" t="n">
        <v>0.0025</v>
      </c>
      <c r="E46" s="2" t="n">
        <v>0.9975000000000001</v>
      </c>
      <c r="F46" s="3" t="n">
        <v>364010</v>
      </c>
      <c r="G46" s="3" t="n">
        <v>537713.49</v>
      </c>
      <c r="H46" s="3" t="n">
        <v>2560.41</v>
      </c>
      <c r="I46" s="4" t="n">
        <v>46223</v>
      </c>
      <c r="J46" s="3">
        <f>IF(I46="","",INT(I46)-INT(SnapshotDate))</f>
        <v/>
      </c>
    </row>
    <row r="47">
      <c r="A47" t="inlineStr">
        <is>
          <t>Exact Score: Switzerland 1 - 0 Algeria?</t>
        </is>
      </c>
      <c r="B47" t="inlineStr">
        <is>
          <t>Soccer</t>
        </is>
      </c>
      <c r="C47" t="b">
        <v>1</v>
      </c>
      <c r="D47" s="2" t="n">
        <v>0.125</v>
      </c>
      <c r="E47" s="2" t="n">
        <v>0.875</v>
      </c>
      <c r="F47" s="3" t="n">
        <v>353196.44</v>
      </c>
      <c r="G47" s="3" t="n">
        <v>353843.5</v>
      </c>
      <c r="H47" s="3" t="n">
        <v>505090.42</v>
      </c>
      <c r="I47" s="4" t="n">
        <v>46206</v>
      </c>
      <c r="J47" s="3">
        <f>IF(I47="","",INT(I47)-INT(SnapshotDate))</f>
        <v/>
      </c>
    </row>
    <row r="48">
      <c r="A48" t="inlineStr">
        <is>
          <t>Will Colombia win on 2026-07-03?</t>
        </is>
      </c>
      <c r="B48" t="inlineStr">
        <is>
          <t>Soccer</t>
        </is>
      </c>
      <c r="C48" t="b">
        <v>1</v>
      </c>
      <c r="D48" s="2" t="n">
        <v>0.675</v>
      </c>
      <c r="E48" s="2" t="n">
        <v>0.325</v>
      </c>
      <c r="F48" s="3" t="n">
        <v>282937.56</v>
      </c>
      <c r="G48" s="3" t="n">
        <v>471905.72</v>
      </c>
      <c r="H48" s="3" t="n">
        <v>1090918.89</v>
      </c>
      <c r="I48" s="4" t="n">
        <v>46207</v>
      </c>
      <c r="J48" s="3">
        <f>IF(I48="","",INT(I48)-INT(SnapshotDate))</f>
        <v/>
      </c>
    </row>
    <row r="49">
      <c r="A49" t="inlineStr">
        <is>
          <t>Will Oscar Piastri be the 2026 F1 Drivers' Champion?</t>
        </is>
      </c>
      <c r="B49" t="inlineStr">
        <is>
          <t>F1</t>
        </is>
      </c>
      <c r="C49" t="b">
        <v>1</v>
      </c>
      <c r="D49" s="2" t="n">
        <v>0.008999999999999999</v>
      </c>
      <c r="E49" s="2" t="n">
        <v>0.991</v>
      </c>
      <c r="F49" s="3" t="n">
        <v>282334.75</v>
      </c>
      <c r="G49" s="3" t="n">
        <v>2859504.97</v>
      </c>
      <c r="H49" s="3" t="n">
        <v>153536.52</v>
      </c>
      <c r="I49" s="4" t="n">
        <v>46362</v>
      </c>
      <c r="J49" s="3">
        <f>IF(I49="","",INT(I49)-INT(SnapshotDate))</f>
        <v/>
      </c>
    </row>
    <row r="50">
      <c r="A50" t="inlineStr">
        <is>
          <t>LoL: G2 Esports vs Top Esports (BO5) - Mid-Season Invitational Playoffs</t>
        </is>
      </c>
      <c r="B50" t="inlineStr">
        <is>
          <t>Esports</t>
        </is>
      </c>
      <c r="C50" t="b">
        <v>1</v>
      </c>
      <c r="D50" s="2" t="n">
        <v>0.455</v>
      </c>
      <c r="E50" s="2" t="n">
        <v>0.545</v>
      </c>
      <c r="F50" s="3" t="n">
        <v>260827.99</v>
      </c>
      <c r="G50" s="3" t="n">
        <v>352356.06</v>
      </c>
      <c r="H50" s="3" t="n">
        <v>195626.75</v>
      </c>
      <c r="I50" s="4" t="n">
        <v>46206</v>
      </c>
      <c r="J50" s="3">
        <f>IF(I50="","",INT(I50)-INT(SnapshotDate))</f>
        <v/>
      </c>
    </row>
    <row r="51">
      <c r="A51" t="inlineStr">
        <is>
          <t>Exact Score: Switzerland 1 - 1 Algeria?</t>
        </is>
      </c>
      <c r="B51" t="inlineStr">
        <is>
          <t>Soccer</t>
        </is>
      </c>
      <c r="C51" t="b">
        <v>1</v>
      </c>
      <c r="D51" s="2" t="n">
        <v>0.155</v>
      </c>
      <c r="E51" s="2" t="n">
        <v>0.845</v>
      </c>
      <c r="F51" s="3" t="n">
        <v>260612.81</v>
      </c>
      <c r="G51" s="3" t="n">
        <v>270664.73</v>
      </c>
      <c r="H51" s="3" t="n">
        <v>374800.24</v>
      </c>
      <c r="I51" s="4" t="n">
        <v>46206</v>
      </c>
      <c r="J51" s="3">
        <f>IF(I51="","",INT(I51)-INT(SnapshotDate))</f>
        <v/>
      </c>
    </row>
    <row r="52">
      <c r="A52" t="inlineStr">
        <is>
          <t>San Diego Padres vs. Los Angeles Dodgers: O/U 8.5</t>
        </is>
      </c>
      <c r="B52" t="inlineStr">
        <is>
          <t>MLB</t>
        </is>
      </c>
      <c r="C52" t="b">
        <v>1</v>
      </c>
      <c r="D52" s="2" t="n">
        <v>0.585</v>
      </c>
      <c r="E52" s="2" t="n">
        <v>0.415</v>
      </c>
      <c r="F52" s="3" t="n">
        <v>245942.73</v>
      </c>
      <c r="G52" s="3" t="n">
        <v>245942.73</v>
      </c>
      <c r="H52" s="3" t="n">
        <v>149385.6</v>
      </c>
      <c r="I52" s="4" t="n">
        <v>46206</v>
      </c>
      <c r="J52" s="3">
        <f>IF(I52="","",INT(I52)-INT(SnapshotDate))</f>
        <v/>
      </c>
    </row>
    <row r="53">
      <c r="A53" t="inlineStr">
        <is>
          <t>Exact Score: Switzerland 3 - 2 Algeria?</t>
        </is>
      </c>
      <c r="B53" t="inlineStr">
        <is>
          <t>Soccer</t>
        </is>
      </c>
      <c r="C53" t="b">
        <v>1</v>
      </c>
      <c r="D53" s="2" t="n">
        <v>0.0235</v>
      </c>
      <c r="E53" s="2" t="n">
        <v>0.9765</v>
      </c>
      <c r="F53" s="3" t="n">
        <v>245026.68</v>
      </c>
      <c r="G53" s="3" t="n">
        <v>248928</v>
      </c>
      <c r="H53" s="3" t="n">
        <v>165223.38</v>
      </c>
      <c r="I53" s="4" t="n">
        <v>46206</v>
      </c>
      <c r="J53" s="3">
        <f>IF(I53="","",INT(I53)-INT(SnapshotDate))</f>
        <v/>
      </c>
    </row>
    <row r="54">
      <c r="A54" t="inlineStr">
        <is>
          <t>Los Angeles Angels vs. Seattle Mariners: O/U 7.5</t>
        </is>
      </c>
      <c r="B54" t="inlineStr">
        <is>
          <t>MLB</t>
        </is>
      </c>
      <c r="C54" t="b">
        <v>1</v>
      </c>
      <c r="D54" s="2" t="n">
        <v>0.365</v>
      </c>
      <c r="E54" s="2" t="n">
        <v>0.635</v>
      </c>
      <c r="F54" s="3" t="n">
        <v>222235.28</v>
      </c>
      <c r="G54" s="3" t="n">
        <v>222285.28</v>
      </c>
      <c r="H54" s="3" t="n">
        <v>49930.1</v>
      </c>
      <c r="I54" s="4" t="n">
        <v>46206</v>
      </c>
      <c r="J54" s="3">
        <f>IF(I54="","",INT(I54)-INT(SnapshotDate))</f>
        <v/>
      </c>
    </row>
    <row r="55">
      <c r="A55" t="inlineStr">
        <is>
          <t>Colombia vs. Ghana: Team to Advance</t>
        </is>
      </c>
      <c r="B55" t="inlineStr">
        <is>
          <t>Soccer</t>
        </is>
      </c>
      <c r="C55" t="b">
        <v>1</v>
      </c>
      <c r="D55" s="2" t="n">
        <v>0.805</v>
      </c>
      <c r="E55" s="2" t="n">
        <v>0.195</v>
      </c>
      <c r="F55" s="3" t="n">
        <v>219989.48</v>
      </c>
      <c r="G55" s="3" t="n">
        <v>235026.2</v>
      </c>
      <c r="H55" s="3" t="n">
        <v>190608.81</v>
      </c>
      <c r="I55" s="4" t="n">
        <v>46207</v>
      </c>
      <c r="J55" s="3">
        <f>IF(I55="","",INT(I55)-INT(SnapshotDate))</f>
        <v/>
      </c>
    </row>
    <row r="56">
      <c r="A56" t="inlineStr">
        <is>
          <t>Atlanta Dream vs. Washington Mystics</t>
        </is>
      </c>
      <c r="B56" t="inlineStr">
        <is>
          <t>WNBA</t>
        </is>
      </c>
      <c r="C56" t="b">
        <v>1</v>
      </c>
      <c r="D56" s="2" t="n">
        <v>0.0005</v>
      </c>
      <c r="E56" s="2" t="n">
        <v>0.9995000000000001</v>
      </c>
      <c r="F56" s="3" t="n">
        <v>213558.5</v>
      </c>
      <c r="G56" s="3" t="n">
        <v>225500.93</v>
      </c>
      <c r="H56" s="3" t="n">
        <v>277146.45</v>
      </c>
      <c r="I56" s="4" t="n">
        <v>46205</v>
      </c>
      <c r="J56" s="3">
        <f>IF(I56="","",INT(I56)-INT(SnapshotDate))</f>
        <v/>
      </c>
    </row>
    <row r="57">
      <c r="A57" t="inlineStr">
        <is>
          <t>Will Mikel Oyarzabal be the top goalscorer at the 2026 FIFA World Cup?</t>
        </is>
      </c>
      <c r="B57" t="inlineStr">
        <is>
          <t>Soccer</t>
        </is>
      </c>
      <c r="C57" t="b">
        <v>1</v>
      </c>
      <c r="D57" s="2" t="n">
        <v>0.0215</v>
      </c>
      <c r="E57" s="2" t="n">
        <v>0.9785</v>
      </c>
      <c r="F57" s="3" t="n">
        <v>208027.93</v>
      </c>
      <c r="G57" s="3" t="n">
        <v>1645629.7</v>
      </c>
      <c r="H57" s="3" t="n">
        <v>92327.39999999999</v>
      </c>
      <c r="I57" s="4" t="n">
        <v>46223</v>
      </c>
      <c r="J57" s="3">
        <f>IF(I57="","",INT(I57)-INT(SnapshotDate))</f>
        <v/>
      </c>
    </row>
    <row r="58">
      <c r="A58" t="inlineStr">
        <is>
          <t>Will Lamine Yamal be the top goalscorer at the 2026 FIFA World Cup?</t>
        </is>
      </c>
      <c r="B58" t="inlineStr">
        <is>
          <t>Soccer</t>
        </is>
      </c>
      <c r="C58" t="b">
        <v>1</v>
      </c>
      <c r="D58" s="2" t="n">
        <v>0.003</v>
      </c>
      <c r="E58" s="2" t="n">
        <v>0.997</v>
      </c>
      <c r="F58" s="3" t="n">
        <v>204677.67</v>
      </c>
      <c r="G58" s="3" t="n">
        <v>1371100.76</v>
      </c>
      <c r="H58" s="3" t="n">
        <v>75686.2</v>
      </c>
      <c r="I58" s="4" t="n">
        <v>46223</v>
      </c>
      <c r="J58" s="3">
        <f>IF(I58="","",INT(I58)-INT(SnapshotDate))</f>
        <v/>
      </c>
    </row>
    <row r="59">
      <c r="A59" t="inlineStr">
        <is>
          <t>Will Mexico win on 2026-07-05?</t>
        </is>
      </c>
      <c r="B59" t="inlineStr">
        <is>
          <t>Soccer</t>
        </is>
      </c>
      <c r="C59" t="b">
        <v>1</v>
      </c>
      <c r="D59" s="2" t="n">
        <v>0.315</v>
      </c>
      <c r="E59" s="2" t="n">
        <v>0.6850000000000001</v>
      </c>
      <c r="F59" s="3" t="n">
        <v>201779.55</v>
      </c>
      <c r="G59" s="3" t="n">
        <v>201779.55</v>
      </c>
      <c r="H59" s="3" t="n">
        <v>379231.28</v>
      </c>
      <c r="I59" s="4" t="n">
        <v>46209</v>
      </c>
      <c r="J59" s="3">
        <f>IF(I59="","",INT(I59)-INT(SnapshotDate))</f>
        <v/>
      </c>
    </row>
    <row r="60">
      <c r="A60" t="inlineStr">
        <is>
          <t>Will LeBron James play for the Golden State Warriors in 2026-27?</t>
        </is>
      </c>
      <c r="B60" t="inlineStr">
        <is>
          <t>NBA</t>
        </is>
      </c>
      <c r="C60" t="b">
        <v>1</v>
      </c>
      <c r="D60" s="2" t="n">
        <v>0.2795</v>
      </c>
      <c r="E60" s="2" t="n">
        <v>0.7205</v>
      </c>
      <c r="F60" s="3" t="n">
        <v>191100.09</v>
      </c>
      <c r="G60" s="3" t="n">
        <v>632233.36</v>
      </c>
      <c r="H60" s="3" t="n">
        <v>34646.91</v>
      </c>
      <c r="I60" s="4" t="n">
        <v>46327</v>
      </c>
      <c r="J60" s="3">
        <f>IF(I60="","",INT(I60)-INT(SnapshotDate))</f>
        <v/>
      </c>
    </row>
    <row r="61">
      <c r="A61" t="inlineStr">
        <is>
          <t>Will the Kansas City Royals win the 2026 World Series?</t>
        </is>
      </c>
      <c r="B61" t="inlineStr">
        <is>
          <t>MLB</t>
        </is>
      </c>
      <c r="C61" t="b">
        <v>1</v>
      </c>
      <c r="D61" s="2" t="n">
        <v>0.0035</v>
      </c>
      <c r="E61" s="2" t="n">
        <v>0.9965000000000001</v>
      </c>
      <c r="F61" s="3" t="n">
        <v>186862.27</v>
      </c>
      <c r="G61" s="3" t="n">
        <v>1161384.98</v>
      </c>
      <c r="H61" s="3" t="n">
        <v>153374.69</v>
      </c>
      <c r="I61" s="4" t="n">
        <v>46326</v>
      </c>
      <c r="J61" s="3">
        <f>IF(I61="","",INT(I61)-INT(SnapshotDate))</f>
        <v/>
      </c>
    </row>
    <row r="62">
      <c r="A62" t="inlineStr">
        <is>
          <t>Will LeBron James play for the Cleveland Cavaliers in 2026-27?</t>
        </is>
      </c>
      <c r="B62" t="inlineStr">
        <is>
          <t>NBA</t>
        </is>
      </c>
      <c r="C62" t="b">
        <v>1</v>
      </c>
      <c r="D62" s="2" t="n">
        <v>0.409</v>
      </c>
      <c r="E62" s="2" t="n">
        <v>0.591</v>
      </c>
      <c r="F62" s="3" t="n">
        <v>185862.05</v>
      </c>
      <c r="G62" s="3" t="n">
        <v>425491.55</v>
      </c>
      <c r="H62" s="3" t="n">
        <v>29761.59</v>
      </c>
      <c r="I62" s="4" t="n">
        <v>46327</v>
      </c>
      <c r="J62" s="3">
        <f>IF(I62="","",INT(I62)-INT(SnapshotDate))</f>
        <v/>
      </c>
    </row>
    <row r="63">
      <c r="A63" t="inlineStr">
        <is>
          <t>Will there be 20+ missed penalties during the 2026 FIFA World Cup?</t>
        </is>
      </c>
      <c r="B63" t="inlineStr">
        <is>
          <t>Soccer</t>
        </is>
      </c>
      <c r="C63" t="b">
        <v>1</v>
      </c>
      <c r="D63" s="2" t="n">
        <v>0.0045</v>
      </c>
      <c r="E63" s="2" t="n">
        <v>0.9955000000000001</v>
      </c>
      <c r="F63" s="3" t="n">
        <v>182223.74</v>
      </c>
      <c r="G63" s="3" t="n">
        <v>197299.52</v>
      </c>
      <c r="H63" s="3" t="n">
        <v>7201.46</v>
      </c>
      <c r="I63" s="4" t="n">
        <v>46223</v>
      </c>
      <c r="J63" s="3">
        <f>IF(I63="","",INT(I63)-INT(SnapshotDate))</f>
        <v/>
      </c>
    </row>
    <row r="64">
      <c r="A64" t="inlineStr">
        <is>
          <t>LoL: Hanwha Life Esports vs Team Secret Whales (BO5) - Mid-Season Invitational Playoffs</t>
        </is>
      </c>
      <c r="B64" t="inlineStr">
        <is>
          <t>Esports</t>
        </is>
      </c>
      <c r="C64" t="b">
        <v>1</v>
      </c>
      <c r="D64" s="2" t="n">
        <v>0.9795</v>
      </c>
      <c r="E64" s="2" t="n">
        <v>0.0205</v>
      </c>
      <c r="F64" s="3" t="n">
        <v>182040.36</v>
      </c>
      <c r="G64" s="3" t="n">
        <v>197786.46</v>
      </c>
      <c r="H64" s="3" t="n">
        <v>116530.05</v>
      </c>
      <c r="I64" s="4" t="n">
        <v>46206</v>
      </c>
      <c r="J64" s="3">
        <f>IF(I64="","",INT(I64)-INT(SnapshotDate))</f>
        <v/>
      </c>
    </row>
    <row r="65">
      <c r="A65" t="inlineStr">
        <is>
          <t>Exact Score: Switzerland 3 - 1 Algeria?</t>
        </is>
      </c>
      <c r="B65" t="inlineStr">
        <is>
          <t>Soccer</t>
        </is>
      </c>
      <c r="C65" t="b">
        <v>1</v>
      </c>
      <c r="D65" s="2" t="n">
        <v>0.055</v>
      </c>
      <c r="E65" s="2" t="n">
        <v>0.945</v>
      </c>
      <c r="F65" s="3" t="n">
        <v>180706.79</v>
      </c>
      <c r="G65" s="3" t="n">
        <v>182499.99</v>
      </c>
      <c r="H65" s="3" t="n">
        <v>442846.42</v>
      </c>
      <c r="I65" s="4" t="n">
        <v>46206</v>
      </c>
      <c r="J65" s="3">
        <f>IF(I65="","",INT(I65)-INT(SnapshotDate))</f>
        <v/>
      </c>
    </row>
    <row r="66">
      <c r="A66" t="inlineStr">
        <is>
          <t>Will Ronaldo Cry at the World Cup?</t>
        </is>
      </c>
      <c r="B66" t="inlineStr">
        <is>
          <t>Soccer</t>
        </is>
      </c>
      <c r="C66" t="b">
        <v>1</v>
      </c>
      <c r="D66" s="2" t="n">
        <v>0.745</v>
      </c>
      <c r="E66" s="2" t="n">
        <v>0.255</v>
      </c>
      <c r="F66" s="3" t="n">
        <v>175129.14</v>
      </c>
      <c r="G66" s="3" t="n">
        <v>616998.3</v>
      </c>
      <c r="H66" s="3" t="n">
        <v>21629.74</v>
      </c>
      <c r="I66" s="4" t="n"/>
      <c r="J66" s="3">
        <f>IF(I66="","",INT(I66)-INT(SnapshotDate))</f>
        <v/>
      </c>
    </row>
    <row r="67">
      <c r="A67" t="inlineStr">
        <is>
          <t>Brazil vs. Norway: Team to Advance</t>
        </is>
      </c>
      <c r="B67" t="inlineStr">
        <is>
          <t>Soccer</t>
        </is>
      </c>
      <c r="C67" t="b">
        <v>1</v>
      </c>
      <c r="D67" s="2" t="n">
        <v>0.655</v>
      </c>
      <c r="E67" s="2" t="n">
        <v>0.345</v>
      </c>
      <c r="F67" s="3" t="n">
        <v>173445.08</v>
      </c>
      <c r="G67" s="3" t="n">
        <v>230409.2</v>
      </c>
      <c r="H67" s="3" t="n">
        <v>109686.89</v>
      </c>
      <c r="I67" s="4" t="n">
        <v>46208</v>
      </c>
      <c r="J67" s="3">
        <f>IF(I67="","",INT(I67)-INT(SnapshotDate))</f>
        <v/>
      </c>
    </row>
    <row r="68">
      <c r="A68" t="inlineStr">
        <is>
          <t>Spread: Algeria (-1.5)</t>
        </is>
      </c>
      <c r="B68" t="inlineStr">
        <is>
          <t>Soccer</t>
        </is>
      </c>
      <c r="C68" t="b">
        <v>1</v>
      </c>
      <c r="D68" s="2" t="n">
        <v>0.06375</v>
      </c>
      <c r="E68" s="2" t="n">
        <v>0.93625</v>
      </c>
      <c r="F68" s="3" t="n">
        <v>171765.36</v>
      </c>
      <c r="G68" s="3" t="n">
        <v>172228.18</v>
      </c>
      <c r="H68" s="3" t="n">
        <v>282411.52</v>
      </c>
      <c r="I68" s="4" t="n">
        <v>46206</v>
      </c>
      <c r="J68" s="3">
        <f>IF(I68="","",INT(I68)-INT(SnapshotDate))</f>
        <v/>
      </c>
    </row>
    <row r="69">
      <c r="A69" t="inlineStr">
        <is>
          <t>Spread: Argentina (-1.5)</t>
        </is>
      </c>
      <c r="B69" t="inlineStr">
        <is>
          <t>Soccer</t>
        </is>
      </c>
      <c r="C69" t="b">
        <v>1</v>
      </c>
      <c r="D69" s="2" t="n">
        <v>0.645</v>
      </c>
      <c r="E69" s="2" t="n">
        <v>0.355</v>
      </c>
      <c r="F69" s="3" t="n">
        <v>169000.86</v>
      </c>
      <c r="G69" s="3" t="n">
        <v>584847.5</v>
      </c>
      <c r="H69" s="3" t="n">
        <v>413272.08</v>
      </c>
      <c r="I69" s="4" t="n">
        <v>46206</v>
      </c>
      <c r="J69" s="3">
        <f>IF(I69="","",INT(I69)-INT(SnapshotDate))</f>
        <v/>
      </c>
    </row>
    <row r="70">
      <c r="A70" t="inlineStr">
        <is>
          <t>Will LeBron James play for the Los Angeles Lakers in 2026-27?</t>
        </is>
      </c>
      <c r="B70" t="inlineStr">
        <is>
          <t>NBA</t>
        </is>
      </c>
      <c r="C70" t="b">
        <v>1</v>
      </c>
      <c r="D70" s="2" t="n">
        <v>0.0125</v>
      </c>
      <c r="E70" s="2" t="n">
        <v>0.9875</v>
      </c>
      <c r="F70" s="3" t="n">
        <v>163958.87</v>
      </c>
      <c r="G70" s="3" t="n">
        <v>1076925.77</v>
      </c>
      <c r="H70" s="3" t="n">
        <v>82639.47</v>
      </c>
      <c r="I70" s="4" t="n">
        <v>46327</v>
      </c>
      <c r="J70" s="3">
        <f>IF(I70="","",INT(I70)-INT(SnapshotDate))</f>
        <v/>
      </c>
    </row>
    <row r="71">
      <c r="A71" t="inlineStr">
        <is>
          <t>Will LeBron James play for the Miami Heat in 2026-27?</t>
        </is>
      </c>
      <c r="B71" t="inlineStr">
        <is>
          <t>NBA</t>
        </is>
      </c>
      <c r="C71" t="b">
        <v>1</v>
      </c>
      <c r="D71" s="2" t="n">
        <v>0.113</v>
      </c>
      <c r="E71" s="2" t="n">
        <v>0.887</v>
      </c>
      <c r="F71" s="3" t="n">
        <v>155779.89</v>
      </c>
      <c r="G71" s="3" t="n">
        <v>665431.09</v>
      </c>
      <c r="H71" s="3" t="n">
        <v>41746.79</v>
      </c>
      <c r="I71" s="4" t="n">
        <v>46327</v>
      </c>
      <c r="J71" s="3">
        <f>IF(I71="","",INT(I71)-INT(SnapshotDate))</f>
        <v/>
      </c>
    </row>
    <row r="72">
      <c r="A72" t="inlineStr">
        <is>
          <t>Will Shimelis Abdisa be the next Prime Minister of Ethiopia?</t>
        </is>
      </c>
      <c r="B72" t="inlineStr">
        <is>
          <t>Politics</t>
        </is>
      </c>
      <c r="C72" t="b">
        <v>0</v>
      </c>
      <c r="D72" s="2" t="n">
        <v>0.002</v>
      </c>
      <c r="E72" s="2" t="n">
        <v>0.998</v>
      </c>
      <c r="F72" s="3" t="n">
        <v>7643279.27</v>
      </c>
      <c r="G72" s="3" t="n">
        <v>35143008.33</v>
      </c>
      <c r="H72" s="3" t="n">
        <v>28356.82</v>
      </c>
      <c r="I72" s="4" t="n">
        <v>46174</v>
      </c>
      <c r="J72" s="3">
        <f>IF(I72="","",INT(I72)-INT(SnapshotDate))</f>
        <v/>
      </c>
    </row>
    <row r="73">
      <c r="A73" t="inlineStr">
        <is>
          <t>Will Gedion Timothewos be the next Prime Minister of Ethiopia?</t>
        </is>
      </c>
      <c r="B73" t="inlineStr">
        <is>
          <t>Politics</t>
        </is>
      </c>
      <c r="C73" t="b">
        <v>0</v>
      </c>
      <c r="D73" s="2" t="n">
        <v>0.002</v>
      </c>
      <c r="E73" s="2" t="n">
        <v>0.998</v>
      </c>
      <c r="F73" s="3" t="n">
        <v>2091931.37</v>
      </c>
      <c r="G73" s="3" t="n">
        <v>30969938.19</v>
      </c>
      <c r="H73" s="3" t="n">
        <v>26521.33</v>
      </c>
      <c r="I73" s="4" t="n">
        <v>46174</v>
      </c>
      <c r="J73" s="3">
        <f>IF(I73="","",INT(I73)-INT(SnapshotDate))</f>
        <v/>
      </c>
    </row>
    <row r="74">
      <c r="A74" t="inlineStr">
        <is>
          <t>Will Alesa Mengesha be the next Prime Minister of Ethiopia?</t>
        </is>
      </c>
      <c r="B74" t="inlineStr">
        <is>
          <t>Politics</t>
        </is>
      </c>
      <c r="C74" t="b">
        <v>0</v>
      </c>
      <c r="D74" s="2" t="n">
        <v>0.002</v>
      </c>
      <c r="E74" s="2" t="n">
        <v>0.998</v>
      </c>
      <c r="F74" s="3" t="n">
        <v>2084521.25</v>
      </c>
      <c r="G74" s="3" t="n">
        <v>5659381.02</v>
      </c>
      <c r="H74" s="3" t="n">
        <v>31159.85</v>
      </c>
      <c r="I74" s="4" t="n">
        <v>46174</v>
      </c>
      <c r="J74" s="3">
        <f>IF(I74="","",INT(I74)-INT(SnapshotDate))</f>
        <v/>
      </c>
    </row>
    <row r="75">
      <c r="A75" t="inlineStr">
        <is>
          <t>Will the Fed increase interest rates by 25 bps after the July 2026 meeting?</t>
        </is>
      </c>
      <c r="B75" t="inlineStr">
        <is>
          <t>Economics</t>
        </is>
      </c>
      <c r="C75" t="b">
        <v>0</v>
      </c>
      <c r="D75" s="2" t="n">
        <v>0.0935</v>
      </c>
      <c r="E75" s="2" t="n">
        <v>0.9065</v>
      </c>
      <c r="F75" s="3" t="n">
        <v>2049397.52</v>
      </c>
      <c r="G75" s="3" t="n">
        <v>9375099.529999999</v>
      </c>
      <c r="H75" s="3" t="n">
        <v>1221808.24</v>
      </c>
      <c r="I75" s="4" t="n">
        <v>46232</v>
      </c>
      <c r="J75" s="3">
        <f>IF(I75="","",INT(I75)-INT(SnapshotDate))</f>
        <v/>
      </c>
    </row>
    <row r="76">
      <c r="A76" t="inlineStr">
        <is>
          <t>Will no listed leader be out before 2027?</t>
        </is>
      </c>
      <c r="B76" t="inlineStr">
        <is>
          <t>Other</t>
        </is>
      </c>
      <c r="C76" t="b">
        <v>0</v>
      </c>
      <c r="D76" s="2" t="n">
        <v>0.003</v>
      </c>
      <c r="E76" s="2" t="n">
        <v>0.997</v>
      </c>
      <c r="F76" s="3" t="n">
        <v>2011939.99</v>
      </c>
      <c r="G76" s="3" t="n">
        <v>3196134.98</v>
      </c>
      <c r="H76" s="3" t="n">
        <v>103019.76</v>
      </c>
      <c r="I76" s="4" t="n">
        <v>46387</v>
      </c>
      <c r="J76" s="3">
        <f>IF(I76="","",INT(I76)-INT(SnapshotDate))</f>
        <v/>
      </c>
    </row>
    <row r="77">
      <c r="A77" t="inlineStr">
        <is>
          <t>Will Vladimir Putin be the next leader out before 2027?</t>
        </is>
      </c>
      <c r="B77" t="inlineStr">
        <is>
          <t>Politics</t>
        </is>
      </c>
      <c r="C77" t="b">
        <v>0</v>
      </c>
      <c r="D77" s="2" t="n">
        <v>0.0025</v>
      </c>
      <c r="E77" s="2" t="n">
        <v>0.9975000000000001</v>
      </c>
      <c r="F77" s="3" t="n">
        <v>1630822.2</v>
      </c>
      <c r="G77" s="3" t="n">
        <v>2540949.49</v>
      </c>
      <c r="H77" s="3" t="n">
        <v>89372.75</v>
      </c>
      <c r="I77" s="4" t="n">
        <v>46387</v>
      </c>
      <c r="J77" s="3">
        <f>IF(I77="","",INT(I77)-INT(SnapshotDate))</f>
        <v/>
      </c>
    </row>
    <row r="78">
      <c r="A78" t="inlineStr">
        <is>
          <t>Will Donald Trump be the next leader out before 2027?</t>
        </is>
      </c>
      <c r="B78" t="inlineStr">
        <is>
          <t>Other</t>
        </is>
      </c>
      <c r="C78" t="b">
        <v>0</v>
      </c>
      <c r="D78" s="2" t="n">
        <v>0.002</v>
      </c>
      <c r="E78" s="2" t="n">
        <v>0.998</v>
      </c>
      <c r="F78" s="3" t="n">
        <v>1404710.01</v>
      </c>
      <c r="G78" s="3" t="n">
        <v>2287443.09</v>
      </c>
      <c r="H78" s="3" t="n">
        <v>99137.91</v>
      </c>
      <c r="I78" s="4" t="n">
        <v>46387</v>
      </c>
      <c r="J78" s="3">
        <f>IF(I78="","",INT(I78)-INT(SnapshotDate))</f>
        <v/>
      </c>
    </row>
    <row r="79">
      <c r="A79" t="inlineStr">
        <is>
          <t>Will there be no change in Fed interest rates after the July 2026 meeting?</t>
        </is>
      </c>
      <c r="B79" t="inlineStr">
        <is>
          <t>Economics</t>
        </is>
      </c>
      <c r="C79" t="b">
        <v>0</v>
      </c>
      <c r="D79" s="2" t="n">
        <v>0.905</v>
      </c>
      <c r="E79" s="2" t="n">
        <v>0.095</v>
      </c>
      <c r="F79" s="3" t="n">
        <v>1266888.47</v>
      </c>
      <c r="G79" s="3" t="n">
        <v>7340421.31</v>
      </c>
      <c r="H79" s="3" t="n">
        <v>1429449.97</v>
      </c>
      <c r="I79" s="4" t="n">
        <v>46232</v>
      </c>
      <c r="J79" s="3">
        <f>IF(I79="","",INT(I79)-INT(SnapshotDate))</f>
        <v/>
      </c>
    </row>
    <row r="80">
      <c r="A80" t="inlineStr">
        <is>
          <t>Putin out as President of Russia by December 31, 2026?</t>
        </is>
      </c>
      <c r="B80" t="inlineStr">
        <is>
          <t>Politics</t>
        </is>
      </c>
      <c r="C80" t="b">
        <v>0</v>
      </c>
      <c r="D80" s="2" t="n">
        <v>0.115</v>
      </c>
      <c r="E80" s="2" t="n">
        <v>0.885</v>
      </c>
      <c r="F80" s="3" t="n">
        <v>1210527.67</v>
      </c>
      <c r="G80" s="3" t="n">
        <v>14277181.55</v>
      </c>
      <c r="H80" s="3" t="n">
        <v>2115230.61</v>
      </c>
      <c r="I80" s="4" t="n">
        <v>46387</v>
      </c>
      <c r="J80" s="3">
        <f>IF(I80="","",INT(I80)-INT(SnapshotDate))</f>
        <v/>
      </c>
    </row>
    <row r="81">
      <c r="A81" t="inlineStr">
        <is>
          <t>Will Volodymyr Zelenskyy be the next leader out before 2027?</t>
        </is>
      </c>
      <c r="B81" t="inlineStr">
        <is>
          <t>Other</t>
        </is>
      </c>
      <c r="C81" t="b">
        <v>0</v>
      </c>
      <c r="D81" s="2" t="n">
        <v>0.002</v>
      </c>
      <c r="E81" s="2" t="n">
        <v>0.998</v>
      </c>
      <c r="F81" s="3" t="n">
        <v>1177676.48</v>
      </c>
      <c r="G81" s="3" t="n">
        <v>4733301.04</v>
      </c>
      <c r="H81" s="3" t="n">
        <v>81912.07000000001</v>
      </c>
      <c r="I81" s="4" t="n">
        <v>46387</v>
      </c>
      <c r="J81" s="3">
        <f>IF(I81="","",INT(I81)-INT(SnapshotDate))</f>
        <v/>
      </c>
    </row>
    <row r="82">
      <c r="A82" t="inlineStr">
        <is>
          <t>Will Sébastien Lecornu be the next leader out before 2027?</t>
        </is>
      </c>
      <c r="B82" t="inlineStr">
        <is>
          <t>Other</t>
        </is>
      </c>
      <c r="C82" t="b">
        <v>0</v>
      </c>
      <c r="D82" s="2" t="n">
        <v>0.0015</v>
      </c>
      <c r="E82" s="2" t="n">
        <v>0.9985000000000001</v>
      </c>
      <c r="F82" s="3" t="n">
        <v>1140617.62</v>
      </c>
      <c r="G82" s="3" t="n">
        <v>2655877.73</v>
      </c>
      <c r="H82" s="3" t="n">
        <v>64521.5</v>
      </c>
      <c r="I82" s="4" t="n">
        <v>46387</v>
      </c>
      <c r="J82" s="3">
        <f>IF(I82="","",INT(I82)-INT(SnapshotDate))</f>
        <v/>
      </c>
    </row>
    <row r="83">
      <c r="A83" t="inlineStr">
        <is>
          <t>Will the Fed increase interest rates by 50+ bps after the July 2026 meeting?</t>
        </is>
      </c>
      <c r="B83" t="inlineStr">
        <is>
          <t>Economics</t>
        </is>
      </c>
      <c r="C83" t="b">
        <v>0</v>
      </c>
      <c r="D83" s="2" t="n">
        <v>0.0015</v>
      </c>
      <c r="E83" s="2" t="n">
        <v>0.9985000000000001</v>
      </c>
      <c r="F83" s="3" t="n">
        <v>832081.54</v>
      </c>
      <c r="G83" s="3" t="n">
        <v>5411990.87</v>
      </c>
      <c r="H83" s="3" t="n">
        <v>1356243.2</v>
      </c>
      <c r="I83" s="4" t="n">
        <v>46232</v>
      </c>
      <c r="J83" s="3">
        <f>IF(I83="","",INT(I83)-INT(SnapshotDate))</f>
        <v/>
      </c>
    </row>
    <row r="84">
      <c r="A84" t="inlineStr">
        <is>
          <t>Strait of Hormuz traffic returns to normal by end of June?</t>
        </is>
      </c>
      <c r="B84" t="inlineStr">
        <is>
          <t>Other</t>
        </is>
      </c>
      <c r="C84" t="b">
        <v>0</v>
      </c>
      <c r="D84" s="2" t="n">
        <v>0.0025</v>
      </c>
      <c r="E84" s="2" t="n">
        <v>0.9975000000000001</v>
      </c>
      <c r="F84" s="3" t="n">
        <v>712252.1899999999</v>
      </c>
      <c r="G84" s="3" t="n">
        <v>41725459.43</v>
      </c>
      <c r="H84" s="3" t="n">
        <v>1464047.54</v>
      </c>
      <c r="I84" s="4" t="n">
        <v>46203</v>
      </c>
      <c r="J84" s="3">
        <f>IF(I84="","",INT(I84)-INT(SnapshotDate))</f>
        <v/>
      </c>
    </row>
    <row r="85">
      <c r="A85" t="inlineStr">
        <is>
          <t>Will Glenn Youngkin win the 2028 US Presidential Election?</t>
        </is>
      </c>
      <c r="B85" t="inlineStr">
        <is>
          <t>Politics</t>
        </is>
      </c>
      <c r="C85" t="b">
        <v>0</v>
      </c>
      <c r="D85" s="2" t="n">
        <v>0.0075</v>
      </c>
      <c r="E85" s="2" t="n">
        <v>0.9925</v>
      </c>
      <c r="F85" s="3" t="n">
        <v>680262.33</v>
      </c>
      <c r="G85" s="3" t="n">
        <v>25983863.71</v>
      </c>
      <c r="H85" s="3" t="n">
        <v>1697382.03</v>
      </c>
      <c r="I85" s="4" t="n">
        <v>47064</v>
      </c>
      <c r="J85" s="3">
        <f>IF(I85="","",INT(I85)-INT(SnapshotDate))</f>
        <v/>
      </c>
    </row>
    <row r="86">
      <c r="A86" t="inlineStr">
        <is>
          <t>Will Benjamin Netanyahu be the next leader out before 2027?</t>
        </is>
      </c>
      <c r="B86" t="inlineStr">
        <is>
          <t>Other</t>
        </is>
      </c>
      <c r="C86" t="b">
        <v>0</v>
      </c>
      <c r="D86" s="2" t="n">
        <v>0.0015</v>
      </c>
      <c r="E86" s="2" t="n">
        <v>0.9985000000000001</v>
      </c>
      <c r="F86" s="3" t="n">
        <v>671834.39</v>
      </c>
      <c r="G86" s="3" t="n">
        <v>1215848.11</v>
      </c>
      <c r="H86" s="3" t="n">
        <v>89480.99000000001</v>
      </c>
      <c r="I86" s="4" t="n">
        <v>46387</v>
      </c>
      <c r="J86" s="3">
        <f>IF(I86="","",INT(I86)-INT(SnapshotDate))</f>
        <v/>
      </c>
    </row>
    <row r="87">
      <c r="A87" t="inlineStr">
        <is>
          <t>Will the Fed decrease interest rates by 50+ bps after the July 2026 meeting?</t>
        </is>
      </c>
      <c r="B87" t="inlineStr">
        <is>
          <t>Economics</t>
        </is>
      </c>
      <c r="C87" t="b">
        <v>0</v>
      </c>
      <c r="D87" s="2" t="n">
        <v>0.0015</v>
      </c>
      <c r="E87" s="2" t="n">
        <v>0.9985000000000001</v>
      </c>
      <c r="F87" s="3" t="n">
        <v>670839.52</v>
      </c>
      <c r="G87" s="3" t="n">
        <v>6949113.61</v>
      </c>
      <c r="H87" s="3" t="n">
        <v>1663852.55</v>
      </c>
      <c r="I87" s="4" t="n">
        <v>46232</v>
      </c>
      <c r="J87" s="3">
        <f>IF(I87="","",INT(I87)-INT(SnapshotDate))</f>
        <v/>
      </c>
    </row>
    <row r="88">
      <c r="A88" t="inlineStr">
        <is>
          <t>Will the Fed decrease interest rates by 25 bps after the July 2026 meeting?</t>
        </is>
      </c>
      <c r="B88" t="inlineStr">
        <is>
          <t>Economics</t>
        </is>
      </c>
      <c r="C88" t="b">
        <v>0</v>
      </c>
      <c r="D88" s="2" t="n">
        <v>0.0075</v>
      </c>
      <c r="E88" s="2" t="n">
        <v>0.9925</v>
      </c>
      <c r="F88" s="3" t="n">
        <v>524178.84</v>
      </c>
      <c r="G88" s="3" t="n">
        <v>5393022.86</v>
      </c>
      <c r="H88" s="3" t="n">
        <v>1004489.85</v>
      </c>
      <c r="I88" s="4" t="n">
        <v>46232</v>
      </c>
      <c r="J88" s="3">
        <f>IF(I88="","",INT(I88)-INT(SnapshotDate))</f>
        <v/>
      </c>
    </row>
    <row r="89">
      <c r="A89" t="inlineStr">
        <is>
          <t>Strait of Hormuz traffic returns to normal by July 15?</t>
        </is>
      </c>
      <c r="B89" t="inlineStr">
        <is>
          <t>Other</t>
        </is>
      </c>
      <c r="C89" t="b">
        <v>0</v>
      </c>
      <c r="D89" s="2" t="n">
        <v>0.075</v>
      </c>
      <c r="E89" s="2" t="n">
        <v>0.925</v>
      </c>
      <c r="F89" s="3" t="n">
        <v>439888.57</v>
      </c>
      <c r="G89" s="3" t="n">
        <v>6068674.35</v>
      </c>
      <c r="H89" s="3" t="n">
        <v>330262.55</v>
      </c>
      <c r="I89" s="4" t="n">
        <v>46218</v>
      </c>
      <c r="J89" s="3">
        <f>IF(I89="","",INT(I89)-INT(SnapshotDate))</f>
        <v/>
      </c>
    </row>
    <row r="90">
      <c r="A90" t="inlineStr">
        <is>
          <t>Strait of Hormuz traffic returns to normal by July 31?</t>
        </is>
      </c>
      <c r="B90" t="inlineStr">
        <is>
          <t>Other</t>
        </is>
      </c>
      <c r="C90" t="b">
        <v>0</v>
      </c>
      <c r="D90" s="2" t="n">
        <v>0.255</v>
      </c>
      <c r="E90" s="2" t="n">
        <v>0.745</v>
      </c>
      <c r="F90" s="3" t="n">
        <v>337757.17</v>
      </c>
      <c r="G90" s="3" t="n">
        <v>11582816.67</v>
      </c>
      <c r="H90" s="3" t="n">
        <v>499742.15</v>
      </c>
      <c r="I90" s="4" t="n">
        <v>46234</v>
      </c>
      <c r="J90" s="3">
        <f>IF(I90="","",INT(I90)-INT(SnapshotDate))</f>
        <v/>
      </c>
    </row>
    <row r="91">
      <c r="A91" t="inlineStr">
        <is>
          <t>Strait of Hormuz traffic returns to normal by July 7?</t>
        </is>
      </c>
      <c r="B91" t="inlineStr">
        <is>
          <t>Other</t>
        </is>
      </c>
      <c r="C91" t="b">
        <v>0</v>
      </c>
      <c r="D91" s="2" t="n">
        <v>0.008500000000000001</v>
      </c>
      <c r="E91" s="2" t="n">
        <v>0.9915</v>
      </c>
      <c r="F91" s="3" t="n">
        <v>231261.9</v>
      </c>
      <c r="G91" s="3" t="n">
        <v>889084.5600000001</v>
      </c>
      <c r="H91" s="3" t="n">
        <v>333447.92</v>
      </c>
      <c r="I91" s="4" t="n">
        <v>46210</v>
      </c>
      <c r="J91" s="3">
        <f>IF(I91="","",INT(I91)-INT(SnapshotDate))</f>
        <v/>
      </c>
    </row>
    <row r="92">
      <c r="A92" t="inlineStr">
        <is>
          <t>Will Lebanon recognize Israel by June 30?</t>
        </is>
      </c>
      <c r="B92" t="inlineStr">
        <is>
          <t>Other</t>
        </is>
      </c>
      <c r="C92" t="b">
        <v>0</v>
      </c>
      <c r="D92" s="2" t="n">
        <v>0.0055</v>
      </c>
      <c r="E92" s="2" t="n">
        <v>0.9945000000000001</v>
      </c>
      <c r="F92" s="3" t="n">
        <v>225018.4</v>
      </c>
      <c r="G92" s="3" t="n">
        <v>1882207.08</v>
      </c>
      <c r="H92" s="3" t="n">
        <v>313569.56</v>
      </c>
      <c r="I92" s="4" t="n"/>
      <c r="J92" s="3">
        <f>IF(I92="","",INT(I92)-INT(SnapshotDate))</f>
        <v/>
      </c>
    </row>
    <row r="93">
      <c r="A93" t="inlineStr">
        <is>
          <t>Will Geraldo Alckmin win the 2026 Brazilian presidential election?</t>
        </is>
      </c>
      <c r="B93" t="inlineStr">
        <is>
          <t>Politics</t>
        </is>
      </c>
      <c r="C93" t="b">
        <v>0</v>
      </c>
      <c r="D93" s="2" t="n">
        <v>0.0045</v>
      </c>
      <c r="E93" s="2" t="n">
        <v>0.9955000000000001</v>
      </c>
      <c r="F93" s="3" t="n">
        <v>224592.9</v>
      </c>
      <c r="G93" s="3" t="n">
        <v>4487888.42</v>
      </c>
      <c r="H93" s="3" t="n">
        <v>219681.62</v>
      </c>
      <c r="I93" s="4" t="n">
        <v>46299</v>
      </c>
      <c r="J93" s="3">
        <f>IF(I93="","",INT(I93)-INT(SnapshotDate))</f>
        <v/>
      </c>
    </row>
    <row r="94">
      <c r="A94" t="inlineStr">
        <is>
          <t>Will the price of Bitcoin be above $56,000 on July 3?</t>
        </is>
      </c>
      <c r="B94" t="inlineStr">
        <is>
          <t>Crypto</t>
        </is>
      </c>
      <c r="C94" t="b">
        <v>0</v>
      </c>
      <c r="D94" s="2" t="n">
        <v>0.9995000000000001</v>
      </c>
      <c r="E94" s="2" t="n">
        <v>0.0005</v>
      </c>
      <c r="F94" s="3" t="n">
        <v>218246</v>
      </c>
      <c r="G94" s="3" t="n">
        <v>267878.85</v>
      </c>
      <c r="H94" s="3" t="n">
        <v>102991.28</v>
      </c>
      <c r="I94" s="4" t="n">
        <v>46206</v>
      </c>
      <c r="J94" s="3">
        <f>IF(I94="","",INT(I94)-INT(SnapshotDate))</f>
        <v/>
      </c>
    </row>
    <row r="95">
      <c r="A95" t="inlineStr">
        <is>
          <t>Will the Democratic Party control the Senate after the 2026 Midterm elections?</t>
        </is>
      </c>
      <c r="B95" t="inlineStr">
        <is>
          <t>Politics</t>
        </is>
      </c>
      <c r="C95" t="b">
        <v>0</v>
      </c>
      <c r="D95" s="2" t="n">
        <v>0.445</v>
      </c>
      <c r="E95" s="2" t="n">
        <v>0.555</v>
      </c>
      <c r="F95" s="3" t="n">
        <v>214662.16</v>
      </c>
      <c r="G95" s="3" t="n">
        <v>1730010.81</v>
      </c>
      <c r="H95" s="3" t="n">
        <v>246177.67</v>
      </c>
      <c r="I95" s="4" t="n">
        <v>46329</v>
      </c>
      <c r="J95" s="3">
        <f>IF(I95="","",INT(I95)-INT(SnapshotDate))</f>
        <v/>
      </c>
    </row>
    <row r="96">
      <c r="A96" t="inlineStr">
        <is>
          <t>Will Moshe Feiglin be the next Prime Minister of Israel?</t>
        </is>
      </c>
      <c r="B96" t="inlineStr">
        <is>
          <t>Politics</t>
        </is>
      </c>
      <c r="C96" t="b">
        <v>0</v>
      </c>
      <c r="D96" s="2" t="n">
        <v>0.0025</v>
      </c>
      <c r="E96" s="2" t="n">
        <v>0.9975000000000001</v>
      </c>
      <c r="F96" s="3" t="n">
        <v>201822.77</v>
      </c>
      <c r="G96" s="3" t="n">
        <v>1103938.46</v>
      </c>
      <c r="H96" s="3" t="n">
        <v>119702.2</v>
      </c>
      <c r="I96" s="4" t="n">
        <v>46387</v>
      </c>
      <c r="J96" s="3">
        <f>IF(I96="","",INT(I96)-INT(SnapshotDate))</f>
        <v/>
      </c>
    </row>
    <row r="97">
      <c r="A97" t="inlineStr">
        <is>
          <t>Will NVIDIA be the largest company in the world by market cap on July 31?</t>
        </is>
      </c>
      <c r="B97" t="inlineStr">
        <is>
          <t>Tech</t>
        </is>
      </c>
      <c r="C97" t="b">
        <v>0</v>
      </c>
      <c r="D97" s="2" t="n">
        <v>0.835</v>
      </c>
      <c r="E97" s="2" t="n">
        <v>0.165</v>
      </c>
      <c r="F97" s="3" t="n">
        <v>189430.26</v>
      </c>
      <c r="G97" s="3" t="n">
        <v>444033.89</v>
      </c>
      <c r="H97" s="3" t="n">
        <v>81250.62</v>
      </c>
      <c r="I97" s="4" t="n">
        <v>46234</v>
      </c>
      <c r="J97" s="3">
        <f>IF(I97="","",INT(I97)-INT(SnapshotDate))</f>
        <v/>
      </c>
    </row>
    <row r="98">
      <c r="A98" t="inlineStr">
        <is>
          <t>Will Trump agree to Iranian transit fees in the Strait of Hormuz by June 30?</t>
        </is>
      </c>
      <c r="B98" t="inlineStr">
        <is>
          <t>Other</t>
        </is>
      </c>
      <c r="C98" t="b">
        <v>0</v>
      </c>
      <c r="D98" s="2" t="n">
        <v>0.0005</v>
      </c>
      <c r="E98" s="2" t="n">
        <v>0.9995000000000001</v>
      </c>
      <c r="F98" s="3" t="n">
        <v>181934.45</v>
      </c>
      <c r="G98" s="3" t="n">
        <v>2956165.83</v>
      </c>
      <c r="H98" s="3" t="n">
        <v>3092767.17</v>
      </c>
      <c r="I98" s="4" t="n">
        <v>46203</v>
      </c>
      <c r="J98" s="3">
        <f>IF(I98="","",INT(I98)-INT(SnapshotDate))</f>
        <v/>
      </c>
    </row>
    <row r="99">
      <c r="A99" t="inlineStr">
        <is>
          <t>US x Iran diplomatic meeting by July 3, 2026?</t>
        </is>
      </c>
      <c r="B99" t="inlineStr">
        <is>
          <t>Other</t>
        </is>
      </c>
      <c r="C99" t="b">
        <v>0</v>
      </c>
      <c r="D99" s="2" t="n">
        <v>0.0105</v>
      </c>
      <c r="E99" s="2" t="n">
        <v>0.9895</v>
      </c>
      <c r="F99" s="3" t="n">
        <v>181864.68</v>
      </c>
      <c r="G99" s="3" t="n">
        <v>1499279.19</v>
      </c>
      <c r="H99" s="3" t="n">
        <v>103572.16</v>
      </c>
      <c r="I99" s="4" t="n">
        <v>46206</v>
      </c>
      <c r="J99" s="3">
        <f>IF(I99="","",INT(I99)-INT(SnapshotDate))</f>
        <v/>
      </c>
    </row>
    <row r="100">
      <c r="A100" t="inlineStr">
        <is>
          <t>Will Elon Musk post 160-179 tweets from June 26 to July 3, 2026?</t>
        </is>
      </c>
      <c r="B100" t="inlineStr">
        <is>
          <t>Tech</t>
        </is>
      </c>
      <c r="C100" t="b">
        <v>0</v>
      </c>
      <c r="D100" s="2" t="n">
        <v>0.0005</v>
      </c>
      <c r="E100" s="2" t="n">
        <v>0.9995000000000001</v>
      </c>
      <c r="F100" s="3" t="n">
        <v>176002.61</v>
      </c>
      <c r="G100" s="3" t="n">
        <v>400016.75</v>
      </c>
      <c r="H100" s="3" t="n">
        <v>202271.51</v>
      </c>
      <c r="I100" s="4" t="n">
        <v>46206</v>
      </c>
      <c r="J100" s="3">
        <f>IF(I100="","",INT(I100)-INT(SnapshotDate))</f>
        <v/>
      </c>
    </row>
    <row r="101">
      <c r="A101" t="inlineStr">
        <is>
          <t>Will Trump speak to Ahmed al-Sharaa in June?</t>
        </is>
      </c>
      <c r="B101" t="inlineStr">
        <is>
          <t>Other</t>
        </is>
      </c>
      <c r="C101" t="b">
        <v>0</v>
      </c>
      <c r="D101" s="2" t="n">
        <v>0.066</v>
      </c>
      <c r="E101" s="2" t="n">
        <v>0.9340000000000001</v>
      </c>
      <c r="F101" s="3" t="n">
        <v>174128.42</v>
      </c>
      <c r="G101" s="3" t="n">
        <v>338499.9</v>
      </c>
      <c r="H101" s="3" t="n">
        <v>13297.22</v>
      </c>
      <c r="I101" s="4" t="n">
        <v>46203</v>
      </c>
      <c r="J101" s="3">
        <f>IF(I101="","",INT(I101)-INT(SnapshotDate))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7" customWidth="1" min="3" max="3"/>
    <col width="7" customWidth="1" min="4" max="4"/>
    <col width="9" customWidth="1" min="5" max="5"/>
    <col width="9" customWidth="1" min="6" max="6"/>
    <col width="14" customWidth="1" min="7" max="7"/>
    <col width="14" customWidth="1" min="8" max="8"/>
    <col width="12" customWidth="1" min="9" max="9"/>
    <col width="16" customWidth="1" min="10" max="10"/>
    <col width="15" customWidth="1" min="11" max="11"/>
  </cols>
  <sheetData>
    <row r="1">
      <c r="A1" s="1" t="inlineStr">
        <is>
          <t>market</t>
        </is>
      </c>
      <c r="B1" s="1" t="inlineStr">
        <is>
          <t>date</t>
        </is>
      </c>
      <c r="C1" s="1" t="inlineStr">
        <is>
          <t>timestamp_utc</t>
        </is>
      </c>
      <c r="D1" s="1" t="inlineStr">
        <is>
          <t>side</t>
        </is>
      </c>
      <c r="E1" s="1" t="inlineStr">
        <is>
          <t>outcome</t>
        </is>
      </c>
      <c r="F1" s="1" t="inlineStr">
        <is>
          <t>price</t>
        </is>
      </c>
      <c r="G1" s="1" t="inlineStr">
        <is>
          <t>size_shares</t>
        </is>
      </c>
      <c r="H1" s="1" t="inlineStr">
        <is>
          <t>notional_usd</t>
        </is>
      </c>
      <c r="I1" s="1" t="inlineStr">
        <is>
          <t>mkt_category</t>
        </is>
      </c>
      <c r="J1" s="1" t="inlineStr">
        <is>
          <t>mkt_total_volume</t>
        </is>
      </c>
      <c r="K1" s="1" t="inlineStr">
        <is>
          <t>large_trade_flag</t>
        </is>
      </c>
    </row>
    <row r="2">
      <c r="A2" t="inlineStr">
        <is>
          <t>Will USA win the 2026 FIFA World Cup?</t>
        </is>
      </c>
      <c r="B2" s="4" t="n">
        <v>46206</v>
      </c>
      <c r="C2" s="5" t="n">
        <v>46206.08592592592</v>
      </c>
      <c r="D2" t="inlineStr">
        <is>
          <t>BUY</t>
        </is>
      </c>
      <c r="E2" t="inlineStr">
        <is>
          <t>No</t>
        </is>
      </c>
      <c r="F2" s="2" t="n">
        <v>0.974</v>
      </c>
      <c r="G2" s="6" t="n">
        <v>5003.9</v>
      </c>
      <c r="H2" s="6">
        <f>F2*G2</f>
        <v/>
      </c>
      <c r="I2">
        <f>_xlfn.XLOOKUP(A2,MktTitle,MktCat,"n/a")</f>
        <v/>
      </c>
      <c r="J2" s="3">
        <f>_xlfn.XLOOKUP(A2,MktTitle,MktTotVol,0)</f>
        <v/>
      </c>
      <c r="K2">
        <f>IF(H2&gt;WhaleThreshold,"WHALE","")</f>
        <v/>
      </c>
    </row>
    <row r="3">
      <c r="A3" t="inlineStr">
        <is>
          <t>Will USA win the 2026 FIFA World Cup?</t>
        </is>
      </c>
      <c r="B3" s="4" t="n">
        <v>46206</v>
      </c>
      <c r="C3" s="5" t="n">
        <v>46206.08019675926</v>
      </c>
      <c r="D3" t="inlineStr">
        <is>
          <t>SELL</t>
        </is>
      </c>
      <c r="E3" t="inlineStr">
        <is>
          <t>No</t>
        </is>
      </c>
      <c r="F3" s="2" t="n">
        <v>0.973</v>
      </c>
      <c r="G3" s="6" t="n">
        <v>41.94</v>
      </c>
      <c r="H3" s="6">
        <f>F3*G3</f>
        <v/>
      </c>
      <c r="I3">
        <f>_xlfn.XLOOKUP(A3,MktTitle,MktCat,"n/a")</f>
        <v/>
      </c>
      <c r="J3" s="3">
        <f>_xlfn.XLOOKUP(A3,MktTitle,MktTotVol,0)</f>
        <v/>
      </c>
      <c r="K3">
        <f>IF(H3&gt;WhaleThreshold,"WHALE","")</f>
        <v/>
      </c>
    </row>
    <row r="4">
      <c r="A4" t="inlineStr">
        <is>
          <t>Will USA win the 2026 FIFA World Cup?</t>
        </is>
      </c>
      <c r="B4" s="4" t="n">
        <v>46206</v>
      </c>
      <c r="C4" s="5" t="n">
        <v>46206.07984953704</v>
      </c>
      <c r="D4" t="inlineStr">
        <is>
          <t>BUY</t>
        </is>
      </c>
      <c r="E4" t="inlineStr">
        <is>
          <t>Yes</t>
        </is>
      </c>
      <c r="F4" s="2" t="n">
        <v>0.027</v>
      </c>
      <c r="G4" s="6" t="n">
        <v>185.1852</v>
      </c>
      <c r="H4" s="6">
        <f>F4*G4</f>
        <v/>
      </c>
      <c r="I4">
        <f>_xlfn.XLOOKUP(A4,MktTitle,MktCat,"n/a")</f>
        <v/>
      </c>
      <c r="J4" s="3">
        <f>_xlfn.XLOOKUP(A4,MktTitle,MktTotVol,0)</f>
        <v/>
      </c>
      <c r="K4">
        <f>IF(H4&gt;WhaleThreshold,"WHALE","")</f>
        <v/>
      </c>
    </row>
    <row r="5">
      <c r="A5" t="inlineStr">
        <is>
          <t>Will USA win the 2026 FIFA World Cup?</t>
        </is>
      </c>
      <c r="B5" s="4" t="n">
        <v>46206</v>
      </c>
      <c r="C5" s="5" t="n">
        <v>46206.07644675926</v>
      </c>
      <c r="D5" t="inlineStr">
        <is>
          <t>BUY</t>
        </is>
      </c>
      <c r="E5" t="inlineStr">
        <is>
          <t>No</t>
        </is>
      </c>
      <c r="F5" s="2" t="n">
        <v>0.974</v>
      </c>
      <c r="G5" s="6" t="n">
        <v>10.5338</v>
      </c>
      <c r="H5" s="6">
        <f>F5*G5</f>
        <v/>
      </c>
      <c r="I5">
        <f>_xlfn.XLOOKUP(A5,MktTitle,MktCat,"n/a")</f>
        <v/>
      </c>
      <c r="J5" s="3">
        <f>_xlfn.XLOOKUP(A5,MktTitle,MktTotVol,0)</f>
        <v/>
      </c>
      <c r="K5">
        <f>IF(H5&gt;WhaleThreshold,"WHALE","")</f>
        <v/>
      </c>
    </row>
    <row r="6">
      <c r="A6" t="inlineStr">
        <is>
          <t>Will USA win the 2026 FIFA World Cup?</t>
        </is>
      </c>
      <c r="B6" s="4" t="n">
        <v>46206</v>
      </c>
      <c r="C6" s="5" t="n">
        <v>46206.07585648148</v>
      </c>
      <c r="D6" t="inlineStr">
        <is>
          <t>SELL</t>
        </is>
      </c>
      <c r="E6" t="inlineStr">
        <is>
          <t>Yes</t>
        </is>
      </c>
      <c r="F6" s="2" t="n">
        <v>0.026</v>
      </c>
      <c r="G6" s="6" t="n">
        <v>8333.33</v>
      </c>
      <c r="H6" s="6">
        <f>F6*G6</f>
        <v/>
      </c>
      <c r="I6">
        <f>_xlfn.XLOOKUP(A6,MktTitle,MktCat,"n/a")</f>
        <v/>
      </c>
      <c r="J6" s="3">
        <f>_xlfn.XLOOKUP(A6,MktTitle,MktTotVol,0)</f>
        <v/>
      </c>
      <c r="K6">
        <f>IF(H6&gt;WhaleThreshold,"WHALE","")</f>
        <v/>
      </c>
    </row>
    <row r="7">
      <c r="A7" t="inlineStr">
        <is>
          <t>Will USA win the 2026 FIFA World Cup?</t>
        </is>
      </c>
      <c r="B7" s="4" t="n">
        <v>46206</v>
      </c>
      <c r="C7" s="5" t="n">
        <v>46206.07412037037</v>
      </c>
      <c r="D7" t="inlineStr">
        <is>
          <t>BUY</t>
        </is>
      </c>
      <c r="E7" t="inlineStr">
        <is>
          <t>No</t>
        </is>
      </c>
      <c r="F7" s="2" t="n">
        <v>0.974</v>
      </c>
      <c r="G7" s="6" t="n">
        <v>3.0801</v>
      </c>
      <c r="H7" s="6">
        <f>F7*G7</f>
        <v/>
      </c>
      <c r="I7">
        <f>_xlfn.XLOOKUP(A7,MktTitle,MktCat,"n/a")</f>
        <v/>
      </c>
      <c r="J7" s="3">
        <f>_xlfn.XLOOKUP(A7,MktTitle,MktTotVol,0)</f>
        <v/>
      </c>
      <c r="K7">
        <f>IF(H7&gt;WhaleThreshold,"WHALE","")</f>
        <v/>
      </c>
    </row>
    <row r="8">
      <c r="A8" t="inlineStr">
        <is>
          <t>Will USA win the 2026 FIFA World Cup?</t>
        </is>
      </c>
      <c r="B8" s="4" t="n">
        <v>46206</v>
      </c>
      <c r="C8" s="5" t="n">
        <v>46206.07369212963</v>
      </c>
      <c r="D8" t="inlineStr">
        <is>
          <t>SELL</t>
        </is>
      </c>
      <c r="E8" t="inlineStr">
        <is>
          <t>No</t>
        </is>
      </c>
      <c r="F8" s="2" t="n">
        <v>0.973</v>
      </c>
      <c r="G8" s="6" t="n">
        <v>49.84</v>
      </c>
      <c r="H8" s="6">
        <f>F8*G8</f>
        <v/>
      </c>
      <c r="I8">
        <f>_xlfn.XLOOKUP(A8,MktTitle,MktCat,"n/a")</f>
        <v/>
      </c>
      <c r="J8" s="3">
        <f>_xlfn.XLOOKUP(A8,MktTitle,MktTotVol,0)</f>
        <v/>
      </c>
      <c r="K8">
        <f>IF(H8&gt;WhaleThreshold,"WHALE","")</f>
        <v/>
      </c>
    </row>
    <row r="9">
      <c r="A9" t="inlineStr">
        <is>
          <t>Will USA win the 2026 FIFA World Cup?</t>
        </is>
      </c>
      <c r="B9" s="4" t="n">
        <v>46206</v>
      </c>
      <c r="C9" s="5" t="n">
        <v>46206.07196759259</v>
      </c>
      <c r="D9" t="inlineStr">
        <is>
          <t>BUY</t>
        </is>
      </c>
      <c r="E9" t="inlineStr">
        <is>
          <t>No</t>
        </is>
      </c>
      <c r="F9" s="2" t="n">
        <v>0.974</v>
      </c>
      <c r="G9" s="6" t="n">
        <v>2000</v>
      </c>
      <c r="H9" s="6">
        <f>F9*G9</f>
        <v/>
      </c>
      <c r="I9">
        <f>_xlfn.XLOOKUP(A9,MktTitle,MktCat,"n/a")</f>
        <v/>
      </c>
      <c r="J9" s="3">
        <f>_xlfn.XLOOKUP(A9,MktTitle,MktTotVol,0)</f>
        <v/>
      </c>
      <c r="K9">
        <f>IF(H9&gt;WhaleThreshold,"WHALE","")</f>
        <v/>
      </c>
    </row>
    <row r="10">
      <c r="A10" t="inlineStr">
        <is>
          <t>Will USA win the 2026 FIFA World Cup?</t>
        </is>
      </c>
      <c r="B10" s="4" t="n">
        <v>46206</v>
      </c>
      <c r="C10" s="5" t="n">
        <v>46206.07074074074</v>
      </c>
      <c r="D10" t="inlineStr">
        <is>
          <t>BUY</t>
        </is>
      </c>
      <c r="E10" t="inlineStr">
        <is>
          <t>Yes</t>
        </is>
      </c>
      <c r="F10" s="2" t="n">
        <v>0.027</v>
      </c>
      <c r="G10" s="6" t="n">
        <v>1370.3704</v>
      </c>
      <c r="H10" s="6">
        <f>F10*G10</f>
        <v/>
      </c>
      <c r="I10">
        <f>_xlfn.XLOOKUP(A10,MktTitle,MktCat,"n/a")</f>
        <v/>
      </c>
      <c r="J10" s="3">
        <f>_xlfn.XLOOKUP(A10,MktTitle,MktTotVol,0)</f>
        <v/>
      </c>
      <c r="K10">
        <f>IF(H10&gt;WhaleThreshold,"WHALE","")</f>
        <v/>
      </c>
    </row>
    <row r="11">
      <c r="A11" t="inlineStr">
        <is>
          <t>Will USA win the 2026 FIFA World Cup?</t>
        </is>
      </c>
      <c r="B11" s="4" t="n">
        <v>46206</v>
      </c>
      <c r="C11" s="5" t="n">
        <v>46206.07063657408</v>
      </c>
      <c r="D11" t="inlineStr">
        <is>
          <t>BUY</t>
        </is>
      </c>
      <c r="E11" t="inlineStr">
        <is>
          <t>Yes</t>
        </is>
      </c>
      <c r="F11" s="2" t="n">
        <v>0.027</v>
      </c>
      <c r="G11" s="6" t="n">
        <v>3333</v>
      </c>
      <c r="H11" s="6">
        <f>F11*G11</f>
        <v/>
      </c>
      <c r="I11">
        <f>_xlfn.XLOOKUP(A11,MktTitle,MktCat,"n/a")</f>
        <v/>
      </c>
      <c r="J11" s="3">
        <f>_xlfn.XLOOKUP(A11,MktTitle,MktTotVol,0)</f>
        <v/>
      </c>
      <c r="K11">
        <f>IF(H11&gt;WhaleThreshold,"WHALE","")</f>
        <v/>
      </c>
    </row>
    <row r="12">
      <c r="A12" t="inlineStr">
        <is>
          <t>Will USA win the 2026 FIFA World Cup?</t>
        </is>
      </c>
      <c r="B12" s="4" t="n">
        <v>46206</v>
      </c>
      <c r="C12" s="5" t="n">
        <v>46206.0705787037</v>
      </c>
      <c r="D12" t="inlineStr">
        <is>
          <t>BUY</t>
        </is>
      </c>
      <c r="E12" t="inlineStr">
        <is>
          <t>No</t>
        </is>
      </c>
      <c r="F12" s="2" t="n">
        <v>0.974</v>
      </c>
      <c r="G12" s="6" t="n">
        <v>1000</v>
      </c>
      <c r="H12" s="6">
        <f>F12*G12</f>
        <v/>
      </c>
      <c r="I12">
        <f>_xlfn.XLOOKUP(A12,MktTitle,MktCat,"n/a")</f>
        <v/>
      </c>
      <c r="J12" s="3">
        <f>_xlfn.XLOOKUP(A12,MktTitle,MktTotVol,0)</f>
        <v/>
      </c>
      <c r="K12">
        <f>IF(H12&gt;WhaleThreshold,"WHALE","")</f>
        <v/>
      </c>
    </row>
    <row r="13">
      <c r="A13" t="inlineStr">
        <is>
          <t>Will USA win the 2026 FIFA World Cup?</t>
        </is>
      </c>
      <c r="B13" s="4" t="n">
        <v>46206</v>
      </c>
      <c r="C13" s="5" t="n">
        <v>46206.06768518518</v>
      </c>
      <c r="D13" t="inlineStr">
        <is>
          <t>SELL</t>
        </is>
      </c>
      <c r="E13" t="inlineStr">
        <is>
          <t>Yes</t>
        </is>
      </c>
      <c r="F13" s="2" t="n">
        <v>0.026</v>
      </c>
      <c r="G13" s="6" t="n">
        <v>767.71</v>
      </c>
      <c r="H13" s="6">
        <f>F13*G13</f>
        <v/>
      </c>
      <c r="I13">
        <f>_xlfn.XLOOKUP(A13,MktTitle,MktCat,"n/a")</f>
        <v/>
      </c>
      <c r="J13" s="3">
        <f>_xlfn.XLOOKUP(A13,MktTitle,MktTotVol,0)</f>
        <v/>
      </c>
      <c r="K13">
        <f>IF(H13&gt;WhaleThreshold,"WHALE","")</f>
        <v/>
      </c>
    </row>
    <row r="14">
      <c r="A14" t="inlineStr">
        <is>
          <t>Will USA win the 2026 FIFA World Cup?</t>
        </is>
      </c>
      <c r="B14" s="4" t="n">
        <v>46206</v>
      </c>
      <c r="C14" s="5" t="n">
        <v>46206.06591435185</v>
      </c>
      <c r="D14" t="inlineStr">
        <is>
          <t>SELL</t>
        </is>
      </c>
      <c r="E14" t="inlineStr">
        <is>
          <t>Yes</t>
        </is>
      </c>
      <c r="F14" s="2" t="n">
        <v>0.026</v>
      </c>
      <c r="G14" s="6" t="n">
        <v>86.95</v>
      </c>
      <c r="H14" s="6">
        <f>F14*G14</f>
        <v/>
      </c>
      <c r="I14">
        <f>_xlfn.XLOOKUP(A14,MktTitle,MktCat,"n/a")</f>
        <v/>
      </c>
      <c r="J14" s="3">
        <f>_xlfn.XLOOKUP(A14,MktTitle,MktTotVol,0)</f>
        <v/>
      </c>
      <c r="K14">
        <f>IF(H14&gt;WhaleThreshold,"WHALE","")</f>
        <v/>
      </c>
    </row>
    <row r="15">
      <c r="A15" t="inlineStr">
        <is>
          <t>Will USA win the 2026 FIFA World Cup?</t>
        </is>
      </c>
      <c r="B15" s="4" t="n">
        <v>46206</v>
      </c>
      <c r="C15" s="5" t="n">
        <v>46206.06299768519</v>
      </c>
      <c r="D15" t="inlineStr">
        <is>
          <t>BUY</t>
        </is>
      </c>
      <c r="E15" t="inlineStr">
        <is>
          <t>Yes</t>
        </is>
      </c>
      <c r="F15" s="2" t="n">
        <v>0.027</v>
      </c>
      <c r="G15" s="6" t="n">
        <v>400</v>
      </c>
      <c r="H15" s="6">
        <f>F15*G15</f>
        <v/>
      </c>
      <c r="I15">
        <f>_xlfn.XLOOKUP(A15,MktTitle,MktCat,"n/a")</f>
        <v/>
      </c>
      <c r="J15" s="3">
        <f>_xlfn.XLOOKUP(A15,MktTitle,MktTotVol,0)</f>
        <v/>
      </c>
      <c r="K15">
        <f>IF(H15&gt;WhaleThreshold,"WHALE","")</f>
        <v/>
      </c>
    </row>
    <row r="16">
      <c r="A16" t="inlineStr">
        <is>
          <t>Will USA win the 2026 FIFA World Cup?</t>
        </is>
      </c>
      <c r="B16" s="4" t="n">
        <v>46206</v>
      </c>
      <c r="C16" s="5" t="n">
        <v>46206.06094907408</v>
      </c>
      <c r="D16" t="inlineStr">
        <is>
          <t>BUY</t>
        </is>
      </c>
      <c r="E16" t="inlineStr">
        <is>
          <t>Yes</t>
        </is>
      </c>
      <c r="F16" s="2" t="n">
        <v>0.027</v>
      </c>
      <c r="G16" s="6" t="n">
        <v>38</v>
      </c>
      <c r="H16" s="6">
        <f>F16*G16</f>
        <v/>
      </c>
      <c r="I16">
        <f>_xlfn.XLOOKUP(A16,MktTitle,MktCat,"n/a")</f>
        <v/>
      </c>
      <c r="J16" s="3">
        <f>_xlfn.XLOOKUP(A16,MktTitle,MktTotVol,0)</f>
        <v/>
      </c>
      <c r="K16">
        <f>IF(H16&gt;WhaleThreshold,"WHALE","")</f>
        <v/>
      </c>
    </row>
    <row r="17">
      <c r="A17" t="inlineStr">
        <is>
          <t>Will USA win the 2026 FIFA World Cup?</t>
        </is>
      </c>
      <c r="B17" s="4" t="n">
        <v>46206</v>
      </c>
      <c r="C17" s="5" t="n">
        <v>46206.06094907408</v>
      </c>
      <c r="D17" t="inlineStr">
        <is>
          <t>BUY</t>
        </is>
      </c>
      <c r="E17" t="inlineStr">
        <is>
          <t>Yes</t>
        </is>
      </c>
      <c r="F17" s="2" t="n">
        <v>0.027</v>
      </c>
      <c r="G17" s="6" t="n">
        <v>38</v>
      </c>
      <c r="H17" s="6">
        <f>F17*G17</f>
        <v/>
      </c>
      <c r="I17">
        <f>_xlfn.XLOOKUP(A17,MktTitle,MktCat,"n/a")</f>
        <v/>
      </c>
      <c r="J17" s="3">
        <f>_xlfn.XLOOKUP(A17,MktTitle,MktTotVol,0)</f>
        <v/>
      </c>
      <c r="K17">
        <f>IF(H17&gt;WhaleThreshold,"WHALE","")</f>
        <v/>
      </c>
    </row>
    <row r="18">
      <c r="A18" t="inlineStr">
        <is>
          <t>Will USA win the 2026 FIFA World Cup?</t>
        </is>
      </c>
      <c r="B18" s="4" t="n">
        <v>46206</v>
      </c>
      <c r="C18" s="5" t="n">
        <v>46206.06094907408</v>
      </c>
      <c r="D18" t="inlineStr">
        <is>
          <t>BUY</t>
        </is>
      </c>
      <c r="E18" t="inlineStr">
        <is>
          <t>Yes</t>
        </is>
      </c>
      <c r="F18" s="2" t="n">
        <v>0.027</v>
      </c>
      <c r="G18" s="6" t="n">
        <v>38</v>
      </c>
      <c r="H18" s="6">
        <f>F18*G18</f>
        <v/>
      </c>
      <c r="I18">
        <f>_xlfn.XLOOKUP(A18,MktTitle,MktCat,"n/a")</f>
        <v/>
      </c>
      <c r="J18" s="3">
        <f>_xlfn.XLOOKUP(A18,MktTitle,MktTotVol,0)</f>
        <v/>
      </c>
      <c r="K18">
        <f>IF(H18&gt;WhaleThreshold,"WHALE","")</f>
        <v/>
      </c>
    </row>
    <row r="19">
      <c r="A19" t="inlineStr">
        <is>
          <t>Will USA win the 2026 FIFA World Cup?</t>
        </is>
      </c>
      <c r="B19" s="4" t="n">
        <v>46206</v>
      </c>
      <c r="C19" s="5" t="n">
        <v>46206.06094907408</v>
      </c>
      <c r="D19" t="inlineStr">
        <is>
          <t>BUY</t>
        </is>
      </c>
      <c r="E19" t="inlineStr">
        <is>
          <t>Yes</t>
        </is>
      </c>
      <c r="F19" s="2" t="n">
        <v>0.027</v>
      </c>
      <c r="G19" s="6" t="n">
        <v>38</v>
      </c>
      <c r="H19" s="6">
        <f>F19*G19</f>
        <v/>
      </c>
      <c r="I19">
        <f>_xlfn.XLOOKUP(A19,MktTitle,MktCat,"n/a")</f>
        <v/>
      </c>
      <c r="J19" s="3">
        <f>_xlfn.XLOOKUP(A19,MktTitle,MktTotVol,0)</f>
        <v/>
      </c>
      <c r="K19">
        <f>IF(H19&gt;WhaleThreshold,"WHALE","")</f>
        <v/>
      </c>
    </row>
    <row r="20">
      <c r="A20" t="inlineStr">
        <is>
          <t>Will USA win the 2026 FIFA World Cup?</t>
        </is>
      </c>
      <c r="B20" s="4" t="n">
        <v>46206</v>
      </c>
      <c r="C20" s="5" t="n">
        <v>46206.06094907408</v>
      </c>
      <c r="D20" t="inlineStr">
        <is>
          <t>BUY</t>
        </is>
      </c>
      <c r="E20" t="inlineStr">
        <is>
          <t>Yes</t>
        </is>
      </c>
      <c r="F20" s="2" t="n">
        <v>0.027</v>
      </c>
      <c r="G20" s="6" t="n">
        <v>38</v>
      </c>
      <c r="H20" s="6">
        <f>F20*G20</f>
        <v/>
      </c>
      <c r="I20">
        <f>_xlfn.XLOOKUP(A20,MktTitle,MktCat,"n/a")</f>
        <v/>
      </c>
      <c r="J20" s="3">
        <f>_xlfn.XLOOKUP(A20,MktTitle,MktTotVol,0)</f>
        <v/>
      </c>
      <c r="K20">
        <f>IF(H20&gt;WhaleThreshold,"WHALE","")</f>
        <v/>
      </c>
    </row>
    <row r="21">
      <c r="A21" t="inlineStr">
        <is>
          <t>Will USA win the 2026 FIFA World Cup?</t>
        </is>
      </c>
      <c r="B21" s="4" t="n">
        <v>46206</v>
      </c>
      <c r="C21" s="5" t="n">
        <v>46206.06094907408</v>
      </c>
      <c r="D21" t="inlineStr">
        <is>
          <t>BUY</t>
        </is>
      </c>
      <c r="E21" t="inlineStr">
        <is>
          <t>Yes</t>
        </is>
      </c>
      <c r="F21" s="2" t="n">
        <v>0.027</v>
      </c>
      <c r="G21" s="6" t="n">
        <v>38</v>
      </c>
      <c r="H21" s="6">
        <f>F21*G21</f>
        <v/>
      </c>
      <c r="I21">
        <f>_xlfn.XLOOKUP(A21,MktTitle,MktCat,"n/a")</f>
        <v/>
      </c>
      <c r="J21" s="3">
        <f>_xlfn.XLOOKUP(A21,MktTitle,MktTotVol,0)</f>
        <v/>
      </c>
      <c r="K21">
        <f>IF(H21&gt;WhaleThreshold,"WHALE","")</f>
        <v/>
      </c>
    </row>
    <row r="22">
      <c r="A22" t="inlineStr">
        <is>
          <t>Will USA win the 2026 FIFA World Cup?</t>
        </is>
      </c>
      <c r="B22" s="4" t="n">
        <v>46206</v>
      </c>
      <c r="C22" s="5" t="n">
        <v>46206.06094907408</v>
      </c>
      <c r="D22" t="inlineStr">
        <is>
          <t>BUY</t>
        </is>
      </c>
      <c r="E22" t="inlineStr">
        <is>
          <t>Yes</t>
        </is>
      </c>
      <c r="F22" s="2" t="n">
        <v>0.027</v>
      </c>
      <c r="G22" s="6" t="n">
        <v>38</v>
      </c>
      <c r="H22" s="6">
        <f>F22*G22</f>
        <v/>
      </c>
      <c r="I22">
        <f>_xlfn.XLOOKUP(A22,MktTitle,MktCat,"n/a")</f>
        <v/>
      </c>
      <c r="J22" s="3">
        <f>_xlfn.XLOOKUP(A22,MktTitle,MktTotVol,0)</f>
        <v/>
      </c>
      <c r="K22">
        <f>IF(H22&gt;WhaleThreshold,"WHALE","")</f>
        <v/>
      </c>
    </row>
    <row r="23">
      <c r="A23" t="inlineStr">
        <is>
          <t>Will USA win the 2026 FIFA World Cup?</t>
        </is>
      </c>
      <c r="B23" s="4" t="n">
        <v>46206</v>
      </c>
      <c r="C23" s="5" t="n">
        <v>46206.06094907408</v>
      </c>
      <c r="D23" t="inlineStr">
        <is>
          <t>BUY</t>
        </is>
      </c>
      <c r="E23" t="inlineStr">
        <is>
          <t>Yes</t>
        </is>
      </c>
      <c r="F23" s="2" t="n">
        <v>0.027</v>
      </c>
      <c r="G23" s="6" t="n">
        <v>38</v>
      </c>
      <c r="H23" s="6">
        <f>F23*G23</f>
        <v/>
      </c>
      <c r="I23">
        <f>_xlfn.XLOOKUP(A23,MktTitle,MktCat,"n/a")</f>
        <v/>
      </c>
      <c r="J23" s="3">
        <f>_xlfn.XLOOKUP(A23,MktTitle,MktTotVol,0)</f>
        <v/>
      </c>
      <c r="K23">
        <f>IF(H23&gt;WhaleThreshold,"WHALE","")</f>
        <v/>
      </c>
    </row>
    <row r="24">
      <c r="A24" t="inlineStr">
        <is>
          <t>Will USA win the 2026 FIFA World Cup?</t>
        </is>
      </c>
      <c r="B24" s="4" t="n">
        <v>46206</v>
      </c>
      <c r="C24" s="5" t="n">
        <v>46206.06094907408</v>
      </c>
      <c r="D24" t="inlineStr">
        <is>
          <t>BUY</t>
        </is>
      </c>
      <c r="E24" t="inlineStr">
        <is>
          <t>Yes</t>
        </is>
      </c>
      <c r="F24" s="2" t="n">
        <v>0.027</v>
      </c>
      <c r="G24" s="6" t="n">
        <v>38</v>
      </c>
      <c r="H24" s="6">
        <f>F24*G24</f>
        <v/>
      </c>
      <c r="I24">
        <f>_xlfn.XLOOKUP(A24,MktTitle,MktCat,"n/a")</f>
        <v/>
      </c>
      <c r="J24" s="3">
        <f>_xlfn.XLOOKUP(A24,MktTitle,MktTotVol,0)</f>
        <v/>
      </c>
      <c r="K24">
        <f>IF(H24&gt;WhaleThreshold,"WHALE","")</f>
        <v/>
      </c>
    </row>
    <row r="25">
      <c r="A25" t="inlineStr">
        <is>
          <t>Will USA win the 2026 FIFA World Cup?</t>
        </is>
      </c>
      <c r="B25" s="4" t="n">
        <v>46206</v>
      </c>
      <c r="C25" s="5" t="n">
        <v>46206.06094907408</v>
      </c>
      <c r="D25" t="inlineStr">
        <is>
          <t>BUY</t>
        </is>
      </c>
      <c r="E25" t="inlineStr">
        <is>
          <t>Yes</t>
        </is>
      </c>
      <c r="F25" s="2" t="n">
        <v>0.027</v>
      </c>
      <c r="G25" s="6" t="n">
        <v>38</v>
      </c>
      <c r="H25" s="6">
        <f>F25*G25</f>
        <v/>
      </c>
      <c r="I25">
        <f>_xlfn.XLOOKUP(A25,MktTitle,MktCat,"n/a")</f>
        <v/>
      </c>
      <c r="J25" s="3">
        <f>_xlfn.XLOOKUP(A25,MktTitle,MktTotVol,0)</f>
        <v/>
      </c>
      <c r="K25">
        <f>IF(H25&gt;WhaleThreshold,"WHALE","")</f>
        <v/>
      </c>
    </row>
    <row r="26">
      <c r="A26" t="inlineStr">
        <is>
          <t>Will USA win the 2026 FIFA World Cup?</t>
        </is>
      </c>
      <c r="B26" s="4" t="n">
        <v>46206</v>
      </c>
      <c r="C26" s="5" t="n">
        <v>46206.05761574074</v>
      </c>
      <c r="D26" t="inlineStr">
        <is>
          <t>SELL</t>
        </is>
      </c>
      <c r="E26" t="inlineStr">
        <is>
          <t>No</t>
        </is>
      </c>
      <c r="F26" s="2" t="n">
        <v>0.973</v>
      </c>
      <c r="G26" s="6" t="n">
        <v>54.99</v>
      </c>
      <c r="H26" s="6">
        <f>F26*G26</f>
        <v/>
      </c>
      <c r="I26">
        <f>_xlfn.XLOOKUP(A26,MktTitle,MktCat,"n/a")</f>
        <v/>
      </c>
      <c r="J26" s="3">
        <f>_xlfn.XLOOKUP(A26,MktTitle,MktTotVol,0)</f>
        <v/>
      </c>
      <c r="K26">
        <f>IF(H26&gt;WhaleThreshold,"WHALE","")</f>
        <v/>
      </c>
    </row>
    <row r="27">
      <c r="A27" t="inlineStr">
        <is>
          <t>Will USA win the 2026 FIFA World Cup?</t>
        </is>
      </c>
      <c r="B27" s="4" t="n">
        <v>46206</v>
      </c>
      <c r="C27" s="5" t="n">
        <v>46206.05546296296</v>
      </c>
      <c r="D27" t="inlineStr">
        <is>
          <t>SELL</t>
        </is>
      </c>
      <c r="E27" t="inlineStr">
        <is>
          <t>No</t>
        </is>
      </c>
      <c r="F27" s="2" t="n">
        <v>0.973</v>
      </c>
      <c r="G27" s="6" t="n">
        <v>39.55</v>
      </c>
      <c r="H27" s="6">
        <f>F27*G27</f>
        <v/>
      </c>
      <c r="I27">
        <f>_xlfn.XLOOKUP(A27,MktTitle,MktCat,"n/a")</f>
        <v/>
      </c>
      <c r="J27" s="3">
        <f>_xlfn.XLOOKUP(A27,MktTitle,MktTotVol,0)</f>
        <v/>
      </c>
      <c r="K27">
        <f>IF(H27&gt;WhaleThreshold,"WHALE","")</f>
        <v/>
      </c>
    </row>
    <row r="28">
      <c r="A28" t="inlineStr">
        <is>
          <t>Will USA win the 2026 FIFA World Cup?</t>
        </is>
      </c>
      <c r="B28" s="4" t="n">
        <v>46206</v>
      </c>
      <c r="C28" s="5" t="n">
        <v>46206.05467592592</v>
      </c>
      <c r="D28" t="inlineStr">
        <is>
          <t>BUY</t>
        </is>
      </c>
      <c r="E28" t="inlineStr">
        <is>
          <t>Yes</t>
        </is>
      </c>
      <c r="F28" s="2" t="n">
        <v>0.027</v>
      </c>
      <c r="G28" s="6" t="n">
        <v>1111.1111</v>
      </c>
      <c r="H28" s="6">
        <f>F28*G28</f>
        <v/>
      </c>
      <c r="I28">
        <f>_xlfn.XLOOKUP(A28,MktTitle,MktCat,"n/a")</f>
        <v/>
      </c>
      <c r="J28" s="3">
        <f>_xlfn.XLOOKUP(A28,MktTitle,MktTotVol,0)</f>
        <v/>
      </c>
      <c r="K28">
        <f>IF(H28&gt;WhaleThreshold,"WHALE","")</f>
        <v/>
      </c>
    </row>
    <row r="29">
      <c r="A29" t="inlineStr">
        <is>
          <t>Will USA win the 2026 FIFA World Cup?</t>
        </is>
      </c>
      <c r="B29" s="4" t="n">
        <v>46206</v>
      </c>
      <c r="C29" s="5" t="n">
        <v>46206.05460648148</v>
      </c>
      <c r="D29" t="inlineStr">
        <is>
          <t>SELL</t>
        </is>
      </c>
      <c r="E29" t="inlineStr">
        <is>
          <t>No</t>
        </is>
      </c>
      <c r="F29" s="2" t="n">
        <v>0.973</v>
      </c>
      <c r="G29" s="6" t="n">
        <v>47.09</v>
      </c>
      <c r="H29" s="6">
        <f>F29*G29</f>
        <v/>
      </c>
      <c r="I29">
        <f>_xlfn.XLOOKUP(A29,MktTitle,MktCat,"n/a")</f>
        <v/>
      </c>
      <c r="J29" s="3">
        <f>_xlfn.XLOOKUP(A29,MktTitle,MktTotVol,0)</f>
        <v/>
      </c>
      <c r="K29">
        <f>IF(H29&gt;WhaleThreshold,"WHALE","")</f>
        <v/>
      </c>
    </row>
    <row r="30">
      <c r="A30" t="inlineStr">
        <is>
          <t>Will USA win the 2026 FIFA World Cup?</t>
        </is>
      </c>
      <c r="B30" s="4" t="n">
        <v>46206</v>
      </c>
      <c r="C30" s="5" t="n">
        <v>46206.05429398148</v>
      </c>
      <c r="D30" t="inlineStr">
        <is>
          <t>SELL</t>
        </is>
      </c>
      <c r="E30" t="inlineStr">
        <is>
          <t>Yes</t>
        </is>
      </c>
      <c r="F30" s="2" t="n">
        <v>0.026</v>
      </c>
      <c r="G30" s="6" t="n">
        <v>1028.12</v>
      </c>
      <c r="H30" s="6">
        <f>F30*G30</f>
        <v/>
      </c>
      <c r="I30">
        <f>_xlfn.XLOOKUP(A30,MktTitle,MktCat,"n/a")</f>
        <v/>
      </c>
      <c r="J30" s="3">
        <f>_xlfn.XLOOKUP(A30,MktTitle,MktTotVol,0)</f>
        <v/>
      </c>
      <c r="K30">
        <f>IF(H30&gt;WhaleThreshold,"WHALE","")</f>
        <v/>
      </c>
    </row>
    <row r="31">
      <c r="A31" t="inlineStr">
        <is>
          <t>Will USA win the 2026 FIFA World Cup?</t>
        </is>
      </c>
      <c r="B31" s="4" t="n">
        <v>46206</v>
      </c>
      <c r="C31" s="5" t="n">
        <v>46206.05422453704</v>
      </c>
      <c r="D31" t="inlineStr">
        <is>
          <t>BUY</t>
        </is>
      </c>
      <c r="E31" t="inlineStr">
        <is>
          <t>No</t>
        </is>
      </c>
      <c r="F31" s="2" t="n">
        <v>0.974</v>
      </c>
      <c r="G31" s="6" t="n">
        <v>25</v>
      </c>
      <c r="H31" s="6">
        <f>F31*G31</f>
        <v/>
      </c>
      <c r="I31">
        <f>_xlfn.XLOOKUP(A31,MktTitle,MktCat,"n/a")</f>
        <v/>
      </c>
      <c r="J31" s="3">
        <f>_xlfn.XLOOKUP(A31,MktTitle,MktTotVol,0)</f>
        <v/>
      </c>
      <c r="K31">
        <f>IF(H31&gt;WhaleThreshold,"WHALE","")</f>
        <v/>
      </c>
    </row>
    <row r="32">
      <c r="A32" t="inlineStr">
        <is>
          <t>Will USA win the 2026 FIFA World Cup?</t>
        </is>
      </c>
      <c r="B32" s="4" t="n">
        <v>46206</v>
      </c>
      <c r="C32" s="5" t="n">
        <v>46206.05366898148</v>
      </c>
      <c r="D32" t="inlineStr">
        <is>
          <t>BUY</t>
        </is>
      </c>
      <c r="E32" t="inlineStr">
        <is>
          <t>Yes</t>
        </is>
      </c>
      <c r="F32" s="2" t="n">
        <v>0.027</v>
      </c>
      <c r="G32" s="6" t="n">
        <v>74.0741</v>
      </c>
      <c r="H32" s="6">
        <f>F32*G32</f>
        <v/>
      </c>
      <c r="I32">
        <f>_xlfn.XLOOKUP(A32,MktTitle,MktCat,"n/a")</f>
        <v/>
      </c>
      <c r="J32" s="3">
        <f>_xlfn.XLOOKUP(A32,MktTitle,MktTotVol,0)</f>
        <v/>
      </c>
      <c r="K32">
        <f>IF(H32&gt;WhaleThreshold,"WHALE","")</f>
        <v/>
      </c>
    </row>
    <row r="33">
      <c r="A33" t="inlineStr">
        <is>
          <t>Will USA win the 2026 FIFA World Cup?</t>
        </is>
      </c>
      <c r="B33" s="4" t="n">
        <v>46206</v>
      </c>
      <c r="C33" s="5" t="n">
        <v>46206.05275462963</v>
      </c>
      <c r="D33" t="inlineStr">
        <is>
          <t>SELL</t>
        </is>
      </c>
      <c r="E33" t="inlineStr">
        <is>
          <t>Yes</t>
        </is>
      </c>
      <c r="F33" s="2" t="n">
        <v>0.026</v>
      </c>
      <c r="G33" s="6" t="n">
        <v>71.43000000000001</v>
      </c>
      <c r="H33" s="6">
        <f>F33*G33</f>
        <v/>
      </c>
      <c r="I33">
        <f>_xlfn.XLOOKUP(A33,MktTitle,MktCat,"n/a")</f>
        <v/>
      </c>
      <c r="J33" s="3">
        <f>_xlfn.XLOOKUP(A33,MktTitle,MktTotVol,0)</f>
        <v/>
      </c>
      <c r="K33">
        <f>IF(H33&gt;WhaleThreshold,"WHALE","")</f>
        <v/>
      </c>
    </row>
    <row r="34">
      <c r="A34" t="inlineStr">
        <is>
          <t>Will USA win the 2026 FIFA World Cup?</t>
        </is>
      </c>
      <c r="B34" s="4" t="n">
        <v>46206</v>
      </c>
      <c r="C34" s="5" t="n">
        <v>46206.05275462963</v>
      </c>
      <c r="D34" t="inlineStr">
        <is>
          <t>SELL</t>
        </is>
      </c>
      <c r="E34" t="inlineStr">
        <is>
          <t>No</t>
        </is>
      </c>
      <c r="F34" s="2" t="n">
        <v>0.973</v>
      </c>
      <c r="G34" s="6" t="n">
        <v>42.81</v>
      </c>
      <c r="H34" s="6">
        <f>F34*G34</f>
        <v/>
      </c>
      <c r="I34">
        <f>_xlfn.XLOOKUP(A34,MktTitle,MktCat,"n/a")</f>
        <v/>
      </c>
      <c r="J34" s="3">
        <f>_xlfn.XLOOKUP(A34,MktTitle,MktTotVol,0)</f>
        <v/>
      </c>
      <c r="K34">
        <f>IF(H34&gt;WhaleThreshold,"WHALE","")</f>
        <v/>
      </c>
    </row>
    <row r="35">
      <c r="A35" t="inlineStr">
        <is>
          <t>Will USA win the 2026 FIFA World Cup?</t>
        </is>
      </c>
      <c r="B35" s="4" t="n">
        <v>46206</v>
      </c>
      <c r="C35" s="5" t="n">
        <v>46206.05259259259</v>
      </c>
      <c r="D35" t="inlineStr">
        <is>
          <t>BUY</t>
        </is>
      </c>
      <c r="E35" t="inlineStr">
        <is>
          <t>Yes</t>
        </is>
      </c>
      <c r="F35" s="2" t="n">
        <v>0.027</v>
      </c>
      <c r="G35" s="6" t="n">
        <v>37.037</v>
      </c>
      <c r="H35" s="6">
        <f>F35*G35</f>
        <v/>
      </c>
      <c r="I35">
        <f>_xlfn.XLOOKUP(A35,MktTitle,MktCat,"n/a")</f>
        <v/>
      </c>
      <c r="J35" s="3">
        <f>_xlfn.XLOOKUP(A35,MktTitle,MktTotVol,0)</f>
        <v/>
      </c>
      <c r="K35">
        <f>IF(H35&gt;WhaleThreshold,"WHALE","")</f>
        <v/>
      </c>
    </row>
    <row r="36">
      <c r="A36" t="inlineStr">
        <is>
          <t>Will USA win the 2026 FIFA World Cup?</t>
        </is>
      </c>
      <c r="B36" s="4" t="n">
        <v>46206</v>
      </c>
      <c r="C36" s="5" t="n">
        <v>46206.05074074074</v>
      </c>
      <c r="D36" t="inlineStr">
        <is>
          <t>SELL</t>
        </is>
      </c>
      <c r="E36" t="inlineStr">
        <is>
          <t>Yes</t>
        </is>
      </c>
      <c r="F36" s="2" t="n">
        <v>0.026</v>
      </c>
      <c r="G36" s="6" t="n">
        <v>161.3</v>
      </c>
      <c r="H36" s="6">
        <f>F36*G36</f>
        <v/>
      </c>
      <c r="I36">
        <f>_xlfn.XLOOKUP(A36,MktTitle,MktCat,"n/a")</f>
        <v/>
      </c>
      <c r="J36" s="3">
        <f>_xlfn.XLOOKUP(A36,MktTitle,MktTotVol,0)</f>
        <v/>
      </c>
      <c r="K36">
        <f>IF(H36&gt;WhaleThreshold,"WHALE","")</f>
        <v/>
      </c>
    </row>
    <row r="37">
      <c r="A37" t="inlineStr">
        <is>
          <t>Will USA win the 2026 FIFA World Cup?</t>
        </is>
      </c>
      <c r="B37" s="4" t="n">
        <v>46206</v>
      </c>
      <c r="C37" s="5" t="n">
        <v>46206.04498842593</v>
      </c>
      <c r="D37" t="inlineStr">
        <is>
          <t>BUY</t>
        </is>
      </c>
      <c r="E37" t="inlineStr">
        <is>
          <t>No</t>
        </is>
      </c>
      <c r="F37" s="2" t="n">
        <v>0.974</v>
      </c>
      <c r="G37" s="6" t="n">
        <v>5</v>
      </c>
      <c r="H37" s="6">
        <f>F37*G37</f>
        <v/>
      </c>
      <c r="I37">
        <f>_xlfn.XLOOKUP(A37,MktTitle,MktCat,"n/a")</f>
        <v/>
      </c>
      <c r="J37" s="3">
        <f>_xlfn.XLOOKUP(A37,MktTitle,MktTotVol,0)</f>
        <v/>
      </c>
      <c r="K37">
        <f>IF(H37&gt;WhaleThreshold,"WHALE","")</f>
        <v/>
      </c>
    </row>
    <row r="38">
      <c r="A38" t="inlineStr">
        <is>
          <t>Will USA win the 2026 FIFA World Cup?</t>
        </is>
      </c>
      <c r="B38" s="4" t="n">
        <v>46206</v>
      </c>
      <c r="C38" s="5" t="n">
        <v>46206.04320601852</v>
      </c>
      <c r="D38" t="inlineStr">
        <is>
          <t>SELL</t>
        </is>
      </c>
      <c r="E38" t="inlineStr">
        <is>
          <t>Yes</t>
        </is>
      </c>
      <c r="F38" s="2" t="n">
        <v>0.026</v>
      </c>
      <c r="G38" s="6" t="n">
        <v>161.29</v>
      </c>
      <c r="H38" s="6">
        <f>F38*G38</f>
        <v/>
      </c>
      <c r="I38">
        <f>_xlfn.XLOOKUP(A38,MktTitle,MktCat,"n/a")</f>
        <v/>
      </c>
      <c r="J38" s="3">
        <f>_xlfn.XLOOKUP(A38,MktTitle,MktTotVol,0)</f>
        <v/>
      </c>
      <c r="K38">
        <f>IF(H38&gt;WhaleThreshold,"WHALE","")</f>
        <v/>
      </c>
    </row>
    <row r="39">
      <c r="A39" t="inlineStr">
        <is>
          <t>Will USA win the 2026 FIFA World Cup?</t>
        </is>
      </c>
      <c r="B39" s="4" t="n">
        <v>46206</v>
      </c>
      <c r="C39" s="5" t="n">
        <v>46206.04252314815</v>
      </c>
      <c r="D39" t="inlineStr">
        <is>
          <t>BUY</t>
        </is>
      </c>
      <c r="E39" t="inlineStr">
        <is>
          <t>No</t>
        </is>
      </c>
      <c r="F39" s="2" t="n">
        <v>0.974</v>
      </c>
      <c r="G39" s="6" t="n">
        <v>61.6016</v>
      </c>
      <c r="H39" s="6">
        <f>F39*G39</f>
        <v/>
      </c>
      <c r="I39">
        <f>_xlfn.XLOOKUP(A39,MktTitle,MktCat,"n/a")</f>
        <v/>
      </c>
      <c r="J39" s="3">
        <f>_xlfn.XLOOKUP(A39,MktTitle,MktTotVol,0)</f>
        <v/>
      </c>
      <c r="K39">
        <f>IF(H39&gt;WhaleThreshold,"WHALE","")</f>
        <v/>
      </c>
    </row>
    <row r="40">
      <c r="A40" t="inlineStr">
        <is>
          <t>Will USA win the 2026 FIFA World Cup?</t>
        </is>
      </c>
      <c r="B40" s="4" t="n">
        <v>46206</v>
      </c>
      <c r="C40" s="5" t="n">
        <v>46206.04237268519</v>
      </c>
      <c r="D40" t="inlineStr">
        <is>
          <t>BUY</t>
        </is>
      </c>
      <c r="E40" t="inlineStr">
        <is>
          <t>No</t>
        </is>
      </c>
      <c r="F40" s="2" t="n">
        <v>0.974</v>
      </c>
      <c r="G40" s="6" t="n">
        <v>44.4866</v>
      </c>
      <c r="H40" s="6">
        <f>F40*G40</f>
        <v/>
      </c>
      <c r="I40">
        <f>_xlfn.XLOOKUP(A40,MktTitle,MktCat,"n/a")</f>
        <v/>
      </c>
      <c r="J40" s="3">
        <f>_xlfn.XLOOKUP(A40,MktTitle,MktTotVol,0)</f>
        <v/>
      </c>
      <c r="K40">
        <f>IF(H40&gt;WhaleThreshold,"WHALE","")</f>
        <v/>
      </c>
    </row>
    <row r="41">
      <c r="A41" t="inlineStr">
        <is>
          <t>Will USA win the 2026 FIFA World Cup?</t>
        </is>
      </c>
      <c r="B41" s="4" t="n">
        <v>46206</v>
      </c>
      <c r="C41" s="5" t="n">
        <v>46206.04193287037</v>
      </c>
      <c r="D41" t="inlineStr">
        <is>
          <t>SELL</t>
        </is>
      </c>
      <c r="E41" t="inlineStr">
        <is>
          <t>Yes</t>
        </is>
      </c>
      <c r="F41" s="2" t="n">
        <v>0.026</v>
      </c>
      <c r="G41" s="6" t="n">
        <v>1250</v>
      </c>
      <c r="H41" s="6">
        <f>F41*G41</f>
        <v/>
      </c>
      <c r="I41">
        <f>_xlfn.XLOOKUP(A41,MktTitle,MktCat,"n/a")</f>
        <v/>
      </c>
      <c r="J41" s="3">
        <f>_xlfn.XLOOKUP(A41,MktTitle,MktTotVol,0)</f>
        <v/>
      </c>
      <c r="K41">
        <f>IF(H41&gt;WhaleThreshold,"WHALE","")</f>
        <v/>
      </c>
    </row>
    <row r="42">
      <c r="A42" t="inlineStr">
        <is>
          <t>Will USA win the 2026 FIFA World Cup?</t>
        </is>
      </c>
      <c r="B42" s="4" t="n">
        <v>46206</v>
      </c>
      <c r="C42" s="5" t="n">
        <v>46206.03994212963</v>
      </c>
      <c r="D42" t="inlineStr">
        <is>
          <t>BUY</t>
        </is>
      </c>
      <c r="E42" t="inlineStr">
        <is>
          <t>No</t>
        </is>
      </c>
      <c r="F42" s="2" t="n">
        <v>0.974</v>
      </c>
      <c r="G42" s="6" t="n">
        <v>30</v>
      </c>
      <c r="H42" s="6">
        <f>F42*G42</f>
        <v/>
      </c>
      <c r="I42">
        <f>_xlfn.XLOOKUP(A42,MktTitle,MktCat,"n/a")</f>
        <v/>
      </c>
      <c r="J42" s="3">
        <f>_xlfn.XLOOKUP(A42,MktTitle,MktTotVol,0)</f>
        <v/>
      </c>
      <c r="K42">
        <f>IF(H42&gt;WhaleThreshold,"WHALE","")</f>
        <v/>
      </c>
    </row>
    <row r="43">
      <c r="A43" t="inlineStr">
        <is>
          <t>Will USA win the 2026 FIFA World Cup?</t>
        </is>
      </c>
      <c r="B43" s="4" t="n">
        <v>46206</v>
      </c>
      <c r="C43" s="5" t="n">
        <v>46206.0372337963</v>
      </c>
      <c r="D43" t="inlineStr">
        <is>
          <t>SELL</t>
        </is>
      </c>
      <c r="E43" t="inlineStr">
        <is>
          <t>Yes</t>
        </is>
      </c>
      <c r="F43" s="2" t="n">
        <v>0.026</v>
      </c>
      <c r="G43" s="6" t="n">
        <v>47.91</v>
      </c>
      <c r="H43" s="6">
        <f>F43*G43</f>
        <v/>
      </c>
      <c r="I43">
        <f>_xlfn.XLOOKUP(A43,MktTitle,MktCat,"n/a")</f>
        <v/>
      </c>
      <c r="J43" s="3">
        <f>_xlfn.XLOOKUP(A43,MktTitle,MktTotVol,0)</f>
        <v/>
      </c>
      <c r="K43">
        <f>IF(H43&gt;WhaleThreshold,"WHALE","")</f>
        <v/>
      </c>
    </row>
    <row r="44">
      <c r="A44" t="inlineStr">
        <is>
          <t>Will USA win the 2026 FIFA World Cup?</t>
        </is>
      </c>
      <c r="B44" s="4" t="n">
        <v>46206</v>
      </c>
      <c r="C44" s="5" t="n">
        <v>46206.03424768519</v>
      </c>
      <c r="D44" t="inlineStr">
        <is>
          <t>SELL</t>
        </is>
      </c>
      <c r="E44" t="inlineStr">
        <is>
          <t>Yes</t>
        </is>
      </c>
      <c r="F44" s="2" t="n">
        <v>0.026</v>
      </c>
      <c r="G44" s="6" t="n">
        <v>8465</v>
      </c>
      <c r="H44" s="6">
        <f>F44*G44</f>
        <v/>
      </c>
      <c r="I44">
        <f>_xlfn.XLOOKUP(A44,MktTitle,MktCat,"n/a")</f>
        <v/>
      </c>
      <c r="J44" s="3">
        <f>_xlfn.XLOOKUP(A44,MktTitle,MktTotVol,0)</f>
        <v/>
      </c>
      <c r="K44">
        <f>IF(H44&gt;WhaleThreshold,"WHALE","")</f>
        <v/>
      </c>
    </row>
    <row r="45">
      <c r="A45" t="inlineStr">
        <is>
          <t>Will USA win the 2026 FIFA World Cup?</t>
        </is>
      </c>
      <c r="B45" s="4" t="n">
        <v>46206</v>
      </c>
      <c r="C45" s="5" t="n">
        <v>46206.03192129629</v>
      </c>
      <c r="D45" t="inlineStr">
        <is>
          <t>BUY</t>
        </is>
      </c>
      <c r="E45" t="inlineStr">
        <is>
          <t>Yes</t>
        </is>
      </c>
      <c r="F45" s="2" t="n">
        <v>0.027</v>
      </c>
      <c r="G45" s="6" t="n">
        <v>37.037</v>
      </c>
      <c r="H45" s="6">
        <f>F45*G45</f>
        <v/>
      </c>
      <c r="I45">
        <f>_xlfn.XLOOKUP(A45,MktTitle,MktCat,"n/a")</f>
        <v/>
      </c>
      <c r="J45" s="3">
        <f>_xlfn.XLOOKUP(A45,MktTitle,MktTotVol,0)</f>
        <v/>
      </c>
      <c r="K45">
        <f>IF(H45&gt;WhaleThreshold,"WHALE","")</f>
        <v/>
      </c>
    </row>
    <row r="46">
      <c r="A46" t="inlineStr">
        <is>
          <t>Will USA win the 2026 FIFA World Cup?</t>
        </is>
      </c>
      <c r="B46" s="4" t="n">
        <v>46206</v>
      </c>
      <c r="C46" s="5" t="n">
        <v>46206.03082175926</v>
      </c>
      <c r="D46" t="inlineStr">
        <is>
          <t>BUY</t>
        </is>
      </c>
      <c r="E46" t="inlineStr">
        <is>
          <t>Yes</t>
        </is>
      </c>
      <c r="F46" s="2" t="n">
        <v>0.027</v>
      </c>
      <c r="G46" s="6" t="n">
        <v>74.0741</v>
      </c>
      <c r="H46" s="6">
        <f>F46*G46</f>
        <v/>
      </c>
      <c r="I46">
        <f>_xlfn.XLOOKUP(A46,MktTitle,MktCat,"n/a")</f>
        <v/>
      </c>
      <c r="J46" s="3">
        <f>_xlfn.XLOOKUP(A46,MktTitle,MktTotVol,0)</f>
        <v/>
      </c>
      <c r="K46">
        <f>IF(H46&gt;WhaleThreshold,"WHALE","")</f>
        <v/>
      </c>
    </row>
    <row r="47">
      <c r="A47" t="inlineStr">
        <is>
          <t>Will USA win the 2026 FIFA World Cup?</t>
        </is>
      </c>
      <c r="B47" s="4" t="n">
        <v>46206</v>
      </c>
      <c r="C47" s="5" t="n">
        <v>46206.02915509259</v>
      </c>
      <c r="D47" t="inlineStr">
        <is>
          <t>SELL</t>
        </is>
      </c>
      <c r="E47" t="inlineStr">
        <is>
          <t>Yes</t>
        </is>
      </c>
      <c r="F47" s="2" t="n">
        <v>0.026</v>
      </c>
      <c r="G47" s="6" t="n">
        <v>303.03</v>
      </c>
      <c r="H47" s="6">
        <f>F47*G47</f>
        <v/>
      </c>
      <c r="I47">
        <f>_xlfn.XLOOKUP(A47,MktTitle,MktCat,"n/a")</f>
        <v/>
      </c>
      <c r="J47" s="3">
        <f>_xlfn.XLOOKUP(A47,MktTitle,MktTotVol,0)</f>
        <v/>
      </c>
      <c r="K47">
        <f>IF(H47&gt;WhaleThreshold,"WHALE","")</f>
        <v/>
      </c>
    </row>
    <row r="48">
      <c r="A48" t="inlineStr">
        <is>
          <t>Will USA win the 2026 FIFA World Cup?</t>
        </is>
      </c>
      <c r="B48" s="4" t="n">
        <v>46206</v>
      </c>
      <c r="C48" s="5" t="n">
        <v>46206.02734953703</v>
      </c>
      <c r="D48" t="inlineStr">
        <is>
          <t>SELL</t>
        </is>
      </c>
      <c r="E48" t="inlineStr">
        <is>
          <t>Yes</t>
        </is>
      </c>
      <c r="F48" s="2" t="n">
        <v>0.026</v>
      </c>
      <c r="G48" s="6" t="n">
        <v>124</v>
      </c>
      <c r="H48" s="6">
        <f>F48*G48</f>
        <v/>
      </c>
      <c r="I48">
        <f>_xlfn.XLOOKUP(A48,MktTitle,MktCat,"n/a")</f>
        <v/>
      </c>
      <c r="J48" s="3">
        <f>_xlfn.XLOOKUP(A48,MktTitle,MktTotVol,0)</f>
        <v/>
      </c>
      <c r="K48">
        <f>IF(H48&gt;WhaleThreshold,"WHALE","")</f>
        <v/>
      </c>
    </row>
    <row r="49">
      <c r="A49" t="inlineStr">
        <is>
          <t>Will USA win the 2026 FIFA World Cup?</t>
        </is>
      </c>
      <c r="B49" s="4" t="n">
        <v>46206</v>
      </c>
      <c r="C49" s="5" t="n">
        <v>46206.02550925926</v>
      </c>
      <c r="D49" t="inlineStr">
        <is>
          <t>SELL</t>
        </is>
      </c>
      <c r="E49" t="inlineStr">
        <is>
          <t>Yes</t>
        </is>
      </c>
      <c r="F49" s="2" t="n">
        <v>0.026</v>
      </c>
      <c r="G49" s="6" t="n">
        <v>75.14</v>
      </c>
      <c r="H49" s="6">
        <f>F49*G49</f>
        <v/>
      </c>
      <c r="I49">
        <f>_xlfn.XLOOKUP(A49,MktTitle,MktCat,"n/a")</f>
        <v/>
      </c>
      <c r="J49" s="3">
        <f>_xlfn.XLOOKUP(A49,MktTitle,MktTotVol,0)</f>
        <v/>
      </c>
      <c r="K49">
        <f>IF(H49&gt;WhaleThreshold,"WHALE","")</f>
        <v/>
      </c>
    </row>
    <row r="50">
      <c r="A50" t="inlineStr">
        <is>
          <t>Will USA win the 2026 FIFA World Cup?</t>
        </is>
      </c>
      <c r="B50" s="4" t="n">
        <v>46206</v>
      </c>
      <c r="C50" s="5" t="n">
        <v>46206.02422453704</v>
      </c>
      <c r="D50" t="inlineStr">
        <is>
          <t>SELL</t>
        </is>
      </c>
      <c r="E50" t="inlineStr">
        <is>
          <t>No</t>
        </is>
      </c>
      <c r="F50" s="2" t="n">
        <v>0.973</v>
      </c>
      <c r="G50" s="6" t="n">
        <v>19.13</v>
      </c>
      <c r="H50" s="6">
        <f>F50*G50</f>
        <v/>
      </c>
      <c r="I50">
        <f>_xlfn.XLOOKUP(A50,MktTitle,MktCat,"n/a")</f>
        <v/>
      </c>
      <c r="J50" s="3">
        <f>_xlfn.XLOOKUP(A50,MktTitle,MktTotVol,0)</f>
        <v/>
      </c>
      <c r="K50">
        <f>IF(H50&gt;WhaleThreshold,"WHALE","")</f>
        <v/>
      </c>
    </row>
    <row r="51">
      <c r="A51" t="inlineStr">
        <is>
          <t>Will USA win the 2026 FIFA World Cup?</t>
        </is>
      </c>
      <c r="B51" s="4" t="n">
        <v>46206</v>
      </c>
      <c r="C51" s="5" t="n">
        <v>46206.02408564815</v>
      </c>
      <c r="D51" t="inlineStr">
        <is>
          <t>SELL</t>
        </is>
      </c>
      <c r="E51" t="inlineStr">
        <is>
          <t>Yes</t>
        </is>
      </c>
      <c r="F51" s="2" t="n">
        <v>0.026</v>
      </c>
      <c r="G51" s="6" t="n">
        <v>559.89</v>
      </c>
      <c r="H51" s="6">
        <f>F51*G51</f>
        <v/>
      </c>
      <c r="I51">
        <f>_xlfn.XLOOKUP(A51,MktTitle,MktCat,"n/a")</f>
        <v/>
      </c>
      <c r="J51" s="3">
        <f>_xlfn.XLOOKUP(A51,MktTitle,MktTotVol,0)</f>
        <v/>
      </c>
      <c r="K51">
        <f>IF(H51&gt;WhaleThreshold,"WHALE","")</f>
        <v/>
      </c>
    </row>
    <row r="52">
      <c r="A52" t="inlineStr">
        <is>
          <t>Will USA win the 2026 FIFA World Cup?</t>
        </is>
      </c>
      <c r="B52" s="4" t="n">
        <v>46206</v>
      </c>
      <c r="C52" s="5" t="n">
        <v>46206.02394675926</v>
      </c>
      <c r="D52" t="inlineStr">
        <is>
          <t>BUY</t>
        </is>
      </c>
      <c r="E52" t="inlineStr">
        <is>
          <t>No</t>
        </is>
      </c>
      <c r="F52" s="2" t="n">
        <v>0.974</v>
      </c>
      <c r="G52" s="6" t="n">
        <v>19.13</v>
      </c>
      <c r="H52" s="6">
        <f>F52*G52</f>
        <v/>
      </c>
      <c r="I52">
        <f>_xlfn.XLOOKUP(A52,MktTitle,MktCat,"n/a")</f>
        <v/>
      </c>
      <c r="J52" s="3">
        <f>_xlfn.XLOOKUP(A52,MktTitle,MktTotVol,0)</f>
        <v/>
      </c>
      <c r="K52">
        <f>IF(H52&gt;WhaleThreshold,"WHALE","")</f>
        <v/>
      </c>
    </row>
    <row r="53">
      <c r="A53" t="inlineStr">
        <is>
          <t>Will USA win the 2026 FIFA World Cup?</t>
        </is>
      </c>
      <c r="B53" s="4" t="n">
        <v>46206</v>
      </c>
      <c r="C53" s="5" t="n">
        <v>46206.02293981481</v>
      </c>
      <c r="D53" t="inlineStr">
        <is>
          <t>BUY</t>
        </is>
      </c>
      <c r="E53" t="inlineStr">
        <is>
          <t>Yes</t>
        </is>
      </c>
      <c r="F53" s="2" t="n">
        <v>0.027</v>
      </c>
      <c r="G53" s="6" t="n">
        <v>185.1852</v>
      </c>
      <c r="H53" s="6">
        <f>F53*G53</f>
        <v/>
      </c>
      <c r="I53">
        <f>_xlfn.XLOOKUP(A53,MktTitle,MktCat,"n/a")</f>
        <v/>
      </c>
      <c r="J53" s="3">
        <f>_xlfn.XLOOKUP(A53,MktTitle,MktTotVol,0)</f>
        <v/>
      </c>
      <c r="K53">
        <f>IF(H53&gt;WhaleThreshold,"WHALE","")</f>
        <v/>
      </c>
    </row>
    <row r="54">
      <c r="A54" t="inlineStr">
        <is>
          <t>Will USA win the 2026 FIFA World Cup?</t>
        </is>
      </c>
      <c r="B54" s="4" t="n">
        <v>46206</v>
      </c>
      <c r="C54" s="5" t="n">
        <v>46206.02153935185</v>
      </c>
      <c r="D54" t="inlineStr">
        <is>
          <t>BUY</t>
        </is>
      </c>
      <c r="E54" t="inlineStr">
        <is>
          <t>No</t>
        </is>
      </c>
      <c r="F54" s="2" t="n">
        <v>0.974</v>
      </c>
      <c r="G54" s="6" t="n">
        <v>41.9404</v>
      </c>
      <c r="H54" s="6">
        <f>F54*G54</f>
        <v/>
      </c>
      <c r="I54">
        <f>_xlfn.XLOOKUP(A54,MktTitle,MktCat,"n/a")</f>
        <v/>
      </c>
      <c r="J54" s="3">
        <f>_xlfn.XLOOKUP(A54,MktTitle,MktTotVol,0)</f>
        <v/>
      </c>
      <c r="K54">
        <f>IF(H54&gt;WhaleThreshold,"WHALE","")</f>
        <v/>
      </c>
    </row>
    <row r="55">
      <c r="A55" t="inlineStr">
        <is>
          <t>Will USA win the 2026 FIFA World Cup?</t>
        </is>
      </c>
      <c r="B55" s="4" t="n">
        <v>46206</v>
      </c>
      <c r="C55" s="5" t="n">
        <v>46206.02046296297</v>
      </c>
      <c r="D55" t="inlineStr">
        <is>
          <t>BUY</t>
        </is>
      </c>
      <c r="E55" t="inlineStr">
        <is>
          <t>Yes</t>
        </is>
      </c>
      <c r="F55" s="2" t="n">
        <v>0.027</v>
      </c>
      <c r="G55" s="6" t="n">
        <v>185.1852</v>
      </c>
      <c r="H55" s="6">
        <f>F55*G55</f>
        <v/>
      </c>
      <c r="I55">
        <f>_xlfn.XLOOKUP(A55,MktTitle,MktCat,"n/a")</f>
        <v/>
      </c>
      <c r="J55" s="3">
        <f>_xlfn.XLOOKUP(A55,MktTitle,MktTotVol,0)</f>
        <v/>
      </c>
      <c r="K55">
        <f>IF(H55&gt;WhaleThreshold,"WHALE","")</f>
        <v/>
      </c>
    </row>
    <row r="56">
      <c r="A56" t="inlineStr">
        <is>
          <t>Will USA win the 2026 FIFA World Cup?</t>
        </is>
      </c>
      <c r="B56" s="4" t="n">
        <v>46206</v>
      </c>
      <c r="C56" s="5" t="n">
        <v>46206.01869212963</v>
      </c>
      <c r="D56" t="inlineStr">
        <is>
          <t>SELL</t>
        </is>
      </c>
      <c r="E56" t="inlineStr">
        <is>
          <t>Yes</t>
        </is>
      </c>
      <c r="F56" s="2" t="n">
        <v>0.026</v>
      </c>
      <c r="G56" s="6" t="n">
        <v>5.11</v>
      </c>
      <c r="H56" s="6">
        <f>F56*G56</f>
        <v/>
      </c>
      <c r="I56">
        <f>_xlfn.XLOOKUP(A56,MktTitle,MktCat,"n/a")</f>
        <v/>
      </c>
      <c r="J56" s="3">
        <f>_xlfn.XLOOKUP(A56,MktTitle,MktTotVol,0)</f>
        <v/>
      </c>
      <c r="K56">
        <f>IF(H56&gt;WhaleThreshold,"WHALE","")</f>
        <v/>
      </c>
    </row>
    <row r="57">
      <c r="A57" t="inlineStr">
        <is>
          <t>Will USA win the 2026 FIFA World Cup?</t>
        </is>
      </c>
      <c r="B57" s="4" t="n">
        <v>46206</v>
      </c>
      <c r="C57" s="5" t="n">
        <v>46206.0180787037</v>
      </c>
      <c r="D57" t="inlineStr">
        <is>
          <t>SELL</t>
        </is>
      </c>
      <c r="E57" t="inlineStr">
        <is>
          <t>Yes</t>
        </is>
      </c>
      <c r="F57" s="2" t="n">
        <v>0.026</v>
      </c>
      <c r="G57" s="6" t="n">
        <v>108.13</v>
      </c>
      <c r="H57" s="6">
        <f>F57*G57</f>
        <v/>
      </c>
      <c r="I57">
        <f>_xlfn.XLOOKUP(A57,MktTitle,MktCat,"n/a")</f>
        <v/>
      </c>
      <c r="J57" s="3">
        <f>_xlfn.XLOOKUP(A57,MktTitle,MktTotVol,0)</f>
        <v/>
      </c>
      <c r="K57">
        <f>IF(H57&gt;WhaleThreshold,"WHALE","")</f>
        <v/>
      </c>
    </row>
    <row r="58">
      <c r="A58" t="inlineStr">
        <is>
          <t>Will USA win the 2026 FIFA World Cup?</t>
        </is>
      </c>
      <c r="B58" s="4" t="n">
        <v>46206</v>
      </c>
      <c r="C58" s="5" t="n">
        <v>46206.01637731482</v>
      </c>
      <c r="D58" t="inlineStr">
        <is>
          <t>SELL</t>
        </is>
      </c>
      <c r="E58" t="inlineStr">
        <is>
          <t>Yes</t>
        </is>
      </c>
      <c r="F58" s="2" t="n">
        <v>0.026</v>
      </c>
      <c r="G58" s="6" t="n">
        <v>470.19</v>
      </c>
      <c r="H58" s="6">
        <f>F58*G58</f>
        <v/>
      </c>
      <c r="I58">
        <f>_xlfn.XLOOKUP(A58,MktTitle,MktCat,"n/a")</f>
        <v/>
      </c>
      <c r="J58" s="3">
        <f>_xlfn.XLOOKUP(A58,MktTitle,MktTotVol,0)</f>
        <v/>
      </c>
      <c r="K58">
        <f>IF(H58&gt;WhaleThreshold,"WHALE","")</f>
        <v/>
      </c>
    </row>
    <row r="59">
      <c r="A59" t="inlineStr">
        <is>
          <t>Will USA win the 2026 FIFA World Cup?</t>
        </is>
      </c>
      <c r="B59" s="4" t="n">
        <v>46206</v>
      </c>
      <c r="C59" s="5" t="n">
        <v>46206.01556712963</v>
      </c>
      <c r="D59" t="inlineStr">
        <is>
          <t>BUY</t>
        </is>
      </c>
      <c r="E59" t="inlineStr">
        <is>
          <t>Yes</t>
        </is>
      </c>
      <c r="F59" s="2" t="n">
        <v>0.027</v>
      </c>
      <c r="G59" s="6" t="n">
        <v>74.0741</v>
      </c>
      <c r="H59" s="6">
        <f>F59*G59</f>
        <v/>
      </c>
      <c r="I59">
        <f>_xlfn.XLOOKUP(A59,MktTitle,MktCat,"n/a")</f>
        <v/>
      </c>
      <c r="J59" s="3">
        <f>_xlfn.XLOOKUP(A59,MktTitle,MktTotVol,0)</f>
        <v/>
      </c>
      <c r="K59">
        <f>IF(H59&gt;WhaleThreshold,"WHALE","")</f>
        <v/>
      </c>
    </row>
    <row r="60">
      <c r="A60" t="inlineStr">
        <is>
          <t>Will USA win the 2026 FIFA World Cup?</t>
        </is>
      </c>
      <c r="B60" s="4" t="n">
        <v>46206</v>
      </c>
      <c r="C60" s="5" t="n">
        <v>46206.01549768518</v>
      </c>
      <c r="D60" t="inlineStr">
        <is>
          <t>SELL</t>
        </is>
      </c>
      <c r="E60" t="inlineStr">
        <is>
          <t>Yes</t>
        </is>
      </c>
      <c r="F60" s="2" t="n">
        <v>0.026</v>
      </c>
      <c r="G60" s="6" t="n">
        <v>303.03</v>
      </c>
      <c r="H60" s="6">
        <f>F60*G60</f>
        <v/>
      </c>
      <c r="I60">
        <f>_xlfn.XLOOKUP(A60,MktTitle,MktCat,"n/a")</f>
        <v/>
      </c>
      <c r="J60" s="3">
        <f>_xlfn.XLOOKUP(A60,MktTitle,MktTotVol,0)</f>
        <v/>
      </c>
      <c r="K60">
        <f>IF(H60&gt;WhaleThreshold,"WHALE","")</f>
        <v/>
      </c>
    </row>
    <row r="61">
      <c r="A61" t="inlineStr">
        <is>
          <t>Will USA win the 2026 FIFA World Cup?</t>
        </is>
      </c>
      <c r="B61" s="4" t="n">
        <v>46206</v>
      </c>
      <c r="C61" s="5" t="n">
        <v>46206.01415509259</v>
      </c>
      <c r="D61" t="inlineStr">
        <is>
          <t>BUY</t>
        </is>
      </c>
      <c r="E61" t="inlineStr">
        <is>
          <t>Yes</t>
        </is>
      </c>
      <c r="F61" s="2" t="n">
        <v>0.027</v>
      </c>
      <c r="G61" s="6" t="n">
        <v>185.1852</v>
      </c>
      <c r="H61" s="6">
        <f>F61*G61</f>
        <v/>
      </c>
      <c r="I61">
        <f>_xlfn.XLOOKUP(A61,MktTitle,MktCat,"n/a")</f>
        <v/>
      </c>
      <c r="J61" s="3">
        <f>_xlfn.XLOOKUP(A61,MktTitle,MktTotVol,0)</f>
        <v/>
      </c>
      <c r="K61">
        <f>IF(H61&gt;WhaleThreshold,"WHALE","")</f>
        <v/>
      </c>
    </row>
    <row r="62">
      <c r="A62" t="inlineStr">
        <is>
          <t>Will USA win the 2026 FIFA World Cup?</t>
        </is>
      </c>
      <c r="B62" s="4" t="n">
        <v>46206</v>
      </c>
      <c r="C62" s="5" t="n">
        <v>46206.01356481481</v>
      </c>
      <c r="D62" t="inlineStr">
        <is>
          <t>SELL</t>
        </is>
      </c>
      <c r="E62" t="inlineStr">
        <is>
          <t>Yes</t>
        </is>
      </c>
      <c r="F62" s="2" t="n">
        <v>0.026</v>
      </c>
      <c r="G62" s="6" t="n">
        <v>818</v>
      </c>
      <c r="H62" s="6">
        <f>F62*G62</f>
        <v/>
      </c>
      <c r="I62">
        <f>_xlfn.XLOOKUP(A62,MktTitle,MktCat,"n/a")</f>
        <v/>
      </c>
      <c r="J62" s="3">
        <f>_xlfn.XLOOKUP(A62,MktTitle,MktTotVol,0)</f>
        <v/>
      </c>
      <c r="K62">
        <f>IF(H62&gt;WhaleThreshold,"WHALE","")</f>
        <v/>
      </c>
    </row>
    <row r="63">
      <c r="A63" t="inlineStr">
        <is>
          <t>Will USA win the 2026 FIFA World Cup?</t>
        </is>
      </c>
      <c r="B63" s="4" t="n">
        <v>46206</v>
      </c>
      <c r="C63" s="5" t="n">
        <v>46206.00943287037</v>
      </c>
      <c r="D63" t="inlineStr">
        <is>
          <t>BUY</t>
        </is>
      </c>
      <c r="E63" t="inlineStr">
        <is>
          <t>Yes</t>
        </is>
      </c>
      <c r="F63" s="2" t="n">
        <v>0.027</v>
      </c>
      <c r="G63" s="6" t="n">
        <v>370.3704</v>
      </c>
      <c r="H63" s="6">
        <f>F63*G63</f>
        <v/>
      </c>
      <c r="I63">
        <f>_xlfn.XLOOKUP(A63,MktTitle,MktCat,"n/a")</f>
        <v/>
      </c>
      <c r="J63" s="3">
        <f>_xlfn.XLOOKUP(A63,MktTitle,MktTotVol,0)</f>
        <v/>
      </c>
      <c r="K63">
        <f>IF(H63&gt;WhaleThreshold,"WHALE","")</f>
        <v/>
      </c>
    </row>
    <row r="64">
      <c r="A64" t="inlineStr">
        <is>
          <t>Will USA win the 2026 FIFA World Cup?</t>
        </is>
      </c>
      <c r="B64" s="4" t="n">
        <v>46206</v>
      </c>
      <c r="C64" s="5" t="n">
        <v>46206.00905092592</v>
      </c>
      <c r="D64" t="inlineStr">
        <is>
          <t>BUY</t>
        </is>
      </c>
      <c r="E64" t="inlineStr">
        <is>
          <t>No</t>
        </is>
      </c>
      <c r="F64" s="2" t="n">
        <v>0.974</v>
      </c>
      <c r="G64" s="6" t="n">
        <v>49.8357</v>
      </c>
      <c r="H64" s="6">
        <f>F64*G64</f>
        <v/>
      </c>
      <c r="I64">
        <f>_xlfn.XLOOKUP(A64,MktTitle,MktCat,"n/a")</f>
        <v/>
      </c>
      <c r="J64" s="3">
        <f>_xlfn.XLOOKUP(A64,MktTitle,MktTotVol,0)</f>
        <v/>
      </c>
      <c r="K64">
        <f>IF(H64&gt;WhaleThreshold,"WHALE","")</f>
        <v/>
      </c>
    </row>
    <row r="65">
      <c r="A65" t="inlineStr">
        <is>
          <t>Will USA win the 2026 FIFA World Cup?</t>
        </is>
      </c>
      <c r="B65" s="4" t="n">
        <v>46206</v>
      </c>
      <c r="C65" s="5" t="n">
        <v>46206.00903935185</v>
      </c>
      <c r="D65" t="inlineStr">
        <is>
          <t>SELL</t>
        </is>
      </c>
      <c r="E65" t="inlineStr">
        <is>
          <t>Yes</t>
        </is>
      </c>
      <c r="F65" s="2" t="n">
        <v>0.026</v>
      </c>
      <c r="G65" s="6" t="n">
        <v>333.33</v>
      </c>
      <c r="H65" s="6">
        <f>F65*G65</f>
        <v/>
      </c>
      <c r="I65">
        <f>_xlfn.XLOOKUP(A65,MktTitle,MktCat,"n/a")</f>
        <v/>
      </c>
      <c r="J65" s="3">
        <f>_xlfn.XLOOKUP(A65,MktTitle,MktTotVol,0)</f>
        <v/>
      </c>
      <c r="K65">
        <f>IF(H65&gt;WhaleThreshold,"WHALE","")</f>
        <v/>
      </c>
    </row>
    <row r="66">
      <c r="A66" t="inlineStr">
        <is>
          <t>Will USA win the 2026 FIFA World Cup?</t>
        </is>
      </c>
      <c r="B66" s="4" t="n">
        <v>46206</v>
      </c>
      <c r="C66" s="5" t="n">
        <v>46206.00664351852</v>
      </c>
      <c r="D66" t="inlineStr">
        <is>
          <t>SELL</t>
        </is>
      </c>
      <c r="E66" t="inlineStr">
        <is>
          <t>Yes</t>
        </is>
      </c>
      <c r="F66" s="2" t="n">
        <v>0.026</v>
      </c>
      <c r="G66" s="6" t="n">
        <v>25</v>
      </c>
      <c r="H66" s="6">
        <f>F66*G66</f>
        <v/>
      </c>
      <c r="I66">
        <f>_xlfn.XLOOKUP(A66,MktTitle,MktCat,"n/a")</f>
        <v/>
      </c>
      <c r="J66" s="3">
        <f>_xlfn.XLOOKUP(A66,MktTitle,MktTotVol,0)</f>
        <v/>
      </c>
      <c r="K66">
        <f>IF(H66&gt;WhaleThreshold,"WHALE","")</f>
        <v/>
      </c>
    </row>
    <row r="67">
      <c r="A67" t="inlineStr">
        <is>
          <t>Will USA win the 2026 FIFA World Cup?</t>
        </is>
      </c>
      <c r="B67" s="4" t="n">
        <v>46206</v>
      </c>
      <c r="C67" s="5" t="n">
        <v>46206.00582175926</v>
      </c>
      <c r="D67" t="inlineStr">
        <is>
          <t>SELL</t>
        </is>
      </c>
      <c r="E67" t="inlineStr">
        <is>
          <t>Yes</t>
        </is>
      </c>
      <c r="F67" s="2" t="n">
        <v>0.026</v>
      </c>
      <c r="G67" s="6" t="n">
        <v>828.75</v>
      </c>
      <c r="H67" s="6">
        <f>F67*G67</f>
        <v/>
      </c>
      <c r="I67">
        <f>_xlfn.XLOOKUP(A67,MktTitle,MktCat,"n/a")</f>
        <v/>
      </c>
      <c r="J67" s="3">
        <f>_xlfn.XLOOKUP(A67,MktTitle,MktTotVol,0)</f>
        <v/>
      </c>
      <c r="K67">
        <f>IF(H67&gt;WhaleThreshold,"WHALE","")</f>
        <v/>
      </c>
    </row>
    <row r="68">
      <c r="A68" t="inlineStr">
        <is>
          <t>Will USA win the 2026 FIFA World Cup?</t>
        </is>
      </c>
      <c r="B68" s="4" t="n">
        <v>46206</v>
      </c>
      <c r="C68" s="5" t="n">
        <v>46206.00099537037</v>
      </c>
      <c r="D68" t="inlineStr">
        <is>
          <t>BUY</t>
        </is>
      </c>
      <c r="E68" t="inlineStr">
        <is>
          <t>Yes</t>
        </is>
      </c>
      <c r="F68" s="2" t="n">
        <v>0.027</v>
      </c>
      <c r="G68" s="6" t="n">
        <v>3580.7407</v>
      </c>
      <c r="H68" s="6">
        <f>F68*G68</f>
        <v/>
      </c>
      <c r="I68">
        <f>_xlfn.XLOOKUP(A68,MktTitle,MktCat,"n/a")</f>
        <v/>
      </c>
      <c r="J68" s="3">
        <f>_xlfn.XLOOKUP(A68,MktTitle,MktTotVol,0)</f>
        <v/>
      </c>
      <c r="K68">
        <f>IF(H68&gt;WhaleThreshold,"WHALE","")</f>
        <v/>
      </c>
    </row>
    <row r="69">
      <c r="A69" t="inlineStr">
        <is>
          <t>Will USA win the 2026 FIFA World Cup?</t>
        </is>
      </c>
      <c r="B69" s="4" t="n">
        <v>46205</v>
      </c>
      <c r="C69" s="5" t="n">
        <v>46205.99987268518</v>
      </c>
      <c r="D69" t="inlineStr">
        <is>
          <t>SELL</t>
        </is>
      </c>
      <c r="E69" t="inlineStr">
        <is>
          <t>Yes</t>
        </is>
      </c>
      <c r="F69" s="2" t="n">
        <v>0.026</v>
      </c>
      <c r="G69" s="6" t="n">
        <v>129.99</v>
      </c>
      <c r="H69" s="6">
        <f>F69*G69</f>
        <v/>
      </c>
      <c r="I69">
        <f>_xlfn.XLOOKUP(A69,MktTitle,MktCat,"n/a")</f>
        <v/>
      </c>
      <c r="J69" s="3">
        <f>_xlfn.XLOOKUP(A69,MktTitle,MktTotVol,0)</f>
        <v/>
      </c>
      <c r="K69">
        <f>IF(H69&gt;WhaleThreshold,"WHALE","")</f>
        <v/>
      </c>
    </row>
    <row r="70">
      <c r="A70" t="inlineStr">
        <is>
          <t>Will USA win the 2026 FIFA World Cup?</t>
        </is>
      </c>
      <c r="B70" s="4" t="n">
        <v>46205</v>
      </c>
      <c r="C70" s="5" t="n">
        <v>46205.99984953704</v>
      </c>
      <c r="D70" t="inlineStr">
        <is>
          <t>BUY</t>
        </is>
      </c>
      <c r="E70" t="inlineStr">
        <is>
          <t>No</t>
        </is>
      </c>
      <c r="F70" s="2" t="n">
        <v>0.974</v>
      </c>
      <c r="G70" s="6" t="n">
        <v>50</v>
      </c>
      <c r="H70" s="6">
        <f>F70*G70</f>
        <v/>
      </c>
      <c r="I70">
        <f>_xlfn.XLOOKUP(A70,MktTitle,MktCat,"n/a")</f>
        <v/>
      </c>
      <c r="J70" s="3">
        <f>_xlfn.XLOOKUP(A70,MktTitle,MktTotVol,0)</f>
        <v/>
      </c>
      <c r="K70">
        <f>IF(H70&gt;WhaleThreshold,"WHALE","")</f>
        <v/>
      </c>
    </row>
    <row r="71">
      <c r="A71" t="inlineStr">
        <is>
          <t>Will USA win the 2026 FIFA World Cup?</t>
        </is>
      </c>
      <c r="B71" s="4" t="n">
        <v>46205</v>
      </c>
      <c r="C71" s="5" t="n">
        <v>46205.99285879629</v>
      </c>
      <c r="D71" t="inlineStr">
        <is>
          <t>SELL</t>
        </is>
      </c>
      <c r="E71" t="inlineStr">
        <is>
          <t>Yes</t>
        </is>
      </c>
      <c r="F71" s="2" t="n">
        <v>0.026</v>
      </c>
      <c r="G71" s="6" t="n">
        <v>134.72</v>
      </c>
      <c r="H71" s="6">
        <f>F71*G71</f>
        <v/>
      </c>
      <c r="I71">
        <f>_xlfn.XLOOKUP(A71,MktTitle,MktCat,"n/a")</f>
        <v/>
      </c>
      <c r="J71" s="3">
        <f>_xlfn.XLOOKUP(A71,MktTitle,MktTotVol,0)</f>
        <v/>
      </c>
      <c r="K71">
        <f>IF(H71&gt;WhaleThreshold,"WHALE","")</f>
        <v/>
      </c>
    </row>
    <row r="72">
      <c r="A72" t="inlineStr">
        <is>
          <t>Will USA win the 2026 FIFA World Cup?</t>
        </is>
      </c>
      <c r="B72" s="4" t="n">
        <v>46205</v>
      </c>
      <c r="C72" s="5" t="n">
        <v>46205.98835648148</v>
      </c>
      <c r="D72" t="inlineStr">
        <is>
          <t>SELL</t>
        </is>
      </c>
      <c r="E72" t="inlineStr">
        <is>
          <t>Yes</t>
        </is>
      </c>
      <c r="F72" s="2" t="n">
        <v>0.026</v>
      </c>
      <c r="G72" s="6" t="n">
        <v>980.23</v>
      </c>
      <c r="H72" s="6">
        <f>F72*G72</f>
        <v/>
      </c>
      <c r="I72">
        <f>_xlfn.XLOOKUP(A72,MktTitle,MktCat,"n/a")</f>
        <v/>
      </c>
      <c r="J72" s="3">
        <f>_xlfn.XLOOKUP(A72,MktTitle,MktTotVol,0)</f>
        <v/>
      </c>
      <c r="K72">
        <f>IF(H72&gt;WhaleThreshold,"WHALE","")</f>
        <v/>
      </c>
    </row>
    <row r="73">
      <c r="A73" t="inlineStr">
        <is>
          <t>Will USA win the 2026 FIFA World Cup?</t>
        </is>
      </c>
      <c r="B73" s="4" t="n">
        <v>46205</v>
      </c>
      <c r="C73" s="5" t="n">
        <v>46205.9780787037</v>
      </c>
      <c r="D73" t="inlineStr">
        <is>
          <t>BUY</t>
        </is>
      </c>
      <c r="E73" t="inlineStr">
        <is>
          <t>No</t>
        </is>
      </c>
      <c r="F73" s="2" t="n">
        <v>0.974</v>
      </c>
      <c r="G73" s="6" t="n">
        <v>54.9897</v>
      </c>
      <c r="H73" s="6">
        <f>F73*G73</f>
        <v/>
      </c>
      <c r="I73">
        <f>_xlfn.XLOOKUP(A73,MktTitle,MktCat,"n/a")</f>
        <v/>
      </c>
      <c r="J73" s="3">
        <f>_xlfn.XLOOKUP(A73,MktTitle,MktTotVol,0)</f>
        <v/>
      </c>
      <c r="K73">
        <f>IF(H73&gt;WhaleThreshold,"WHALE","")</f>
        <v/>
      </c>
    </row>
    <row r="74">
      <c r="A74" t="inlineStr">
        <is>
          <t>Will USA win the 2026 FIFA World Cup?</t>
        </is>
      </c>
      <c r="B74" s="4" t="n">
        <v>46205</v>
      </c>
      <c r="C74" s="5" t="n">
        <v>46205.97578703704</v>
      </c>
      <c r="D74" t="inlineStr">
        <is>
          <t>BUY</t>
        </is>
      </c>
      <c r="E74" t="inlineStr">
        <is>
          <t>No</t>
        </is>
      </c>
      <c r="F74" s="2" t="n">
        <v>0.974</v>
      </c>
      <c r="G74" s="6" t="n">
        <v>51.86</v>
      </c>
      <c r="H74" s="6">
        <f>F74*G74</f>
        <v/>
      </c>
      <c r="I74">
        <f>_xlfn.XLOOKUP(A74,MktTitle,MktCat,"n/a")</f>
        <v/>
      </c>
      <c r="J74" s="3">
        <f>_xlfn.XLOOKUP(A74,MktTitle,MktTotVol,0)</f>
        <v/>
      </c>
      <c r="K74">
        <f>IF(H74&gt;WhaleThreshold,"WHALE","")</f>
        <v/>
      </c>
    </row>
    <row r="75">
      <c r="A75" t="inlineStr">
        <is>
          <t>Will USA win the 2026 FIFA World Cup?</t>
        </is>
      </c>
      <c r="B75" s="4" t="n">
        <v>46205</v>
      </c>
      <c r="C75" s="5" t="n">
        <v>46205.97574074074</v>
      </c>
      <c r="D75" t="inlineStr">
        <is>
          <t>BUY</t>
        </is>
      </c>
      <c r="E75" t="inlineStr">
        <is>
          <t>No</t>
        </is>
      </c>
      <c r="F75" s="2" t="n">
        <v>0.974</v>
      </c>
      <c r="G75" s="6" t="n">
        <v>50.3</v>
      </c>
      <c r="H75" s="6">
        <f>F75*G75</f>
        <v/>
      </c>
      <c r="I75">
        <f>_xlfn.XLOOKUP(A75,MktTitle,MktCat,"n/a")</f>
        <v/>
      </c>
      <c r="J75" s="3">
        <f>_xlfn.XLOOKUP(A75,MktTitle,MktTotVol,0)</f>
        <v/>
      </c>
      <c r="K75">
        <f>IF(H75&gt;WhaleThreshold,"WHALE","")</f>
        <v/>
      </c>
    </row>
    <row r="76">
      <c r="A76" t="inlineStr">
        <is>
          <t>Will USA win the 2026 FIFA World Cup?</t>
        </is>
      </c>
      <c r="B76" s="4" t="n">
        <v>46205</v>
      </c>
      <c r="C76" s="5" t="n">
        <v>46205.97574074074</v>
      </c>
      <c r="D76" t="inlineStr">
        <is>
          <t>BUY</t>
        </is>
      </c>
      <c r="E76" t="inlineStr">
        <is>
          <t>No</t>
        </is>
      </c>
      <c r="F76" s="2" t="n">
        <v>0.974</v>
      </c>
      <c r="G76" s="6" t="n">
        <v>25.2</v>
      </c>
      <c r="H76" s="6">
        <f>F76*G76</f>
        <v/>
      </c>
      <c r="I76">
        <f>_xlfn.XLOOKUP(A76,MktTitle,MktCat,"n/a")</f>
        <v/>
      </c>
      <c r="J76" s="3">
        <f>_xlfn.XLOOKUP(A76,MktTitle,MktTotVol,0)</f>
        <v/>
      </c>
      <c r="K76">
        <f>IF(H76&gt;WhaleThreshold,"WHALE","")</f>
        <v/>
      </c>
    </row>
    <row r="77">
      <c r="A77" t="inlineStr">
        <is>
          <t>Will USA win the 2026 FIFA World Cup?</t>
        </is>
      </c>
      <c r="B77" s="4" t="n">
        <v>46205</v>
      </c>
      <c r="C77" s="5" t="n">
        <v>46205.97571759259</v>
      </c>
      <c r="D77" t="inlineStr">
        <is>
          <t>BUY</t>
        </is>
      </c>
      <c r="E77" t="inlineStr">
        <is>
          <t>No</t>
        </is>
      </c>
      <c r="F77" s="2" t="n">
        <v>0.974</v>
      </c>
      <c r="G77" s="6" t="n">
        <v>2.95</v>
      </c>
      <c r="H77" s="6">
        <f>F77*G77</f>
        <v/>
      </c>
      <c r="I77">
        <f>_xlfn.XLOOKUP(A77,MktTitle,MktCat,"n/a")</f>
        <v/>
      </c>
      <c r="J77" s="3">
        <f>_xlfn.XLOOKUP(A77,MktTitle,MktTotVol,0)</f>
        <v/>
      </c>
      <c r="K77">
        <f>IF(H77&gt;WhaleThreshold,"WHALE","")</f>
        <v/>
      </c>
    </row>
    <row r="78">
      <c r="A78" t="inlineStr">
        <is>
          <t>Will USA win the 2026 FIFA World Cup?</t>
        </is>
      </c>
      <c r="B78" s="4" t="n">
        <v>46205</v>
      </c>
      <c r="C78" s="5" t="n">
        <v>46205.97547453704</v>
      </c>
      <c r="D78" t="inlineStr">
        <is>
          <t>SELL</t>
        </is>
      </c>
      <c r="E78" t="inlineStr">
        <is>
          <t>Yes</t>
        </is>
      </c>
      <c r="F78" s="2" t="n">
        <v>0.026</v>
      </c>
      <c r="G78" s="6" t="n">
        <v>1373.66</v>
      </c>
      <c r="H78" s="6">
        <f>F78*G78</f>
        <v/>
      </c>
      <c r="I78">
        <f>_xlfn.XLOOKUP(A78,MktTitle,MktCat,"n/a")</f>
        <v/>
      </c>
      <c r="J78" s="3">
        <f>_xlfn.XLOOKUP(A78,MktTitle,MktTotVol,0)</f>
        <v/>
      </c>
      <c r="K78">
        <f>IF(H78&gt;WhaleThreshold,"WHALE","")</f>
        <v/>
      </c>
    </row>
    <row r="79">
      <c r="A79" t="inlineStr">
        <is>
          <t>Will USA win the 2026 FIFA World Cup?</t>
        </is>
      </c>
      <c r="B79" s="4" t="n">
        <v>46205</v>
      </c>
      <c r="C79" s="5" t="n">
        <v>46205.97530092593</v>
      </c>
      <c r="D79" t="inlineStr">
        <is>
          <t>BUY</t>
        </is>
      </c>
      <c r="E79" t="inlineStr">
        <is>
          <t>No</t>
        </is>
      </c>
      <c r="F79" s="2" t="n">
        <v>0.974</v>
      </c>
      <c r="G79" s="6" t="n">
        <v>2.99</v>
      </c>
      <c r="H79" s="6">
        <f>F79*G79</f>
        <v/>
      </c>
      <c r="I79">
        <f>_xlfn.XLOOKUP(A79,MktTitle,MktCat,"n/a")</f>
        <v/>
      </c>
      <c r="J79" s="3">
        <f>_xlfn.XLOOKUP(A79,MktTitle,MktTotVol,0)</f>
        <v/>
      </c>
      <c r="K79">
        <f>IF(H79&gt;WhaleThreshold,"WHALE","")</f>
        <v/>
      </c>
    </row>
    <row r="80">
      <c r="A80" t="inlineStr">
        <is>
          <t>Will USA win the 2026 FIFA World Cup?</t>
        </is>
      </c>
      <c r="B80" s="4" t="n">
        <v>46205</v>
      </c>
      <c r="C80" s="5" t="n">
        <v>46205.97530092593</v>
      </c>
      <c r="D80" t="inlineStr">
        <is>
          <t>BUY</t>
        </is>
      </c>
      <c r="E80" t="inlineStr">
        <is>
          <t>No</t>
        </is>
      </c>
      <c r="F80" s="2" t="n">
        <v>0.974</v>
      </c>
      <c r="G80" s="6" t="n">
        <v>24.6</v>
      </c>
      <c r="H80" s="6">
        <f>F80*G80</f>
        <v/>
      </c>
      <c r="I80">
        <f>_xlfn.XLOOKUP(A80,MktTitle,MktCat,"n/a")</f>
        <v/>
      </c>
      <c r="J80" s="3">
        <f>_xlfn.XLOOKUP(A80,MktTitle,MktTotVol,0)</f>
        <v/>
      </c>
      <c r="K80">
        <f>IF(H80&gt;WhaleThreshold,"WHALE","")</f>
        <v/>
      </c>
    </row>
    <row r="81">
      <c r="A81" t="inlineStr">
        <is>
          <t>Will USA win the 2026 FIFA World Cup?</t>
        </is>
      </c>
      <c r="B81" s="4" t="n">
        <v>46205</v>
      </c>
      <c r="C81" s="5" t="n">
        <v>46205.97528935185</v>
      </c>
      <c r="D81" t="inlineStr">
        <is>
          <t>BUY</t>
        </is>
      </c>
      <c r="E81" t="inlineStr">
        <is>
          <t>No</t>
        </is>
      </c>
      <c r="F81" s="2" t="n">
        <v>0.974</v>
      </c>
      <c r="G81" s="6" t="n">
        <v>49.2</v>
      </c>
      <c r="H81" s="6">
        <f>F81*G81</f>
        <v/>
      </c>
      <c r="I81">
        <f>_xlfn.XLOOKUP(A81,MktTitle,MktCat,"n/a")</f>
        <v/>
      </c>
      <c r="J81" s="3">
        <f>_xlfn.XLOOKUP(A81,MktTitle,MktTotVol,0)</f>
        <v/>
      </c>
      <c r="K81">
        <f>IF(H81&gt;WhaleThreshold,"WHALE","")</f>
        <v/>
      </c>
    </row>
    <row r="82">
      <c r="A82" t="inlineStr">
        <is>
          <t>Will USA win the 2026 FIFA World Cup?</t>
        </is>
      </c>
      <c r="B82" s="4" t="n">
        <v>46205</v>
      </c>
      <c r="C82" s="5" t="n">
        <v>46205.97525462963</v>
      </c>
      <c r="D82" t="inlineStr">
        <is>
          <t>BUY</t>
        </is>
      </c>
      <c r="E82" t="inlineStr">
        <is>
          <t>No</t>
        </is>
      </c>
      <c r="F82" s="2" t="n">
        <v>0.974</v>
      </c>
      <c r="G82" s="6" t="n">
        <v>55.02</v>
      </c>
      <c r="H82" s="6">
        <f>F82*G82</f>
        <v/>
      </c>
      <c r="I82">
        <f>_xlfn.XLOOKUP(A82,MktTitle,MktCat,"n/a")</f>
        <v/>
      </c>
      <c r="J82" s="3">
        <f>_xlfn.XLOOKUP(A82,MktTitle,MktTotVol,0)</f>
        <v/>
      </c>
      <c r="K82">
        <f>IF(H82&gt;WhaleThreshold,"WHALE","")</f>
        <v/>
      </c>
    </row>
    <row r="83">
      <c r="A83" t="inlineStr">
        <is>
          <t>Will USA win the 2026 FIFA World Cup?</t>
        </is>
      </c>
      <c r="B83" s="4" t="n">
        <v>46205</v>
      </c>
      <c r="C83" s="5" t="n">
        <v>46205.97518518518</v>
      </c>
      <c r="D83" t="inlineStr">
        <is>
          <t>BUY</t>
        </is>
      </c>
      <c r="E83" t="inlineStr">
        <is>
          <t>No</t>
        </is>
      </c>
      <c r="F83" s="2" t="n">
        <v>0.974</v>
      </c>
      <c r="G83" s="6" t="n">
        <v>10</v>
      </c>
      <c r="H83" s="6">
        <f>F83*G83</f>
        <v/>
      </c>
      <c r="I83">
        <f>_xlfn.XLOOKUP(A83,MktTitle,MktCat,"n/a")</f>
        <v/>
      </c>
      <c r="J83" s="3">
        <f>_xlfn.XLOOKUP(A83,MktTitle,MktTotVol,0)</f>
        <v/>
      </c>
      <c r="K83">
        <f>IF(H83&gt;WhaleThreshold,"WHALE","")</f>
        <v/>
      </c>
    </row>
    <row r="84">
      <c r="A84" t="inlineStr">
        <is>
          <t>Will USA win the 2026 FIFA World Cup?</t>
        </is>
      </c>
      <c r="B84" s="4" t="n">
        <v>46205</v>
      </c>
      <c r="C84" s="5" t="n">
        <v>46205.97518518518</v>
      </c>
      <c r="D84" t="inlineStr">
        <is>
          <t>BUY</t>
        </is>
      </c>
      <c r="E84" t="inlineStr">
        <is>
          <t>No</t>
        </is>
      </c>
      <c r="F84" s="2" t="n">
        <v>0.974</v>
      </c>
      <c r="G84" s="6" t="n">
        <v>3.15</v>
      </c>
      <c r="H84" s="6">
        <f>F84*G84</f>
        <v/>
      </c>
      <c r="I84">
        <f>_xlfn.XLOOKUP(A84,MktTitle,MktCat,"n/a")</f>
        <v/>
      </c>
      <c r="J84" s="3">
        <f>_xlfn.XLOOKUP(A84,MktTitle,MktTotVol,0)</f>
        <v/>
      </c>
      <c r="K84">
        <f>IF(H84&gt;WhaleThreshold,"WHALE","")</f>
        <v/>
      </c>
    </row>
    <row r="85">
      <c r="A85" t="inlineStr">
        <is>
          <t>Will USA win the 2026 FIFA World Cup?</t>
        </is>
      </c>
      <c r="B85" s="4" t="n">
        <v>46205</v>
      </c>
      <c r="C85" s="5" t="n">
        <v>46205.97515046296</v>
      </c>
      <c r="D85" t="inlineStr">
        <is>
          <t>BUY</t>
        </is>
      </c>
      <c r="E85" t="inlineStr">
        <is>
          <t>No</t>
        </is>
      </c>
      <c r="F85" s="2" t="n">
        <v>0.974</v>
      </c>
      <c r="G85" s="6" t="n">
        <v>90</v>
      </c>
      <c r="H85" s="6">
        <f>F85*G85</f>
        <v/>
      </c>
      <c r="I85">
        <f>_xlfn.XLOOKUP(A85,MktTitle,MktCat,"n/a")</f>
        <v/>
      </c>
      <c r="J85" s="3">
        <f>_xlfn.XLOOKUP(A85,MktTitle,MktTotVol,0)</f>
        <v/>
      </c>
      <c r="K85">
        <f>IF(H85&gt;WhaleThreshold,"WHALE","")</f>
        <v/>
      </c>
    </row>
    <row r="86">
      <c r="A86" t="inlineStr">
        <is>
          <t>Will USA win the 2026 FIFA World Cup?</t>
        </is>
      </c>
      <c r="B86" s="4" t="n">
        <v>46205</v>
      </c>
      <c r="C86" s="5" t="n">
        <v>46205.97512731481</v>
      </c>
      <c r="D86" t="inlineStr">
        <is>
          <t>BUY</t>
        </is>
      </c>
      <c r="E86" t="inlineStr">
        <is>
          <t>No</t>
        </is>
      </c>
      <c r="F86" s="2" t="n">
        <v>0.974</v>
      </c>
      <c r="G86" s="6" t="n">
        <v>110</v>
      </c>
      <c r="H86" s="6">
        <f>F86*G86</f>
        <v/>
      </c>
      <c r="I86">
        <f>_xlfn.XLOOKUP(A86,MktTitle,MktCat,"n/a")</f>
        <v/>
      </c>
      <c r="J86" s="3">
        <f>_xlfn.XLOOKUP(A86,MktTitle,MktTotVol,0)</f>
        <v/>
      </c>
      <c r="K86">
        <f>IF(H86&gt;WhaleThreshold,"WHALE","")</f>
        <v/>
      </c>
    </row>
    <row r="87">
      <c r="A87" t="inlineStr">
        <is>
          <t>Will USA win the 2026 FIFA World Cup?</t>
        </is>
      </c>
      <c r="B87" s="4" t="n">
        <v>46205</v>
      </c>
      <c r="C87" s="5" t="n">
        <v>46205.97512731481</v>
      </c>
      <c r="D87" t="inlineStr">
        <is>
          <t>BUY</t>
        </is>
      </c>
      <c r="E87" t="inlineStr">
        <is>
          <t>No</t>
        </is>
      </c>
      <c r="F87" s="2" t="n">
        <v>0.974</v>
      </c>
      <c r="G87" s="6" t="n">
        <v>24.9</v>
      </c>
      <c r="H87" s="6">
        <f>F87*G87</f>
        <v/>
      </c>
      <c r="I87">
        <f>_xlfn.XLOOKUP(A87,MktTitle,MktCat,"n/a")</f>
        <v/>
      </c>
      <c r="J87" s="3">
        <f>_xlfn.XLOOKUP(A87,MktTitle,MktTotVol,0)</f>
        <v/>
      </c>
      <c r="K87">
        <f>IF(H87&gt;WhaleThreshold,"WHALE","")</f>
        <v/>
      </c>
    </row>
    <row r="88">
      <c r="A88" t="inlineStr">
        <is>
          <t>Will USA win the 2026 FIFA World Cup?</t>
        </is>
      </c>
      <c r="B88" s="4" t="n">
        <v>46205</v>
      </c>
      <c r="C88" s="5" t="n">
        <v>46205.97512731481</v>
      </c>
      <c r="D88" t="inlineStr">
        <is>
          <t>BUY</t>
        </is>
      </c>
      <c r="E88" t="inlineStr">
        <is>
          <t>No</t>
        </is>
      </c>
      <c r="F88" s="2" t="n">
        <v>0.974</v>
      </c>
      <c r="G88" s="6" t="n">
        <v>110</v>
      </c>
      <c r="H88" s="6">
        <f>F88*G88</f>
        <v/>
      </c>
      <c r="I88">
        <f>_xlfn.XLOOKUP(A88,MktTitle,MktCat,"n/a")</f>
        <v/>
      </c>
      <c r="J88" s="3">
        <f>_xlfn.XLOOKUP(A88,MktTitle,MktTotVol,0)</f>
        <v/>
      </c>
      <c r="K88">
        <f>IF(H88&gt;WhaleThreshold,"WHALE","")</f>
        <v/>
      </c>
    </row>
    <row r="89">
      <c r="A89" t="inlineStr">
        <is>
          <t>Will USA win the 2026 FIFA World Cup?</t>
        </is>
      </c>
      <c r="B89" s="4" t="n">
        <v>46205</v>
      </c>
      <c r="C89" s="5" t="n">
        <v>46205.97511574074</v>
      </c>
      <c r="D89" t="inlineStr">
        <is>
          <t>BUY</t>
        </is>
      </c>
      <c r="E89" t="inlineStr">
        <is>
          <t>No</t>
        </is>
      </c>
      <c r="F89" s="2" t="n">
        <v>0.974</v>
      </c>
      <c r="G89" s="6" t="n">
        <v>110</v>
      </c>
      <c r="H89" s="6">
        <f>F89*G89</f>
        <v/>
      </c>
      <c r="I89">
        <f>_xlfn.XLOOKUP(A89,MktTitle,MktCat,"n/a")</f>
        <v/>
      </c>
      <c r="J89" s="3">
        <f>_xlfn.XLOOKUP(A89,MktTitle,MktTotVol,0)</f>
        <v/>
      </c>
      <c r="K89">
        <f>IF(H89&gt;WhaleThreshold,"WHALE","")</f>
        <v/>
      </c>
    </row>
    <row r="90">
      <c r="A90" t="inlineStr">
        <is>
          <t>Will USA win the 2026 FIFA World Cup?</t>
        </is>
      </c>
      <c r="B90" s="4" t="n">
        <v>46205</v>
      </c>
      <c r="C90" s="5" t="n">
        <v>46205.97511574074</v>
      </c>
      <c r="D90" t="inlineStr">
        <is>
          <t>BUY</t>
        </is>
      </c>
      <c r="E90" t="inlineStr">
        <is>
          <t>No</t>
        </is>
      </c>
      <c r="F90" s="2" t="n">
        <v>0.974</v>
      </c>
      <c r="G90" s="6" t="n">
        <v>49.8</v>
      </c>
      <c r="H90" s="6">
        <f>F90*G90</f>
        <v/>
      </c>
      <c r="I90">
        <f>_xlfn.XLOOKUP(A90,MktTitle,MktCat,"n/a")</f>
        <v/>
      </c>
      <c r="J90" s="3">
        <f>_xlfn.XLOOKUP(A90,MktTitle,MktTotVol,0)</f>
        <v/>
      </c>
      <c r="K90">
        <f>IF(H90&gt;WhaleThreshold,"WHALE","")</f>
        <v/>
      </c>
    </row>
    <row r="91">
      <c r="A91" t="inlineStr">
        <is>
          <t>Will USA win the 2026 FIFA World Cup?</t>
        </is>
      </c>
      <c r="B91" s="4" t="n">
        <v>46205</v>
      </c>
      <c r="C91" s="5" t="n">
        <v>46205.97511574074</v>
      </c>
      <c r="D91" t="inlineStr">
        <is>
          <t>BUY</t>
        </is>
      </c>
      <c r="E91" t="inlineStr">
        <is>
          <t>No</t>
        </is>
      </c>
      <c r="F91" s="2" t="n">
        <v>0.974</v>
      </c>
      <c r="G91" s="6" t="n">
        <v>110</v>
      </c>
      <c r="H91" s="6">
        <f>F91*G91</f>
        <v/>
      </c>
      <c r="I91">
        <f>_xlfn.XLOOKUP(A91,MktTitle,MktCat,"n/a")</f>
        <v/>
      </c>
      <c r="J91" s="3">
        <f>_xlfn.XLOOKUP(A91,MktTitle,MktTotVol,0)</f>
        <v/>
      </c>
      <c r="K91">
        <f>IF(H91&gt;WhaleThreshold,"WHALE","")</f>
        <v/>
      </c>
    </row>
    <row r="92">
      <c r="A92" t="inlineStr">
        <is>
          <t>Will USA win the 2026 FIFA World Cup?</t>
        </is>
      </c>
      <c r="B92" s="4" t="n">
        <v>46205</v>
      </c>
      <c r="C92" s="5" t="n">
        <v>46205.97511574074</v>
      </c>
      <c r="D92" t="inlineStr">
        <is>
          <t>BUY</t>
        </is>
      </c>
      <c r="E92" t="inlineStr">
        <is>
          <t>No</t>
        </is>
      </c>
      <c r="F92" s="2" t="n">
        <v>0.974</v>
      </c>
      <c r="G92" s="6" t="n">
        <v>58.02</v>
      </c>
      <c r="H92" s="6">
        <f>F92*G92</f>
        <v/>
      </c>
      <c r="I92">
        <f>_xlfn.XLOOKUP(A92,MktTitle,MktCat,"n/a")</f>
        <v/>
      </c>
      <c r="J92" s="3">
        <f>_xlfn.XLOOKUP(A92,MktTitle,MktTotVol,0)</f>
        <v/>
      </c>
      <c r="K92">
        <f>IF(H92&gt;WhaleThreshold,"WHALE","")</f>
        <v/>
      </c>
    </row>
    <row r="93">
      <c r="A93" t="inlineStr">
        <is>
          <t>Will USA win the 2026 FIFA World Cup?</t>
        </is>
      </c>
      <c r="B93" s="4" t="n">
        <v>46205</v>
      </c>
      <c r="C93" s="5" t="n">
        <v>46205.97497685185</v>
      </c>
      <c r="D93" t="inlineStr">
        <is>
          <t>BUY</t>
        </is>
      </c>
      <c r="E93" t="inlineStr">
        <is>
          <t>No</t>
        </is>
      </c>
      <c r="F93" s="2" t="n">
        <v>0.974</v>
      </c>
      <c r="G93" s="6" t="n">
        <v>73.59999999999999</v>
      </c>
      <c r="H93" s="6">
        <f>F93*G93</f>
        <v/>
      </c>
      <c r="I93">
        <f>_xlfn.XLOOKUP(A93,MktTitle,MktCat,"n/a")</f>
        <v/>
      </c>
      <c r="J93" s="3">
        <f>_xlfn.XLOOKUP(A93,MktTitle,MktTotVol,0)</f>
        <v/>
      </c>
      <c r="K93">
        <f>IF(H93&gt;WhaleThreshold,"WHALE","")</f>
        <v/>
      </c>
    </row>
    <row r="94">
      <c r="A94" t="inlineStr">
        <is>
          <t>Will USA win the 2026 FIFA World Cup?</t>
        </is>
      </c>
      <c r="B94" s="4" t="n">
        <v>46205</v>
      </c>
      <c r="C94" s="5" t="n">
        <v>46205.97497685185</v>
      </c>
      <c r="D94" t="inlineStr">
        <is>
          <t>BUY</t>
        </is>
      </c>
      <c r="E94" t="inlineStr">
        <is>
          <t>No</t>
        </is>
      </c>
      <c r="F94" s="2" t="n">
        <v>0.974</v>
      </c>
      <c r="G94" s="6" t="n">
        <v>107</v>
      </c>
      <c r="H94" s="6">
        <f>F94*G94</f>
        <v/>
      </c>
      <c r="I94">
        <f>_xlfn.XLOOKUP(A94,MktTitle,MktCat,"n/a")</f>
        <v/>
      </c>
      <c r="J94" s="3">
        <f>_xlfn.XLOOKUP(A94,MktTitle,MktTotVol,0)</f>
        <v/>
      </c>
      <c r="K94">
        <f>IF(H94&gt;WhaleThreshold,"WHALE","")</f>
        <v/>
      </c>
    </row>
    <row r="95">
      <c r="A95" t="inlineStr">
        <is>
          <t>Will USA win the 2026 FIFA World Cup?</t>
        </is>
      </c>
      <c r="B95" s="4" t="n">
        <v>46205</v>
      </c>
      <c r="C95" s="5" t="n">
        <v>46205.97497685185</v>
      </c>
      <c r="D95" t="inlineStr">
        <is>
          <t>BUY</t>
        </is>
      </c>
      <c r="E95" t="inlineStr">
        <is>
          <t>No</t>
        </is>
      </c>
      <c r="F95" s="2" t="n">
        <v>0.974</v>
      </c>
      <c r="G95" s="6" t="n">
        <v>9</v>
      </c>
      <c r="H95" s="6">
        <f>F95*G95</f>
        <v/>
      </c>
      <c r="I95">
        <f>_xlfn.XLOOKUP(A95,MktTitle,MktCat,"n/a")</f>
        <v/>
      </c>
      <c r="J95" s="3">
        <f>_xlfn.XLOOKUP(A95,MktTitle,MktTotVol,0)</f>
        <v/>
      </c>
      <c r="K95">
        <f>IF(H95&gt;WhaleThreshold,"WHALE","")</f>
        <v/>
      </c>
    </row>
    <row r="96">
      <c r="A96" t="inlineStr">
        <is>
          <t>Will USA win the 2026 FIFA World Cup?</t>
        </is>
      </c>
      <c r="B96" s="4" t="n">
        <v>46205</v>
      </c>
      <c r="C96" s="5" t="n">
        <v>46205.97456018518</v>
      </c>
      <c r="D96" t="inlineStr">
        <is>
          <t>BUY</t>
        </is>
      </c>
      <c r="E96" t="inlineStr">
        <is>
          <t>No</t>
        </is>
      </c>
      <c r="F96" s="2" t="n">
        <v>0.974</v>
      </c>
      <c r="G96" s="6" t="n">
        <v>10</v>
      </c>
      <c r="H96" s="6">
        <f>F96*G96</f>
        <v/>
      </c>
      <c r="I96">
        <f>_xlfn.XLOOKUP(A96,MktTitle,MktCat,"n/a")</f>
        <v/>
      </c>
      <c r="J96" s="3">
        <f>_xlfn.XLOOKUP(A96,MktTitle,MktTotVol,0)</f>
        <v/>
      </c>
      <c r="K96">
        <f>IF(H96&gt;WhaleThreshold,"WHALE","")</f>
        <v/>
      </c>
    </row>
    <row r="97">
      <c r="A97" t="inlineStr">
        <is>
          <t>Will USA win the 2026 FIFA World Cup?</t>
        </is>
      </c>
      <c r="B97" s="4" t="n">
        <v>46205</v>
      </c>
      <c r="C97" s="5" t="n">
        <v>46205.97453703704</v>
      </c>
      <c r="D97" t="inlineStr">
        <is>
          <t>BUY</t>
        </is>
      </c>
      <c r="E97" t="inlineStr">
        <is>
          <t>No</t>
        </is>
      </c>
      <c r="F97" s="2" t="n">
        <v>0.974</v>
      </c>
      <c r="G97" s="6" t="n">
        <v>15</v>
      </c>
      <c r="H97" s="6">
        <f>F97*G97</f>
        <v/>
      </c>
      <c r="I97">
        <f>_xlfn.XLOOKUP(A97,MktTitle,MktCat,"n/a")</f>
        <v/>
      </c>
      <c r="J97" s="3">
        <f>_xlfn.XLOOKUP(A97,MktTitle,MktTotVol,0)</f>
        <v/>
      </c>
      <c r="K97">
        <f>IF(H97&gt;WhaleThreshold,"WHALE","")</f>
        <v/>
      </c>
    </row>
    <row r="98">
      <c r="A98" t="inlineStr">
        <is>
          <t>Will USA win the 2026 FIFA World Cup?</t>
        </is>
      </c>
      <c r="B98" s="4" t="n">
        <v>46205</v>
      </c>
      <c r="C98" s="5" t="n">
        <v>46205.97453703704</v>
      </c>
      <c r="D98" t="inlineStr">
        <is>
          <t>BUY</t>
        </is>
      </c>
      <c r="E98" t="inlineStr">
        <is>
          <t>No</t>
        </is>
      </c>
      <c r="F98" s="2" t="n">
        <v>0.974</v>
      </c>
      <c r="G98" s="6" t="n">
        <v>39.5483</v>
      </c>
      <c r="H98" s="6">
        <f>F98*G98</f>
        <v/>
      </c>
      <c r="I98">
        <f>_xlfn.XLOOKUP(A98,MktTitle,MktCat,"n/a")</f>
        <v/>
      </c>
      <c r="J98" s="3">
        <f>_xlfn.XLOOKUP(A98,MktTitle,MktTotVol,0)</f>
        <v/>
      </c>
      <c r="K98">
        <f>IF(H98&gt;WhaleThreshold,"WHALE","")</f>
        <v/>
      </c>
    </row>
    <row r="99">
      <c r="A99" t="inlineStr">
        <is>
          <t>Will USA win the 2026 FIFA World Cup?</t>
        </is>
      </c>
      <c r="B99" s="4" t="n">
        <v>46205</v>
      </c>
      <c r="C99" s="5" t="n">
        <v>46205.97415509259</v>
      </c>
      <c r="D99" t="inlineStr">
        <is>
          <t>SELL</t>
        </is>
      </c>
      <c r="E99" t="inlineStr">
        <is>
          <t>No</t>
        </is>
      </c>
      <c r="F99" s="2" t="n">
        <v>0.973</v>
      </c>
      <c r="G99" s="6" t="n">
        <v>1.54</v>
      </c>
      <c r="H99" s="6">
        <f>F99*G99</f>
        <v/>
      </c>
      <c r="I99">
        <f>_xlfn.XLOOKUP(A99,MktTitle,MktCat,"n/a")</f>
        <v/>
      </c>
      <c r="J99" s="3">
        <f>_xlfn.XLOOKUP(A99,MktTitle,MktTotVol,0)</f>
        <v/>
      </c>
      <c r="K99">
        <f>IF(H99&gt;WhaleThreshold,"WHALE","")</f>
        <v/>
      </c>
    </row>
    <row r="100">
      <c r="A100" t="inlineStr">
        <is>
          <t>Will USA win the 2026 FIFA World Cup?</t>
        </is>
      </c>
      <c r="B100" s="4" t="n">
        <v>46205</v>
      </c>
      <c r="C100" s="5" t="n">
        <v>46205.9741087963</v>
      </c>
      <c r="D100" t="inlineStr">
        <is>
          <t>SELL</t>
        </is>
      </c>
      <c r="E100" t="inlineStr">
        <is>
          <t>Yes</t>
        </is>
      </c>
      <c r="F100" s="2" t="n">
        <v>0.026</v>
      </c>
      <c r="G100" s="6" t="n">
        <v>4166.66</v>
      </c>
      <c r="H100" s="6">
        <f>F100*G100</f>
        <v/>
      </c>
      <c r="I100">
        <f>_xlfn.XLOOKUP(A100,MktTitle,MktCat,"n/a")</f>
        <v/>
      </c>
      <c r="J100" s="3">
        <f>_xlfn.XLOOKUP(A100,MktTitle,MktTotVol,0)</f>
        <v/>
      </c>
      <c r="K100">
        <f>IF(H100&gt;WhaleThreshold,"WHALE","")</f>
        <v/>
      </c>
    </row>
    <row r="101">
      <c r="A101" t="inlineStr">
        <is>
          <t>Will USA win the 2026 FIFA World Cup?</t>
        </is>
      </c>
      <c r="B101" s="4" t="n">
        <v>46205</v>
      </c>
      <c r="C101" s="5" t="n">
        <v>46205.97289351852</v>
      </c>
      <c r="D101" t="inlineStr">
        <is>
          <t>SELL</t>
        </is>
      </c>
      <c r="E101" t="inlineStr">
        <is>
          <t>Yes</t>
        </is>
      </c>
      <c r="F101" s="2" t="n">
        <v>0.026</v>
      </c>
      <c r="G101" s="6" t="n">
        <v>103.44</v>
      </c>
      <c r="H101" s="6">
        <f>F101*G101</f>
        <v/>
      </c>
      <c r="I101">
        <f>_xlfn.XLOOKUP(A101,MktTitle,MktCat,"n/a")</f>
        <v/>
      </c>
      <c r="J101" s="3">
        <f>_xlfn.XLOOKUP(A101,MktTitle,MktTotVol,0)</f>
        <v/>
      </c>
      <c r="K101">
        <f>IF(H101&gt;WhaleThreshold,"WHALE","")</f>
        <v/>
      </c>
    </row>
    <row r="102">
      <c r="A102" t="inlineStr">
        <is>
          <t>Will USA win the 2026 FIFA World Cup?</t>
        </is>
      </c>
      <c r="B102" s="4" t="n">
        <v>46205</v>
      </c>
      <c r="C102" s="5" t="n">
        <v>46205.97275462963</v>
      </c>
      <c r="D102" t="inlineStr">
        <is>
          <t>BUY</t>
        </is>
      </c>
      <c r="E102" t="inlineStr">
        <is>
          <t>No</t>
        </is>
      </c>
      <c r="F102" s="2" t="n">
        <v>0.974</v>
      </c>
      <c r="G102" s="6" t="n">
        <v>20</v>
      </c>
      <c r="H102" s="6">
        <f>F102*G102</f>
        <v/>
      </c>
      <c r="I102">
        <f>_xlfn.XLOOKUP(A102,MktTitle,MktCat,"n/a")</f>
        <v/>
      </c>
      <c r="J102" s="3">
        <f>_xlfn.XLOOKUP(A102,MktTitle,MktTotVol,0)</f>
        <v/>
      </c>
      <c r="K102">
        <f>IF(H102&gt;WhaleThreshold,"WHALE","")</f>
        <v/>
      </c>
    </row>
    <row r="103">
      <c r="A103" t="inlineStr">
        <is>
          <t>Will USA win the 2026 FIFA World Cup?</t>
        </is>
      </c>
      <c r="B103" s="4" t="n">
        <v>46205</v>
      </c>
      <c r="C103" s="5" t="n">
        <v>46205.97268518519</v>
      </c>
      <c r="D103" t="inlineStr">
        <is>
          <t>BUY</t>
        </is>
      </c>
      <c r="E103" t="inlineStr">
        <is>
          <t>Yes</t>
        </is>
      </c>
      <c r="F103" s="2" t="n">
        <v>0.027</v>
      </c>
      <c r="G103" s="6" t="n">
        <v>185.1852</v>
      </c>
      <c r="H103" s="6">
        <f>F103*G103</f>
        <v/>
      </c>
      <c r="I103">
        <f>_xlfn.XLOOKUP(A103,MktTitle,MktCat,"n/a")</f>
        <v/>
      </c>
      <c r="J103" s="3">
        <f>_xlfn.XLOOKUP(A103,MktTitle,MktTotVol,0)</f>
        <v/>
      </c>
      <c r="K103">
        <f>IF(H103&gt;WhaleThreshold,"WHALE","")</f>
        <v/>
      </c>
    </row>
    <row r="104">
      <c r="A104" t="inlineStr">
        <is>
          <t>Will USA win the 2026 FIFA World Cup?</t>
        </is>
      </c>
      <c r="B104" s="4" t="n">
        <v>46205</v>
      </c>
      <c r="C104" s="5" t="n">
        <v>46205.97266203703</v>
      </c>
      <c r="D104" t="inlineStr">
        <is>
          <t>BUY</t>
        </is>
      </c>
      <c r="E104" t="inlineStr">
        <is>
          <t>No</t>
        </is>
      </c>
      <c r="F104" s="2" t="n">
        <v>0.974</v>
      </c>
      <c r="G104" s="6" t="n">
        <v>47.0842</v>
      </c>
      <c r="H104" s="6">
        <f>F104*G104</f>
        <v/>
      </c>
      <c r="I104">
        <f>_xlfn.XLOOKUP(A104,MktTitle,MktCat,"n/a")</f>
        <v/>
      </c>
      <c r="J104" s="3">
        <f>_xlfn.XLOOKUP(A104,MktTitle,MktTotVol,0)</f>
        <v/>
      </c>
      <c r="K104">
        <f>IF(H104&gt;WhaleThreshold,"WHALE","")</f>
        <v/>
      </c>
    </row>
    <row r="105">
      <c r="A105" t="inlineStr">
        <is>
          <t>Will USA win the 2026 FIFA World Cup?</t>
        </is>
      </c>
      <c r="B105" s="4" t="n">
        <v>46205</v>
      </c>
      <c r="C105" s="5" t="n">
        <v>46205.97252314815</v>
      </c>
      <c r="D105" t="inlineStr">
        <is>
          <t>BUY</t>
        </is>
      </c>
      <c r="E105" t="inlineStr">
        <is>
          <t>No</t>
        </is>
      </c>
      <c r="F105" s="2" t="n">
        <v>0.974</v>
      </c>
      <c r="G105" s="6" t="n">
        <v>10</v>
      </c>
      <c r="H105" s="6">
        <f>F105*G105</f>
        <v/>
      </c>
      <c r="I105">
        <f>_xlfn.XLOOKUP(A105,MktTitle,MktCat,"n/a")</f>
        <v/>
      </c>
      <c r="J105" s="3">
        <f>_xlfn.XLOOKUP(A105,MktTitle,MktTotVol,0)</f>
        <v/>
      </c>
      <c r="K105">
        <f>IF(H105&gt;WhaleThreshold,"WHALE","")</f>
        <v/>
      </c>
    </row>
    <row r="106">
      <c r="A106" t="inlineStr">
        <is>
          <t>Will USA win the 2026 FIFA World Cup?</t>
        </is>
      </c>
      <c r="B106" s="4" t="n">
        <v>46205</v>
      </c>
      <c r="C106" s="5" t="n">
        <v>46205.97252314815</v>
      </c>
      <c r="D106" t="inlineStr">
        <is>
          <t>BUY</t>
        </is>
      </c>
      <c r="E106" t="inlineStr">
        <is>
          <t>No</t>
        </is>
      </c>
      <c r="F106" s="2" t="n">
        <v>0.974</v>
      </c>
      <c r="G106" s="6" t="n">
        <v>18</v>
      </c>
      <c r="H106" s="6">
        <f>F106*G106</f>
        <v/>
      </c>
      <c r="I106">
        <f>_xlfn.XLOOKUP(A106,MktTitle,MktCat,"n/a")</f>
        <v/>
      </c>
      <c r="J106" s="3">
        <f>_xlfn.XLOOKUP(A106,MktTitle,MktTotVol,0)</f>
        <v/>
      </c>
      <c r="K106">
        <f>IF(H106&gt;WhaleThreshold,"WHALE","")</f>
        <v/>
      </c>
    </row>
    <row r="107">
      <c r="A107" t="inlineStr">
        <is>
          <t>Will USA win the 2026 FIFA World Cup?</t>
        </is>
      </c>
      <c r="B107" s="4" t="n">
        <v>46205</v>
      </c>
      <c r="C107" s="5" t="n">
        <v>46205.9715162037</v>
      </c>
      <c r="D107" t="inlineStr">
        <is>
          <t>BUY</t>
        </is>
      </c>
      <c r="E107" t="inlineStr">
        <is>
          <t>Yes</t>
        </is>
      </c>
      <c r="F107" s="2" t="n">
        <v>0.027</v>
      </c>
      <c r="G107" s="6" t="n">
        <v>295.5556</v>
      </c>
      <c r="H107" s="6">
        <f>F107*G107</f>
        <v/>
      </c>
      <c r="I107">
        <f>_xlfn.XLOOKUP(A107,MktTitle,MktCat,"n/a")</f>
        <v/>
      </c>
      <c r="J107" s="3">
        <f>_xlfn.XLOOKUP(A107,MktTitle,MktTotVol,0)</f>
        <v/>
      </c>
      <c r="K107">
        <f>IF(H107&gt;WhaleThreshold,"WHALE","")</f>
        <v/>
      </c>
    </row>
    <row r="108">
      <c r="A108" t="inlineStr">
        <is>
          <t>Will USA win the 2026 FIFA World Cup?</t>
        </is>
      </c>
      <c r="B108" s="4" t="n">
        <v>46205</v>
      </c>
      <c r="C108" s="5" t="n">
        <v>46205.97015046296</v>
      </c>
      <c r="D108" t="inlineStr">
        <is>
          <t>BUY</t>
        </is>
      </c>
      <c r="E108" t="inlineStr">
        <is>
          <t>No</t>
        </is>
      </c>
      <c r="F108" s="2" t="n">
        <v>0.974</v>
      </c>
      <c r="G108" s="6" t="n">
        <v>40</v>
      </c>
      <c r="H108" s="6">
        <f>F108*G108</f>
        <v/>
      </c>
      <c r="I108">
        <f>_xlfn.XLOOKUP(A108,MktTitle,MktCat,"n/a")</f>
        <v/>
      </c>
      <c r="J108" s="3">
        <f>_xlfn.XLOOKUP(A108,MktTitle,MktTotVol,0)</f>
        <v/>
      </c>
      <c r="K108">
        <f>IF(H108&gt;WhaleThreshold,"WHALE","")</f>
        <v/>
      </c>
    </row>
    <row r="109">
      <c r="A109" t="inlineStr">
        <is>
          <t>Will USA win the 2026 FIFA World Cup?</t>
        </is>
      </c>
      <c r="B109" s="4" t="n">
        <v>46205</v>
      </c>
      <c r="C109" s="5" t="n">
        <v>46205.97012731482</v>
      </c>
      <c r="D109" t="inlineStr">
        <is>
          <t>BUY</t>
        </is>
      </c>
      <c r="E109" t="inlineStr">
        <is>
          <t>No</t>
        </is>
      </c>
      <c r="F109" s="2" t="n">
        <v>0.974</v>
      </c>
      <c r="G109" s="6" t="n">
        <v>5</v>
      </c>
      <c r="H109" s="6">
        <f>F109*G109</f>
        <v/>
      </c>
      <c r="I109">
        <f>_xlfn.XLOOKUP(A109,MktTitle,MktCat,"n/a")</f>
        <v/>
      </c>
      <c r="J109" s="3">
        <f>_xlfn.XLOOKUP(A109,MktTitle,MktTotVol,0)</f>
        <v/>
      </c>
      <c r="K109">
        <f>IF(H109&gt;WhaleThreshold,"WHALE","")</f>
        <v/>
      </c>
    </row>
    <row r="110">
      <c r="A110" t="inlineStr">
        <is>
          <t>Will USA win the 2026 FIFA World Cup?</t>
        </is>
      </c>
      <c r="B110" s="4" t="n">
        <v>46205</v>
      </c>
      <c r="C110" s="5" t="n">
        <v>46205.97011574074</v>
      </c>
      <c r="D110" t="inlineStr">
        <is>
          <t>BUY</t>
        </is>
      </c>
      <c r="E110" t="inlineStr">
        <is>
          <t>No</t>
        </is>
      </c>
      <c r="F110" s="2" t="n">
        <v>0.974</v>
      </c>
      <c r="G110" s="6" t="n">
        <v>10</v>
      </c>
      <c r="H110" s="6">
        <f>F110*G110</f>
        <v/>
      </c>
      <c r="I110">
        <f>_xlfn.XLOOKUP(A110,MktTitle,MktCat,"n/a")</f>
        <v/>
      </c>
      <c r="J110" s="3">
        <f>_xlfn.XLOOKUP(A110,MktTitle,MktTotVol,0)</f>
        <v/>
      </c>
      <c r="K110">
        <f>IF(H110&gt;WhaleThreshold,"WHALE","")</f>
        <v/>
      </c>
    </row>
    <row r="111">
      <c r="A111" t="inlineStr">
        <is>
          <t>Will USA win the 2026 FIFA World Cup?</t>
        </is>
      </c>
      <c r="B111" s="4" t="n">
        <v>46205</v>
      </c>
      <c r="C111" s="5" t="n">
        <v>46205.97011574074</v>
      </c>
      <c r="D111" t="inlineStr">
        <is>
          <t>BUY</t>
        </is>
      </c>
      <c r="E111" t="inlineStr">
        <is>
          <t>No</t>
        </is>
      </c>
      <c r="F111" s="2" t="n">
        <v>0.974</v>
      </c>
      <c r="G111" s="6" t="n">
        <v>20</v>
      </c>
      <c r="H111" s="6">
        <f>F111*G111</f>
        <v/>
      </c>
      <c r="I111">
        <f>_xlfn.XLOOKUP(A111,MktTitle,MktCat,"n/a")</f>
        <v/>
      </c>
      <c r="J111" s="3">
        <f>_xlfn.XLOOKUP(A111,MktTitle,MktTotVol,0)</f>
        <v/>
      </c>
      <c r="K111">
        <f>IF(H111&gt;WhaleThreshold,"WHALE","")</f>
        <v/>
      </c>
    </row>
    <row r="112">
      <c r="A112" t="inlineStr">
        <is>
          <t>Will USA win the 2026 FIFA World Cup?</t>
        </is>
      </c>
      <c r="B112" s="4" t="n">
        <v>46205</v>
      </c>
      <c r="C112" s="5" t="n">
        <v>46205.97009259259</v>
      </c>
      <c r="D112" t="inlineStr">
        <is>
          <t>BUY</t>
        </is>
      </c>
      <c r="E112" t="inlineStr">
        <is>
          <t>No</t>
        </is>
      </c>
      <c r="F112" s="2" t="n">
        <v>0.974</v>
      </c>
      <c r="G112" s="6" t="n">
        <v>25.3</v>
      </c>
      <c r="H112" s="6">
        <f>F112*G112</f>
        <v/>
      </c>
      <c r="I112">
        <f>_xlfn.XLOOKUP(A112,MktTitle,MktCat,"n/a")</f>
        <v/>
      </c>
      <c r="J112" s="3">
        <f>_xlfn.XLOOKUP(A112,MktTitle,MktTotVol,0)</f>
        <v/>
      </c>
      <c r="K112">
        <f>IF(H112&gt;WhaleThreshold,"WHALE","")</f>
        <v/>
      </c>
    </row>
    <row r="113">
      <c r="A113" t="inlineStr">
        <is>
          <t>Will USA win the 2026 FIFA World Cup?</t>
        </is>
      </c>
      <c r="B113" s="4" t="n">
        <v>46205</v>
      </c>
      <c r="C113" s="5" t="n">
        <v>46205.97009259259</v>
      </c>
      <c r="D113" t="inlineStr">
        <is>
          <t>BUY</t>
        </is>
      </c>
      <c r="E113" t="inlineStr">
        <is>
          <t>No</t>
        </is>
      </c>
      <c r="F113" s="2" t="n">
        <v>0.974</v>
      </c>
      <c r="G113" s="6" t="n">
        <v>60</v>
      </c>
      <c r="H113" s="6">
        <f>F113*G113</f>
        <v/>
      </c>
      <c r="I113">
        <f>_xlfn.XLOOKUP(A113,MktTitle,MktCat,"n/a")</f>
        <v/>
      </c>
      <c r="J113" s="3">
        <f>_xlfn.XLOOKUP(A113,MktTitle,MktTotVol,0)</f>
        <v/>
      </c>
      <c r="K113">
        <f>IF(H113&gt;WhaleThreshold,"WHALE","")</f>
        <v/>
      </c>
    </row>
    <row r="114">
      <c r="A114" t="inlineStr">
        <is>
          <t>Will USA win the 2026 FIFA World Cup?</t>
        </is>
      </c>
      <c r="B114" s="4" t="n">
        <v>46205</v>
      </c>
      <c r="C114" s="5" t="n">
        <v>46205.97005787037</v>
      </c>
      <c r="D114" t="inlineStr">
        <is>
          <t>BUY</t>
        </is>
      </c>
      <c r="E114" t="inlineStr">
        <is>
          <t>No</t>
        </is>
      </c>
      <c r="F114" s="2" t="n">
        <v>0.974</v>
      </c>
      <c r="G114" s="6" t="n">
        <v>50.7</v>
      </c>
      <c r="H114" s="6">
        <f>F114*G114</f>
        <v/>
      </c>
      <c r="I114">
        <f>_xlfn.XLOOKUP(A114,MktTitle,MktCat,"n/a")</f>
        <v/>
      </c>
      <c r="J114" s="3">
        <f>_xlfn.XLOOKUP(A114,MktTitle,MktTotVol,0)</f>
        <v/>
      </c>
      <c r="K114">
        <f>IF(H114&gt;WhaleThreshold,"WHALE","")</f>
        <v/>
      </c>
    </row>
    <row r="115">
      <c r="A115" t="inlineStr">
        <is>
          <t>Will USA win the 2026 FIFA World Cup?</t>
        </is>
      </c>
      <c r="B115" s="4" t="n">
        <v>46205</v>
      </c>
      <c r="C115" s="5" t="n">
        <v>46205.97005787037</v>
      </c>
      <c r="D115" t="inlineStr">
        <is>
          <t>BUY</t>
        </is>
      </c>
      <c r="E115" t="inlineStr">
        <is>
          <t>No</t>
        </is>
      </c>
      <c r="F115" s="2" t="n">
        <v>0.974</v>
      </c>
      <c r="G115" s="6" t="n">
        <v>5</v>
      </c>
      <c r="H115" s="6">
        <f>F115*G115</f>
        <v/>
      </c>
      <c r="I115">
        <f>_xlfn.XLOOKUP(A115,MktTitle,MktCat,"n/a")</f>
        <v/>
      </c>
      <c r="J115" s="3">
        <f>_xlfn.XLOOKUP(A115,MktTitle,MktTotVol,0)</f>
        <v/>
      </c>
      <c r="K115">
        <f>IF(H115&gt;WhaleThreshold,"WHALE","")</f>
        <v/>
      </c>
    </row>
    <row r="116">
      <c r="A116" t="inlineStr">
        <is>
          <t>Will USA win the 2026 FIFA World Cup?</t>
        </is>
      </c>
      <c r="B116" s="4" t="n">
        <v>46205</v>
      </c>
      <c r="C116" s="5" t="n">
        <v>46205.97005787037</v>
      </c>
      <c r="D116" t="inlineStr">
        <is>
          <t>BUY</t>
        </is>
      </c>
      <c r="E116" t="inlineStr">
        <is>
          <t>No</t>
        </is>
      </c>
      <c r="F116" s="2" t="n">
        <v>0.974</v>
      </c>
      <c r="G116" s="6" t="n">
        <v>5</v>
      </c>
      <c r="H116" s="6">
        <f>F116*G116</f>
        <v/>
      </c>
      <c r="I116">
        <f>_xlfn.XLOOKUP(A116,MktTitle,MktCat,"n/a")</f>
        <v/>
      </c>
      <c r="J116" s="3">
        <f>_xlfn.XLOOKUP(A116,MktTitle,MktTotVol,0)</f>
        <v/>
      </c>
      <c r="K116">
        <f>IF(H116&gt;WhaleThreshold,"WHALE","")</f>
        <v/>
      </c>
    </row>
    <row r="117">
      <c r="A117" t="inlineStr">
        <is>
          <t>Will USA win the 2026 FIFA World Cup?</t>
        </is>
      </c>
      <c r="B117" s="4" t="n">
        <v>46205</v>
      </c>
      <c r="C117" s="5" t="n">
        <v>46205.97004629629</v>
      </c>
      <c r="D117" t="inlineStr">
        <is>
          <t>BUY</t>
        </is>
      </c>
      <c r="E117" t="inlineStr">
        <is>
          <t>No</t>
        </is>
      </c>
      <c r="F117" s="2" t="n">
        <v>0.974</v>
      </c>
      <c r="G117" s="6" t="n">
        <v>10</v>
      </c>
      <c r="H117" s="6">
        <f>F117*G117</f>
        <v/>
      </c>
      <c r="I117">
        <f>_xlfn.XLOOKUP(A117,MktTitle,MktCat,"n/a")</f>
        <v/>
      </c>
      <c r="J117" s="3">
        <f>_xlfn.XLOOKUP(A117,MktTitle,MktTotVol,0)</f>
        <v/>
      </c>
      <c r="K117">
        <f>IF(H117&gt;WhaleThreshold,"WHALE","")</f>
        <v/>
      </c>
    </row>
    <row r="118">
      <c r="A118" t="inlineStr">
        <is>
          <t>Will USA win the 2026 FIFA World Cup?</t>
        </is>
      </c>
      <c r="B118" s="4" t="n">
        <v>46205</v>
      </c>
      <c r="C118" s="5" t="n">
        <v>46205.96988425926</v>
      </c>
      <c r="D118" t="inlineStr">
        <is>
          <t>BUY</t>
        </is>
      </c>
      <c r="E118" t="inlineStr">
        <is>
          <t>No</t>
        </is>
      </c>
      <c r="F118" s="2" t="n">
        <v>0.974</v>
      </c>
      <c r="G118" s="6" t="n">
        <v>86</v>
      </c>
      <c r="H118" s="6">
        <f>F118*G118</f>
        <v/>
      </c>
      <c r="I118">
        <f>_xlfn.XLOOKUP(A118,MktTitle,MktCat,"n/a")</f>
        <v/>
      </c>
      <c r="J118" s="3">
        <f>_xlfn.XLOOKUP(A118,MktTitle,MktTotVol,0)</f>
        <v/>
      </c>
      <c r="K118">
        <f>IF(H118&gt;WhaleThreshold,"WHALE","")</f>
        <v/>
      </c>
    </row>
    <row r="119">
      <c r="A119" t="inlineStr">
        <is>
          <t>Will USA win the 2026 FIFA World Cup?</t>
        </is>
      </c>
      <c r="B119" s="4" t="n">
        <v>46205</v>
      </c>
      <c r="C119" s="5" t="n">
        <v>46205.96988425926</v>
      </c>
      <c r="D119" t="inlineStr">
        <is>
          <t>BUY</t>
        </is>
      </c>
      <c r="E119" t="inlineStr">
        <is>
          <t>No</t>
        </is>
      </c>
      <c r="F119" s="2" t="n">
        <v>0.974</v>
      </c>
      <c r="G119" s="6" t="n">
        <v>100</v>
      </c>
      <c r="H119" s="6">
        <f>F119*G119</f>
        <v/>
      </c>
      <c r="I119">
        <f>_xlfn.XLOOKUP(A119,MktTitle,MktCat,"n/a")</f>
        <v/>
      </c>
      <c r="J119" s="3">
        <f>_xlfn.XLOOKUP(A119,MktTitle,MktTotVol,0)</f>
        <v/>
      </c>
      <c r="K119">
        <f>IF(H119&gt;WhaleThreshold,"WHALE","")</f>
        <v/>
      </c>
    </row>
    <row r="120">
      <c r="A120" t="inlineStr">
        <is>
          <t>Will USA win the 2026 FIFA World Cup?</t>
        </is>
      </c>
      <c r="B120" s="4" t="n">
        <v>46205</v>
      </c>
      <c r="C120" s="5" t="n">
        <v>46205.96987268519</v>
      </c>
      <c r="D120" t="inlineStr">
        <is>
          <t>BUY</t>
        </is>
      </c>
      <c r="E120" t="inlineStr">
        <is>
          <t>No</t>
        </is>
      </c>
      <c r="F120" s="2" t="n">
        <v>0.974</v>
      </c>
      <c r="G120" s="6" t="n">
        <v>80</v>
      </c>
      <c r="H120" s="6">
        <f>F120*G120</f>
        <v/>
      </c>
      <c r="I120">
        <f>_xlfn.XLOOKUP(A120,MktTitle,MktCat,"n/a")</f>
        <v/>
      </c>
      <c r="J120" s="3">
        <f>_xlfn.XLOOKUP(A120,MktTitle,MktTotVol,0)</f>
        <v/>
      </c>
      <c r="K120">
        <f>IF(H120&gt;WhaleThreshold,"WHALE","")</f>
        <v/>
      </c>
    </row>
    <row r="121">
      <c r="A121" t="inlineStr">
        <is>
          <t>Will USA win the 2026 FIFA World Cup?</t>
        </is>
      </c>
      <c r="B121" s="4" t="n">
        <v>46205</v>
      </c>
      <c r="C121" s="5" t="n">
        <v>46205.96987268519</v>
      </c>
      <c r="D121" t="inlineStr">
        <is>
          <t>BUY</t>
        </is>
      </c>
      <c r="E121" t="inlineStr">
        <is>
          <t>No</t>
        </is>
      </c>
      <c r="F121" s="2" t="n">
        <v>0.974</v>
      </c>
      <c r="G121" s="6" t="n">
        <v>73.59999999999999</v>
      </c>
      <c r="H121" s="6">
        <f>F121*G121</f>
        <v/>
      </c>
      <c r="I121">
        <f>_xlfn.XLOOKUP(A121,MktTitle,MktCat,"n/a")</f>
        <v/>
      </c>
      <c r="J121" s="3">
        <f>_xlfn.XLOOKUP(A121,MktTitle,MktTotVol,0)</f>
        <v/>
      </c>
      <c r="K121">
        <f>IF(H121&gt;WhaleThreshold,"WHALE","")</f>
        <v/>
      </c>
    </row>
    <row r="122">
      <c r="A122" t="inlineStr">
        <is>
          <t>Will USA win the 2026 FIFA World Cup?</t>
        </is>
      </c>
      <c r="B122" s="4" t="n">
        <v>46205</v>
      </c>
      <c r="C122" s="5" t="n">
        <v>46205.96980324074</v>
      </c>
      <c r="D122" t="inlineStr">
        <is>
          <t>BUY</t>
        </is>
      </c>
      <c r="E122" t="inlineStr">
        <is>
          <t>No</t>
        </is>
      </c>
      <c r="F122" s="2" t="n">
        <v>0.974</v>
      </c>
      <c r="G122" s="6" t="n">
        <v>80</v>
      </c>
      <c r="H122" s="6">
        <f>F122*G122</f>
        <v/>
      </c>
      <c r="I122">
        <f>_xlfn.XLOOKUP(A122,MktTitle,MktCat,"n/a")</f>
        <v/>
      </c>
      <c r="J122" s="3">
        <f>_xlfn.XLOOKUP(A122,MktTitle,MktTotVol,0)</f>
        <v/>
      </c>
      <c r="K122">
        <f>IF(H122&gt;WhaleThreshold,"WHALE","")</f>
        <v/>
      </c>
    </row>
    <row r="123">
      <c r="A123" t="inlineStr">
        <is>
          <t>Will USA win the 2026 FIFA World Cup?</t>
        </is>
      </c>
      <c r="B123" s="4" t="n">
        <v>46205</v>
      </c>
      <c r="C123" s="5" t="n">
        <v>46205.9696412037</v>
      </c>
      <c r="D123" t="inlineStr">
        <is>
          <t>BUY</t>
        </is>
      </c>
      <c r="E123" t="inlineStr">
        <is>
          <t>No</t>
        </is>
      </c>
      <c r="F123" s="2" t="n">
        <v>0.974</v>
      </c>
      <c r="G123" s="6" t="n">
        <v>10</v>
      </c>
      <c r="H123" s="6">
        <f>F123*G123</f>
        <v/>
      </c>
      <c r="I123">
        <f>_xlfn.XLOOKUP(A123,MktTitle,MktCat,"n/a")</f>
        <v/>
      </c>
      <c r="J123" s="3">
        <f>_xlfn.XLOOKUP(A123,MktTitle,MktTotVol,0)</f>
        <v/>
      </c>
      <c r="K123">
        <f>IF(H123&gt;WhaleThreshold,"WHALE","")</f>
        <v/>
      </c>
    </row>
    <row r="124">
      <c r="A124" t="inlineStr">
        <is>
          <t>Will USA win the 2026 FIFA World Cup?</t>
        </is>
      </c>
      <c r="B124" s="4" t="n">
        <v>46205</v>
      </c>
      <c r="C124" s="5" t="n">
        <v>46205.96905092592</v>
      </c>
      <c r="D124" t="inlineStr">
        <is>
          <t>BUY</t>
        </is>
      </c>
      <c r="E124" t="inlineStr">
        <is>
          <t>No</t>
        </is>
      </c>
      <c r="F124" s="2" t="n">
        <v>0.974</v>
      </c>
      <c r="G124" s="6" t="n">
        <v>42.8131</v>
      </c>
      <c r="H124" s="6">
        <f>F124*G124</f>
        <v/>
      </c>
      <c r="I124">
        <f>_xlfn.XLOOKUP(A124,MktTitle,MktCat,"n/a")</f>
        <v/>
      </c>
      <c r="J124" s="3">
        <f>_xlfn.XLOOKUP(A124,MktTitle,MktTotVol,0)</f>
        <v/>
      </c>
      <c r="K124">
        <f>IF(H124&gt;WhaleThreshold,"WHALE","")</f>
        <v/>
      </c>
    </row>
    <row r="125">
      <c r="A125" t="inlineStr">
        <is>
          <t>Will USA win the 2026 FIFA World Cup?</t>
        </is>
      </c>
      <c r="B125" s="4" t="n">
        <v>46205</v>
      </c>
      <c r="C125" s="5" t="n">
        <v>46205.96807870371</v>
      </c>
      <c r="D125" t="inlineStr">
        <is>
          <t>SELL</t>
        </is>
      </c>
      <c r="E125" t="inlineStr">
        <is>
          <t>No</t>
        </is>
      </c>
      <c r="F125" s="2" t="n">
        <v>0.973</v>
      </c>
      <c r="G125" s="6" t="n">
        <v>10.66</v>
      </c>
      <c r="H125" s="6">
        <f>F125*G125</f>
        <v/>
      </c>
      <c r="I125">
        <f>_xlfn.XLOOKUP(A125,MktTitle,MktCat,"n/a")</f>
        <v/>
      </c>
      <c r="J125" s="3">
        <f>_xlfn.XLOOKUP(A125,MktTitle,MktTotVol,0)</f>
        <v/>
      </c>
      <c r="K125">
        <f>IF(H125&gt;WhaleThreshold,"WHALE","")</f>
        <v/>
      </c>
    </row>
    <row r="126">
      <c r="A126" t="inlineStr">
        <is>
          <t>Will USA win the 2026 FIFA World Cup?</t>
        </is>
      </c>
      <c r="B126" s="4" t="n">
        <v>46205</v>
      </c>
      <c r="C126" s="5" t="n">
        <v>46205.96799768518</v>
      </c>
      <c r="D126" t="inlineStr">
        <is>
          <t>SELL</t>
        </is>
      </c>
      <c r="E126" t="inlineStr">
        <is>
          <t>Yes</t>
        </is>
      </c>
      <c r="F126" s="2" t="n">
        <v>0.026</v>
      </c>
      <c r="G126" s="6" t="n">
        <v>71.84999999999999</v>
      </c>
      <c r="H126" s="6">
        <f>F126*G126</f>
        <v/>
      </c>
      <c r="I126">
        <f>_xlfn.XLOOKUP(A126,MktTitle,MktCat,"n/a")</f>
        <v/>
      </c>
      <c r="J126" s="3">
        <f>_xlfn.XLOOKUP(A126,MktTitle,MktTotVol,0)</f>
        <v/>
      </c>
      <c r="K126">
        <f>IF(H126&gt;WhaleThreshold,"WHALE","")</f>
        <v/>
      </c>
    </row>
    <row r="127">
      <c r="A127" t="inlineStr">
        <is>
          <t>Will USA win the 2026 FIFA World Cup?</t>
        </is>
      </c>
      <c r="B127" s="4" t="n">
        <v>46205</v>
      </c>
      <c r="C127" s="5" t="n">
        <v>46205.96783564815</v>
      </c>
      <c r="D127" t="inlineStr">
        <is>
          <t>BUY</t>
        </is>
      </c>
      <c r="E127" t="inlineStr">
        <is>
          <t>No</t>
        </is>
      </c>
      <c r="F127" s="2" t="n">
        <v>0.974</v>
      </c>
      <c r="G127" s="6" t="n">
        <v>10.66</v>
      </c>
      <c r="H127" s="6">
        <f>F127*G127</f>
        <v/>
      </c>
      <c r="I127">
        <f>_xlfn.XLOOKUP(A127,MktTitle,MktCat,"n/a")</f>
        <v/>
      </c>
      <c r="J127" s="3">
        <f>_xlfn.XLOOKUP(A127,MktTitle,MktTotVol,0)</f>
        <v/>
      </c>
      <c r="K127">
        <f>IF(H127&gt;WhaleThreshold,"WHALE","")</f>
        <v/>
      </c>
    </row>
    <row r="128">
      <c r="A128" t="inlineStr">
        <is>
          <t>Will USA win the 2026 FIFA World Cup?</t>
        </is>
      </c>
      <c r="B128" s="4" t="n">
        <v>46205</v>
      </c>
      <c r="C128" s="5" t="n">
        <v>46205.96751157408</v>
      </c>
      <c r="D128" t="inlineStr">
        <is>
          <t>BUY</t>
        </is>
      </c>
      <c r="E128" t="inlineStr">
        <is>
          <t>Yes</t>
        </is>
      </c>
      <c r="F128" s="2" t="n">
        <v>0.027</v>
      </c>
      <c r="G128" s="6" t="n">
        <v>71.8518</v>
      </c>
      <c r="H128" s="6">
        <f>F128*G128</f>
        <v/>
      </c>
      <c r="I128">
        <f>_xlfn.XLOOKUP(A128,MktTitle,MktCat,"n/a")</f>
        <v/>
      </c>
      <c r="J128" s="3">
        <f>_xlfn.XLOOKUP(A128,MktTitle,MktTotVol,0)</f>
        <v/>
      </c>
      <c r="K128">
        <f>IF(H128&gt;WhaleThreshold,"WHALE","")</f>
        <v/>
      </c>
    </row>
    <row r="129">
      <c r="A129" t="inlineStr">
        <is>
          <t>Will USA win the 2026 FIFA World Cup?</t>
        </is>
      </c>
      <c r="B129" s="4" t="n">
        <v>46205</v>
      </c>
      <c r="C129" s="5" t="n">
        <v>46205.96730324074</v>
      </c>
      <c r="D129" t="inlineStr">
        <is>
          <t>BUY</t>
        </is>
      </c>
      <c r="E129" t="inlineStr">
        <is>
          <t>No</t>
        </is>
      </c>
      <c r="F129" s="2" t="n">
        <v>0.974</v>
      </c>
      <c r="G129" s="6" t="n">
        <v>1.1</v>
      </c>
      <c r="H129" s="6">
        <f>F129*G129</f>
        <v/>
      </c>
      <c r="I129">
        <f>_xlfn.XLOOKUP(A129,MktTitle,MktCat,"n/a")</f>
        <v/>
      </c>
      <c r="J129" s="3">
        <f>_xlfn.XLOOKUP(A129,MktTitle,MktTotVol,0)</f>
        <v/>
      </c>
      <c r="K129">
        <f>IF(H129&gt;WhaleThreshold,"WHALE","")</f>
        <v/>
      </c>
    </row>
    <row r="130">
      <c r="A130" t="inlineStr">
        <is>
          <t>Will USA win the 2026 FIFA World Cup?</t>
        </is>
      </c>
      <c r="B130" s="4" t="n">
        <v>46205</v>
      </c>
      <c r="C130" s="5" t="n">
        <v>46205.9672337963</v>
      </c>
      <c r="D130" t="inlineStr">
        <is>
          <t>BUY</t>
        </is>
      </c>
      <c r="E130" t="inlineStr">
        <is>
          <t>No</t>
        </is>
      </c>
      <c r="F130" s="2" t="n">
        <v>0.974</v>
      </c>
      <c r="G130" s="6" t="n">
        <v>32.4</v>
      </c>
      <c r="H130" s="6">
        <f>F130*G130</f>
        <v/>
      </c>
      <c r="I130">
        <f>_xlfn.XLOOKUP(A130,MktTitle,MktCat,"n/a")</f>
        <v/>
      </c>
      <c r="J130" s="3">
        <f>_xlfn.XLOOKUP(A130,MktTitle,MktTotVol,0)</f>
        <v/>
      </c>
      <c r="K130">
        <f>IF(H130&gt;WhaleThreshold,"WHALE","")</f>
        <v/>
      </c>
    </row>
    <row r="131">
      <c r="A131" t="inlineStr">
        <is>
          <t>Will USA win the 2026 FIFA World Cup?</t>
        </is>
      </c>
      <c r="B131" s="4" t="n">
        <v>46205</v>
      </c>
      <c r="C131" s="5" t="n">
        <v>46205.96717592593</v>
      </c>
      <c r="D131" t="inlineStr">
        <is>
          <t>BUY</t>
        </is>
      </c>
      <c r="E131" t="inlineStr">
        <is>
          <t>No</t>
        </is>
      </c>
      <c r="F131" s="2" t="n">
        <v>0.974</v>
      </c>
      <c r="G131" s="6" t="n">
        <v>110</v>
      </c>
      <c r="H131" s="6">
        <f>F131*G131</f>
        <v/>
      </c>
      <c r="I131">
        <f>_xlfn.XLOOKUP(A131,MktTitle,MktCat,"n/a")</f>
        <v/>
      </c>
      <c r="J131" s="3">
        <f>_xlfn.XLOOKUP(A131,MktTitle,MktTotVol,0)</f>
        <v/>
      </c>
      <c r="K131">
        <f>IF(H131&gt;WhaleThreshold,"WHALE","")</f>
        <v/>
      </c>
    </row>
    <row r="132">
      <c r="A132" t="inlineStr">
        <is>
          <t>Will USA win the 2026 FIFA World Cup?</t>
        </is>
      </c>
      <c r="B132" s="4" t="n">
        <v>46205</v>
      </c>
      <c r="C132" s="5" t="n">
        <v>46205.96716435185</v>
      </c>
      <c r="D132" t="inlineStr">
        <is>
          <t>BUY</t>
        </is>
      </c>
      <c r="E132" t="inlineStr">
        <is>
          <t>No</t>
        </is>
      </c>
      <c r="F132" s="2" t="n">
        <v>0.974</v>
      </c>
      <c r="G132" s="6" t="n">
        <v>5</v>
      </c>
      <c r="H132" s="6">
        <f>F132*G132</f>
        <v/>
      </c>
      <c r="I132">
        <f>_xlfn.XLOOKUP(A132,MktTitle,MktCat,"n/a")</f>
        <v/>
      </c>
      <c r="J132" s="3">
        <f>_xlfn.XLOOKUP(A132,MktTitle,MktTotVol,0)</f>
        <v/>
      </c>
      <c r="K132">
        <f>IF(H132&gt;WhaleThreshold,"WHALE","")</f>
        <v/>
      </c>
    </row>
    <row r="133">
      <c r="A133" t="inlineStr">
        <is>
          <t>Will USA win the 2026 FIFA World Cup?</t>
        </is>
      </c>
      <c r="B133" s="4" t="n">
        <v>46205</v>
      </c>
      <c r="C133" s="5" t="n">
        <v>46205.96712962963</v>
      </c>
      <c r="D133" t="inlineStr">
        <is>
          <t>BUY</t>
        </is>
      </c>
      <c r="E133" t="inlineStr">
        <is>
          <t>No</t>
        </is>
      </c>
      <c r="F133" s="2" t="n">
        <v>0.974</v>
      </c>
      <c r="G133" s="6" t="n">
        <v>22.8</v>
      </c>
      <c r="H133" s="6">
        <f>F133*G133</f>
        <v/>
      </c>
      <c r="I133">
        <f>_xlfn.XLOOKUP(A133,MktTitle,MktCat,"n/a")</f>
        <v/>
      </c>
      <c r="J133" s="3">
        <f>_xlfn.XLOOKUP(A133,MktTitle,MktTotVol,0)</f>
        <v/>
      </c>
      <c r="K133">
        <f>IF(H133&gt;WhaleThreshold,"WHALE","")</f>
        <v/>
      </c>
    </row>
    <row r="134">
      <c r="A134" t="inlineStr">
        <is>
          <t>Will USA win the 2026 FIFA World Cup?</t>
        </is>
      </c>
      <c r="B134" s="4" t="n">
        <v>46205</v>
      </c>
      <c r="C134" s="5" t="n">
        <v>46205.96712962963</v>
      </c>
      <c r="D134" t="inlineStr">
        <is>
          <t>BUY</t>
        </is>
      </c>
      <c r="E134" t="inlineStr">
        <is>
          <t>No</t>
        </is>
      </c>
      <c r="F134" s="2" t="n">
        <v>0.974</v>
      </c>
      <c r="G134" s="6" t="n">
        <v>40</v>
      </c>
      <c r="H134" s="6">
        <f>F134*G134</f>
        <v/>
      </c>
      <c r="I134">
        <f>_xlfn.XLOOKUP(A134,MktTitle,MktCat,"n/a")</f>
        <v/>
      </c>
      <c r="J134" s="3">
        <f>_xlfn.XLOOKUP(A134,MktTitle,MktTotVol,0)</f>
        <v/>
      </c>
      <c r="K134">
        <f>IF(H134&gt;WhaleThreshold,"WHALE","")</f>
        <v/>
      </c>
    </row>
    <row r="135">
      <c r="A135" t="inlineStr">
        <is>
          <t>Will USA win the 2026 FIFA World Cup?</t>
        </is>
      </c>
      <c r="B135" s="4" t="n">
        <v>46205</v>
      </c>
      <c r="C135" s="5" t="n">
        <v>46205.96712962963</v>
      </c>
      <c r="D135" t="inlineStr">
        <is>
          <t>BUY</t>
        </is>
      </c>
      <c r="E135" t="inlineStr">
        <is>
          <t>No</t>
        </is>
      </c>
      <c r="F135" s="2" t="n">
        <v>0.974</v>
      </c>
      <c r="G135" s="6" t="n">
        <v>30</v>
      </c>
      <c r="H135" s="6">
        <f>F135*G135</f>
        <v/>
      </c>
      <c r="I135">
        <f>_xlfn.XLOOKUP(A135,MktTitle,MktCat,"n/a")</f>
        <v/>
      </c>
      <c r="J135" s="3">
        <f>_xlfn.XLOOKUP(A135,MktTitle,MktTotVol,0)</f>
        <v/>
      </c>
      <c r="K135">
        <f>IF(H135&gt;WhaleThreshold,"WHALE","")</f>
        <v/>
      </c>
    </row>
    <row r="136">
      <c r="A136" t="inlineStr">
        <is>
          <t>Will USA win the 2026 FIFA World Cup?</t>
        </is>
      </c>
      <c r="B136" s="4" t="n">
        <v>46205</v>
      </c>
      <c r="C136" s="5" t="n">
        <v>46205.96712962963</v>
      </c>
      <c r="D136" t="inlineStr">
        <is>
          <t>BUY</t>
        </is>
      </c>
      <c r="E136" t="inlineStr">
        <is>
          <t>No</t>
        </is>
      </c>
      <c r="F136" s="2" t="n">
        <v>0.974</v>
      </c>
      <c r="G136" s="6" t="n">
        <v>45.6</v>
      </c>
      <c r="H136" s="6">
        <f>F136*G136</f>
        <v/>
      </c>
      <c r="I136">
        <f>_xlfn.XLOOKUP(A136,MktTitle,MktCat,"n/a")</f>
        <v/>
      </c>
      <c r="J136" s="3">
        <f>_xlfn.XLOOKUP(A136,MktTitle,MktTotVol,0)</f>
        <v/>
      </c>
      <c r="K136">
        <f>IF(H136&gt;WhaleThreshold,"WHALE","")</f>
        <v/>
      </c>
    </row>
    <row r="137">
      <c r="A137" t="inlineStr">
        <is>
          <t>Will USA win the 2026 FIFA World Cup?</t>
        </is>
      </c>
      <c r="B137" s="4" t="n">
        <v>46205</v>
      </c>
      <c r="C137" s="5" t="n">
        <v>46205.96710648148</v>
      </c>
      <c r="D137" t="inlineStr">
        <is>
          <t>BUY</t>
        </is>
      </c>
      <c r="E137" t="inlineStr">
        <is>
          <t>No</t>
        </is>
      </c>
      <c r="F137" s="2" t="n">
        <v>0.974</v>
      </c>
      <c r="G137" s="6" t="n">
        <v>90</v>
      </c>
      <c r="H137" s="6">
        <f>F137*G137</f>
        <v/>
      </c>
      <c r="I137">
        <f>_xlfn.XLOOKUP(A137,MktTitle,MktCat,"n/a")</f>
        <v/>
      </c>
      <c r="J137" s="3">
        <f>_xlfn.XLOOKUP(A137,MktTitle,MktTotVol,0)</f>
        <v/>
      </c>
      <c r="K137">
        <f>IF(H137&gt;WhaleThreshold,"WHALE","")</f>
        <v/>
      </c>
    </row>
    <row r="138">
      <c r="A138" t="inlineStr">
        <is>
          <t>Will USA win the 2026 FIFA World Cup?</t>
        </is>
      </c>
      <c r="B138" s="4" t="n">
        <v>46205</v>
      </c>
      <c r="C138" s="5" t="n">
        <v>46205.96700231481</v>
      </c>
      <c r="D138" t="inlineStr">
        <is>
          <t>SELL</t>
        </is>
      </c>
      <c r="E138" t="inlineStr">
        <is>
          <t>No</t>
        </is>
      </c>
      <c r="F138" s="2" t="n">
        <v>0.973</v>
      </c>
      <c r="G138" s="6" t="n">
        <v>25.67</v>
      </c>
      <c r="H138" s="6">
        <f>F138*G138</f>
        <v/>
      </c>
      <c r="I138">
        <f>_xlfn.XLOOKUP(A138,MktTitle,MktCat,"n/a")</f>
        <v/>
      </c>
      <c r="J138" s="3">
        <f>_xlfn.XLOOKUP(A138,MktTitle,MktTotVol,0)</f>
        <v/>
      </c>
      <c r="K138">
        <f>IF(H138&gt;WhaleThreshold,"WHALE","")</f>
        <v/>
      </c>
    </row>
    <row r="139">
      <c r="A139" t="inlineStr">
        <is>
          <t>Will USA win the 2026 FIFA World Cup?</t>
        </is>
      </c>
      <c r="B139" s="4" t="n">
        <v>46205</v>
      </c>
      <c r="C139" s="5" t="n">
        <v>46205.96682870371</v>
      </c>
      <c r="D139" t="inlineStr">
        <is>
          <t>BUY</t>
        </is>
      </c>
      <c r="E139" t="inlineStr">
        <is>
          <t>No</t>
        </is>
      </c>
      <c r="F139" s="2" t="n">
        <v>0.974</v>
      </c>
      <c r="G139" s="6" t="n">
        <v>116</v>
      </c>
      <c r="H139" s="6">
        <f>F139*G139</f>
        <v/>
      </c>
      <c r="I139">
        <f>_xlfn.XLOOKUP(A139,MktTitle,MktCat,"n/a")</f>
        <v/>
      </c>
      <c r="J139" s="3">
        <f>_xlfn.XLOOKUP(A139,MktTitle,MktTotVol,0)</f>
        <v/>
      </c>
      <c r="K139">
        <f>IF(H139&gt;WhaleThreshold,"WHALE","")</f>
        <v/>
      </c>
    </row>
    <row r="140">
      <c r="A140" t="inlineStr">
        <is>
          <t>Will USA win the 2026 FIFA World Cup?</t>
        </is>
      </c>
      <c r="B140" s="4" t="n">
        <v>46205</v>
      </c>
      <c r="C140" s="5" t="n">
        <v>46205.96682870371</v>
      </c>
      <c r="D140" t="inlineStr">
        <is>
          <t>BUY</t>
        </is>
      </c>
      <c r="E140" t="inlineStr">
        <is>
          <t>No</t>
        </is>
      </c>
      <c r="F140" s="2" t="n">
        <v>0.974</v>
      </c>
      <c r="G140" s="6" t="n">
        <v>8.4</v>
      </c>
      <c r="H140" s="6">
        <f>F140*G140</f>
        <v/>
      </c>
      <c r="I140">
        <f>_xlfn.XLOOKUP(A140,MktTitle,MktCat,"n/a")</f>
        <v/>
      </c>
      <c r="J140" s="3">
        <f>_xlfn.XLOOKUP(A140,MktTitle,MktTotVol,0)</f>
        <v/>
      </c>
      <c r="K140">
        <f>IF(H140&gt;WhaleThreshold,"WHALE","")</f>
        <v/>
      </c>
    </row>
    <row r="141">
      <c r="A141" t="inlineStr">
        <is>
          <t>Will USA win the 2026 FIFA World Cup?</t>
        </is>
      </c>
      <c r="B141" s="4" t="n">
        <v>46205</v>
      </c>
      <c r="C141" s="5" t="n">
        <v>46205.96682870371</v>
      </c>
      <c r="D141" t="inlineStr">
        <is>
          <t>BUY</t>
        </is>
      </c>
      <c r="E141" t="inlineStr">
        <is>
          <t>No</t>
        </is>
      </c>
      <c r="F141" s="2" t="n">
        <v>0.974</v>
      </c>
      <c r="G141" s="6" t="n">
        <v>40</v>
      </c>
      <c r="H141" s="6">
        <f>F141*G141</f>
        <v/>
      </c>
      <c r="I141">
        <f>_xlfn.XLOOKUP(A141,MktTitle,MktCat,"n/a")</f>
        <v/>
      </c>
      <c r="J141" s="3">
        <f>_xlfn.XLOOKUP(A141,MktTitle,MktTotVol,0)</f>
        <v/>
      </c>
      <c r="K141">
        <f>IF(H141&gt;WhaleThreshold,"WHALE","")</f>
        <v/>
      </c>
    </row>
    <row r="142">
      <c r="A142" t="inlineStr">
        <is>
          <t>Will USA win the 2026 FIFA World Cup?</t>
        </is>
      </c>
      <c r="B142" s="4" t="n">
        <v>46205</v>
      </c>
      <c r="C142" s="5" t="n">
        <v>46205.96681712963</v>
      </c>
      <c r="D142" t="inlineStr">
        <is>
          <t>BUY</t>
        </is>
      </c>
      <c r="E142" t="inlineStr">
        <is>
          <t>No</t>
        </is>
      </c>
      <c r="F142" s="2" t="n">
        <v>0.974</v>
      </c>
      <c r="G142" s="6" t="n">
        <v>73.59999999999999</v>
      </c>
      <c r="H142" s="6">
        <f>F142*G142</f>
        <v/>
      </c>
      <c r="I142">
        <f>_xlfn.XLOOKUP(A142,MktTitle,MktCat,"n/a")</f>
        <v/>
      </c>
      <c r="J142" s="3">
        <f>_xlfn.XLOOKUP(A142,MktTitle,MktTotVol,0)</f>
        <v/>
      </c>
      <c r="K142">
        <f>IF(H142&gt;WhaleThreshold,"WHALE","")</f>
        <v/>
      </c>
    </row>
    <row r="143">
      <c r="A143" t="inlineStr">
        <is>
          <t>Will USA win the 2026 FIFA World Cup?</t>
        </is>
      </c>
      <c r="B143" s="4" t="n">
        <v>46205</v>
      </c>
      <c r="C143" s="5" t="n">
        <v>46205.96681712963</v>
      </c>
      <c r="D143" t="inlineStr">
        <is>
          <t>BUY</t>
        </is>
      </c>
      <c r="E143" t="inlineStr">
        <is>
          <t>No</t>
        </is>
      </c>
      <c r="F143" s="2" t="n">
        <v>0.974</v>
      </c>
      <c r="G143" s="6" t="n">
        <v>100</v>
      </c>
      <c r="H143" s="6">
        <f>F143*G143</f>
        <v/>
      </c>
      <c r="I143">
        <f>_xlfn.XLOOKUP(A143,MktTitle,MktCat,"n/a")</f>
        <v/>
      </c>
      <c r="J143" s="3">
        <f>_xlfn.XLOOKUP(A143,MktTitle,MktTotVol,0)</f>
        <v/>
      </c>
      <c r="K143">
        <f>IF(H143&gt;WhaleThreshold,"WHALE","")</f>
        <v/>
      </c>
    </row>
    <row r="144">
      <c r="A144" t="inlineStr">
        <is>
          <t>Will USA win the 2026 FIFA World Cup?</t>
        </is>
      </c>
      <c r="B144" s="4" t="n">
        <v>46205</v>
      </c>
      <c r="C144" s="5" t="n">
        <v>46205.96679398148</v>
      </c>
      <c r="D144" t="inlineStr">
        <is>
          <t>BUY</t>
        </is>
      </c>
      <c r="E144" t="inlineStr">
        <is>
          <t>No</t>
        </is>
      </c>
      <c r="F144" s="2" t="n">
        <v>0.974</v>
      </c>
      <c r="G144" s="6" t="n">
        <v>10</v>
      </c>
      <c r="H144" s="6">
        <f>F144*G144</f>
        <v/>
      </c>
      <c r="I144">
        <f>_xlfn.XLOOKUP(A144,MktTitle,MktCat,"n/a")</f>
        <v/>
      </c>
      <c r="J144" s="3">
        <f>_xlfn.XLOOKUP(A144,MktTitle,MktTotVol,0)</f>
        <v/>
      </c>
      <c r="K144">
        <f>IF(H144&gt;WhaleThreshold,"WHALE","")</f>
        <v/>
      </c>
    </row>
    <row r="145">
      <c r="A145" t="inlineStr">
        <is>
          <t>Will USA win the 2026 FIFA World Cup?</t>
        </is>
      </c>
      <c r="B145" s="4" t="n">
        <v>46205</v>
      </c>
      <c r="C145" s="5" t="n">
        <v>46205.96679398148</v>
      </c>
      <c r="D145" t="inlineStr">
        <is>
          <t>BUY</t>
        </is>
      </c>
      <c r="E145" t="inlineStr">
        <is>
          <t>No</t>
        </is>
      </c>
      <c r="F145" s="2" t="n">
        <v>0.974</v>
      </c>
      <c r="G145" s="6" t="n">
        <v>15</v>
      </c>
      <c r="H145" s="6">
        <f>F145*G145</f>
        <v/>
      </c>
      <c r="I145">
        <f>_xlfn.XLOOKUP(A145,MktTitle,MktCat,"n/a")</f>
        <v/>
      </c>
      <c r="J145" s="3">
        <f>_xlfn.XLOOKUP(A145,MktTitle,MktTotVol,0)</f>
        <v/>
      </c>
      <c r="K145">
        <f>IF(H145&gt;WhaleThreshold,"WHALE","")</f>
        <v/>
      </c>
    </row>
    <row r="146">
      <c r="A146" t="inlineStr">
        <is>
          <t>Will USA win the 2026 FIFA World Cup?</t>
        </is>
      </c>
      <c r="B146" s="4" t="n">
        <v>46205</v>
      </c>
      <c r="C146" s="5" t="n">
        <v>46205.96667824074</v>
      </c>
      <c r="D146" t="inlineStr">
        <is>
          <t>BUY</t>
        </is>
      </c>
      <c r="E146" t="inlineStr">
        <is>
          <t>No</t>
        </is>
      </c>
      <c r="F146" s="2" t="n">
        <v>0.974</v>
      </c>
      <c r="G146" s="6" t="n">
        <v>25.6673</v>
      </c>
      <c r="H146" s="6">
        <f>F146*G146</f>
        <v/>
      </c>
      <c r="I146">
        <f>_xlfn.XLOOKUP(A146,MktTitle,MktCat,"n/a")</f>
        <v/>
      </c>
      <c r="J146" s="3">
        <f>_xlfn.XLOOKUP(A146,MktTitle,MktTotVol,0)</f>
        <v/>
      </c>
      <c r="K146">
        <f>IF(H146&gt;WhaleThreshold,"WHALE","")</f>
        <v/>
      </c>
    </row>
    <row r="147">
      <c r="A147" t="inlineStr">
        <is>
          <t>Will USA win the 2026 FIFA World Cup?</t>
        </is>
      </c>
      <c r="B147" s="4" t="n">
        <v>46205</v>
      </c>
      <c r="C147" s="5" t="n">
        <v>46205.96655092593</v>
      </c>
      <c r="D147" t="inlineStr">
        <is>
          <t>BUY</t>
        </is>
      </c>
      <c r="E147" t="inlineStr">
        <is>
          <t>No</t>
        </is>
      </c>
      <c r="F147" s="2" t="n">
        <v>0.974</v>
      </c>
      <c r="G147" s="6" t="n">
        <v>5</v>
      </c>
      <c r="H147" s="6">
        <f>F147*G147</f>
        <v/>
      </c>
      <c r="I147">
        <f>_xlfn.XLOOKUP(A147,MktTitle,MktCat,"n/a")</f>
        <v/>
      </c>
      <c r="J147" s="3">
        <f>_xlfn.XLOOKUP(A147,MktTitle,MktTotVol,0)</f>
        <v/>
      </c>
      <c r="K147">
        <f>IF(H147&gt;WhaleThreshold,"WHALE","")</f>
        <v/>
      </c>
    </row>
    <row r="148">
      <c r="A148" t="inlineStr">
        <is>
          <t>Will USA win the 2026 FIFA World Cup?</t>
        </is>
      </c>
      <c r="B148" s="4" t="n">
        <v>46205</v>
      </c>
      <c r="C148" s="5" t="n">
        <v>46205.96653935185</v>
      </c>
      <c r="D148" t="inlineStr">
        <is>
          <t>BUY</t>
        </is>
      </c>
      <c r="E148" t="inlineStr">
        <is>
          <t>No</t>
        </is>
      </c>
      <c r="F148" s="2" t="n">
        <v>0.974</v>
      </c>
      <c r="G148" s="6" t="n">
        <v>115</v>
      </c>
      <c r="H148" s="6">
        <f>F148*G148</f>
        <v/>
      </c>
      <c r="I148">
        <f>_xlfn.XLOOKUP(A148,MktTitle,MktCat,"n/a")</f>
        <v/>
      </c>
      <c r="J148" s="3">
        <f>_xlfn.XLOOKUP(A148,MktTitle,MktTotVol,0)</f>
        <v/>
      </c>
      <c r="K148">
        <f>IF(H148&gt;WhaleThreshold,"WHALE","")</f>
        <v/>
      </c>
    </row>
    <row r="149">
      <c r="A149" t="inlineStr">
        <is>
          <t>Will USA win the 2026 FIFA World Cup?</t>
        </is>
      </c>
      <c r="B149" s="4" t="n">
        <v>46205</v>
      </c>
      <c r="C149" s="5" t="n">
        <v>46205.96653935185</v>
      </c>
      <c r="D149" t="inlineStr">
        <is>
          <t>BUY</t>
        </is>
      </c>
      <c r="E149" t="inlineStr">
        <is>
          <t>No</t>
        </is>
      </c>
      <c r="F149" s="2" t="n">
        <v>0.974</v>
      </c>
      <c r="G149" s="6" t="n">
        <v>115</v>
      </c>
      <c r="H149" s="6">
        <f>F149*G149</f>
        <v/>
      </c>
      <c r="I149">
        <f>_xlfn.XLOOKUP(A149,MktTitle,MktCat,"n/a")</f>
        <v/>
      </c>
      <c r="J149" s="3">
        <f>_xlfn.XLOOKUP(A149,MktTitle,MktTotVol,0)</f>
        <v/>
      </c>
      <c r="K149">
        <f>IF(H149&gt;WhaleThreshold,"WHALE","")</f>
        <v/>
      </c>
    </row>
    <row r="150">
      <c r="A150" t="inlineStr">
        <is>
          <t>Will USA win the 2026 FIFA World Cup?</t>
        </is>
      </c>
      <c r="B150" s="4" t="n">
        <v>46205</v>
      </c>
      <c r="C150" s="5" t="n">
        <v>46205.96653935185</v>
      </c>
      <c r="D150" t="inlineStr">
        <is>
          <t>BUY</t>
        </is>
      </c>
      <c r="E150" t="inlineStr">
        <is>
          <t>No</t>
        </is>
      </c>
      <c r="F150" s="2" t="n">
        <v>0.974</v>
      </c>
      <c r="G150" s="6" t="n">
        <v>73.59999999999999</v>
      </c>
      <c r="H150" s="6">
        <f>F150*G150</f>
        <v/>
      </c>
      <c r="I150">
        <f>_xlfn.XLOOKUP(A150,MktTitle,MktCat,"n/a")</f>
        <v/>
      </c>
      <c r="J150" s="3">
        <f>_xlfn.XLOOKUP(A150,MktTitle,MktTotVol,0)</f>
        <v/>
      </c>
      <c r="K150">
        <f>IF(H150&gt;WhaleThreshold,"WHALE","")</f>
        <v/>
      </c>
    </row>
    <row r="151">
      <c r="A151" t="inlineStr">
        <is>
          <t>Will USA win the 2026 FIFA World Cup?</t>
        </is>
      </c>
      <c r="B151" s="4" t="n">
        <v>46205</v>
      </c>
      <c r="C151" s="5" t="n">
        <v>46205.96622685185</v>
      </c>
      <c r="D151" t="inlineStr">
        <is>
          <t>BUY</t>
        </is>
      </c>
      <c r="E151" t="inlineStr">
        <is>
          <t>No</t>
        </is>
      </c>
      <c r="F151" s="2" t="n">
        <v>0.974</v>
      </c>
      <c r="G151" s="6" t="n">
        <v>10</v>
      </c>
      <c r="H151" s="6">
        <f>F151*G151</f>
        <v/>
      </c>
      <c r="I151">
        <f>_xlfn.XLOOKUP(A151,MktTitle,MktCat,"n/a")</f>
        <v/>
      </c>
      <c r="J151" s="3">
        <f>_xlfn.XLOOKUP(A151,MktTitle,MktTotVol,0)</f>
        <v/>
      </c>
      <c r="K151">
        <f>IF(H151&gt;WhaleThreshold,"WHALE","")</f>
        <v/>
      </c>
    </row>
    <row r="152">
      <c r="A152" t="inlineStr">
        <is>
          <t>Will USA win the 2026 FIFA World Cup?</t>
        </is>
      </c>
      <c r="B152" s="4" t="n">
        <v>46205</v>
      </c>
      <c r="C152" s="5" t="n">
        <v>46205.96622685185</v>
      </c>
      <c r="D152" t="inlineStr">
        <is>
          <t>BUY</t>
        </is>
      </c>
      <c r="E152" t="inlineStr">
        <is>
          <t>No</t>
        </is>
      </c>
      <c r="F152" s="2" t="n">
        <v>0.974</v>
      </c>
      <c r="G152" s="6" t="n">
        <v>54</v>
      </c>
      <c r="H152" s="6">
        <f>F152*G152</f>
        <v/>
      </c>
      <c r="I152">
        <f>_xlfn.XLOOKUP(A152,MktTitle,MktCat,"n/a")</f>
        <v/>
      </c>
      <c r="J152" s="3">
        <f>_xlfn.XLOOKUP(A152,MktTitle,MktTotVol,0)</f>
        <v/>
      </c>
      <c r="K152">
        <f>IF(H152&gt;WhaleThreshold,"WHALE","")</f>
        <v/>
      </c>
    </row>
    <row r="153">
      <c r="A153" t="inlineStr">
        <is>
          <t>Will USA win the 2026 FIFA World Cup?</t>
        </is>
      </c>
      <c r="B153" s="4" t="n">
        <v>46205</v>
      </c>
      <c r="C153" s="5" t="n">
        <v>46205.96606481481</v>
      </c>
      <c r="D153" t="inlineStr">
        <is>
          <t>SELL</t>
        </is>
      </c>
      <c r="E153" t="inlineStr">
        <is>
          <t>Yes</t>
        </is>
      </c>
      <c r="F153" s="2" t="n">
        <v>0.026</v>
      </c>
      <c r="G153" s="6" t="n">
        <v>14000</v>
      </c>
      <c r="H153" s="6">
        <f>F153*G153</f>
        <v/>
      </c>
      <c r="I153">
        <f>_xlfn.XLOOKUP(A153,MktTitle,MktCat,"n/a")</f>
        <v/>
      </c>
      <c r="J153" s="3">
        <f>_xlfn.XLOOKUP(A153,MktTitle,MktTotVol,0)</f>
        <v/>
      </c>
      <c r="K153">
        <f>IF(H153&gt;WhaleThreshold,"WHALE","")</f>
        <v/>
      </c>
    </row>
    <row r="154">
      <c r="A154" t="inlineStr">
        <is>
          <t>Will USA win the 2026 FIFA World Cup?</t>
        </is>
      </c>
      <c r="B154" s="4" t="n">
        <v>46205</v>
      </c>
      <c r="C154" s="5" t="n">
        <v>46205.96603009259</v>
      </c>
      <c r="D154" t="inlineStr">
        <is>
          <t>SELL</t>
        </is>
      </c>
      <c r="E154" t="inlineStr">
        <is>
          <t>No</t>
        </is>
      </c>
      <c r="F154" s="2" t="n">
        <v>0.973</v>
      </c>
      <c r="G154" s="6" t="n">
        <v>25.66</v>
      </c>
      <c r="H154" s="6">
        <f>F154*G154</f>
        <v/>
      </c>
      <c r="I154">
        <f>_xlfn.XLOOKUP(A154,MktTitle,MktCat,"n/a")</f>
        <v/>
      </c>
      <c r="J154" s="3">
        <f>_xlfn.XLOOKUP(A154,MktTitle,MktTotVol,0)</f>
        <v/>
      </c>
      <c r="K154">
        <f>IF(H154&gt;WhaleThreshold,"WHALE","")</f>
        <v/>
      </c>
    </row>
    <row r="155">
      <c r="A155" t="inlineStr">
        <is>
          <t>Will USA win the 2026 FIFA World Cup?</t>
        </is>
      </c>
      <c r="B155" s="4" t="n">
        <v>46205</v>
      </c>
      <c r="C155" s="5" t="n">
        <v>46205.96594907407</v>
      </c>
      <c r="D155" t="inlineStr">
        <is>
          <t>BUY</t>
        </is>
      </c>
      <c r="E155" t="inlineStr">
        <is>
          <t>No</t>
        </is>
      </c>
      <c r="F155" s="2" t="n">
        <v>0.974</v>
      </c>
      <c r="G155" s="6" t="n">
        <v>10</v>
      </c>
      <c r="H155" s="6">
        <f>F155*G155</f>
        <v/>
      </c>
      <c r="I155">
        <f>_xlfn.XLOOKUP(A155,MktTitle,MktCat,"n/a")</f>
        <v/>
      </c>
      <c r="J155" s="3">
        <f>_xlfn.XLOOKUP(A155,MktTitle,MktTotVol,0)</f>
        <v/>
      </c>
      <c r="K155">
        <f>IF(H155&gt;WhaleThreshold,"WHALE","")</f>
        <v/>
      </c>
    </row>
    <row r="156">
      <c r="A156" t="inlineStr">
        <is>
          <t>Will USA win the 2026 FIFA World Cup?</t>
        </is>
      </c>
      <c r="B156" s="4" t="n">
        <v>46205</v>
      </c>
      <c r="C156" s="5" t="n">
        <v>46205.96592592593</v>
      </c>
      <c r="D156" t="inlineStr">
        <is>
          <t>BUY</t>
        </is>
      </c>
      <c r="E156" t="inlineStr">
        <is>
          <t>No</t>
        </is>
      </c>
      <c r="F156" s="2" t="n">
        <v>0.974</v>
      </c>
      <c r="G156" s="6" t="n">
        <v>28</v>
      </c>
      <c r="H156" s="6">
        <f>F156*G156</f>
        <v/>
      </c>
      <c r="I156">
        <f>_xlfn.XLOOKUP(A156,MktTitle,MktCat,"n/a")</f>
        <v/>
      </c>
      <c r="J156" s="3">
        <f>_xlfn.XLOOKUP(A156,MktTitle,MktTotVol,0)</f>
        <v/>
      </c>
      <c r="K156">
        <f>IF(H156&gt;WhaleThreshold,"WHALE","")</f>
        <v/>
      </c>
    </row>
    <row r="157">
      <c r="A157" t="inlineStr">
        <is>
          <t>Will USA win the 2026 FIFA World Cup?</t>
        </is>
      </c>
      <c r="B157" s="4" t="n">
        <v>46205</v>
      </c>
      <c r="C157" s="5" t="n">
        <v>46205.96582175926</v>
      </c>
      <c r="D157" t="inlineStr">
        <is>
          <t>BUY</t>
        </is>
      </c>
      <c r="E157" t="inlineStr">
        <is>
          <t>No</t>
        </is>
      </c>
      <c r="F157" s="2" t="n">
        <v>0.974</v>
      </c>
      <c r="G157" s="6" t="n">
        <v>5</v>
      </c>
      <c r="H157" s="6">
        <f>F157*G157</f>
        <v/>
      </c>
      <c r="I157">
        <f>_xlfn.XLOOKUP(A157,MktTitle,MktCat,"n/a")</f>
        <v/>
      </c>
      <c r="J157" s="3">
        <f>_xlfn.XLOOKUP(A157,MktTitle,MktTotVol,0)</f>
        <v/>
      </c>
      <c r="K157">
        <f>IF(H157&gt;WhaleThreshold,"WHALE","")</f>
        <v/>
      </c>
    </row>
    <row r="158">
      <c r="A158" t="inlineStr">
        <is>
          <t>Will USA win the 2026 FIFA World Cup?</t>
        </is>
      </c>
      <c r="B158" s="4" t="n">
        <v>46205</v>
      </c>
      <c r="C158" s="5" t="n">
        <v>46205.96581018518</v>
      </c>
      <c r="D158" t="inlineStr">
        <is>
          <t>BUY</t>
        </is>
      </c>
      <c r="E158" t="inlineStr">
        <is>
          <t>No</t>
        </is>
      </c>
      <c r="F158" s="2" t="n">
        <v>0.974</v>
      </c>
      <c r="G158" s="6" t="n">
        <v>115</v>
      </c>
      <c r="H158" s="6">
        <f>F158*G158</f>
        <v/>
      </c>
      <c r="I158">
        <f>_xlfn.XLOOKUP(A158,MktTitle,MktCat,"n/a")</f>
        <v/>
      </c>
      <c r="J158" s="3">
        <f>_xlfn.XLOOKUP(A158,MktTitle,MktTotVol,0)</f>
        <v/>
      </c>
      <c r="K158">
        <f>IF(H158&gt;WhaleThreshold,"WHALE","")</f>
        <v/>
      </c>
    </row>
    <row r="159">
      <c r="A159" t="inlineStr">
        <is>
          <t>Will USA win the 2026 FIFA World Cup?</t>
        </is>
      </c>
      <c r="B159" s="4" t="n">
        <v>46205</v>
      </c>
      <c r="C159" s="5" t="n">
        <v>46205.96578703704</v>
      </c>
      <c r="D159" t="inlineStr">
        <is>
          <t>BUY</t>
        </is>
      </c>
      <c r="E159" t="inlineStr">
        <is>
          <t>No</t>
        </is>
      </c>
      <c r="F159" s="2" t="n">
        <v>0.974</v>
      </c>
      <c r="G159" s="6" t="n">
        <v>37.4</v>
      </c>
      <c r="H159" s="6">
        <f>F159*G159</f>
        <v/>
      </c>
      <c r="I159">
        <f>_xlfn.XLOOKUP(A159,MktTitle,MktCat,"n/a")</f>
        <v/>
      </c>
      <c r="J159" s="3">
        <f>_xlfn.XLOOKUP(A159,MktTitle,MktTotVol,0)</f>
        <v/>
      </c>
      <c r="K159">
        <f>IF(H159&gt;WhaleThreshold,"WHALE","")</f>
        <v/>
      </c>
    </row>
    <row r="160">
      <c r="A160" t="inlineStr">
        <is>
          <t>Will USA win the 2026 FIFA World Cup?</t>
        </is>
      </c>
      <c r="B160" s="4" t="n">
        <v>46205</v>
      </c>
      <c r="C160" s="5" t="n">
        <v>46205.96537037037</v>
      </c>
      <c r="D160" t="inlineStr">
        <is>
          <t>BUY</t>
        </is>
      </c>
      <c r="E160" t="inlineStr">
        <is>
          <t>No</t>
        </is>
      </c>
      <c r="F160" s="2" t="n">
        <v>0.974</v>
      </c>
      <c r="G160" s="6" t="n">
        <v>25.6673</v>
      </c>
      <c r="H160" s="6">
        <f>F160*G160</f>
        <v/>
      </c>
      <c r="I160">
        <f>_xlfn.XLOOKUP(A160,MktTitle,MktCat,"n/a")</f>
        <v/>
      </c>
      <c r="J160" s="3">
        <f>_xlfn.XLOOKUP(A160,MktTitle,MktTotVol,0)</f>
        <v/>
      </c>
      <c r="K160">
        <f>IF(H160&gt;WhaleThreshold,"WHALE","")</f>
        <v/>
      </c>
    </row>
    <row r="161">
      <c r="A161" t="inlineStr">
        <is>
          <t>Will USA win the 2026 FIFA World Cup?</t>
        </is>
      </c>
      <c r="B161" s="4" t="n">
        <v>46205</v>
      </c>
      <c r="C161" s="5" t="n">
        <v>46205.9641550926</v>
      </c>
      <c r="D161" t="inlineStr">
        <is>
          <t>BUY</t>
        </is>
      </c>
      <c r="E161" t="inlineStr">
        <is>
          <t>No</t>
        </is>
      </c>
      <c r="F161" s="2" t="n">
        <v>0.974</v>
      </c>
      <c r="G161" s="6" t="n">
        <v>15</v>
      </c>
      <c r="H161" s="6">
        <f>F161*G161</f>
        <v/>
      </c>
      <c r="I161">
        <f>_xlfn.XLOOKUP(A161,MktTitle,MktCat,"n/a")</f>
        <v/>
      </c>
      <c r="J161" s="3">
        <f>_xlfn.XLOOKUP(A161,MktTitle,MktTotVol,0)</f>
        <v/>
      </c>
      <c r="K161">
        <f>IF(H161&gt;WhaleThreshold,"WHALE","")</f>
        <v/>
      </c>
    </row>
    <row r="162">
      <c r="A162" t="inlineStr">
        <is>
          <t>Will USA win the 2026 FIFA World Cup?</t>
        </is>
      </c>
      <c r="B162" s="4" t="n">
        <v>46205</v>
      </c>
      <c r="C162" s="5" t="n">
        <v>46205.9641550926</v>
      </c>
      <c r="D162" t="inlineStr">
        <is>
          <t>BUY</t>
        </is>
      </c>
      <c r="E162" t="inlineStr">
        <is>
          <t>No</t>
        </is>
      </c>
      <c r="F162" s="2" t="n">
        <v>0.974</v>
      </c>
      <c r="G162" s="6" t="n">
        <v>39</v>
      </c>
      <c r="H162" s="6">
        <f>F162*G162</f>
        <v/>
      </c>
      <c r="I162">
        <f>_xlfn.XLOOKUP(A162,MktTitle,MktCat,"n/a")</f>
        <v/>
      </c>
      <c r="J162" s="3">
        <f>_xlfn.XLOOKUP(A162,MktTitle,MktTotVol,0)</f>
        <v/>
      </c>
      <c r="K162">
        <f>IF(H162&gt;WhaleThreshold,"WHALE","")</f>
        <v/>
      </c>
    </row>
    <row r="163">
      <c r="A163" t="inlineStr">
        <is>
          <t>Will USA win the 2026 FIFA World Cup?</t>
        </is>
      </c>
      <c r="B163" s="4" t="n">
        <v>46205</v>
      </c>
      <c r="C163" s="5" t="n">
        <v>46205.96412037037</v>
      </c>
      <c r="D163" t="inlineStr">
        <is>
          <t>BUY</t>
        </is>
      </c>
      <c r="E163" t="inlineStr">
        <is>
          <t>No</t>
        </is>
      </c>
      <c r="F163" s="2" t="n">
        <v>0.974</v>
      </c>
      <c r="G163" s="6" t="n">
        <v>116</v>
      </c>
      <c r="H163" s="6">
        <f>F163*G163</f>
        <v/>
      </c>
      <c r="I163">
        <f>_xlfn.XLOOKUP(A163,MktTitle,MktCat,"n/a")</f>
        <v/>
      </c>
      <c r="J163" s="3">
        <f>_xlfn.XLOOKUP(A163,MktTitle,MktTotVol,0)</f>
        <v/>
      </c>
      <c r="K163">
        <f>IF(H163&gt;WhaleThreshold,"WHALE","")</f>
        <v/>
      </c>
    </row>
    <row r="164">
      <c r="A164" t="inlineStr">
        <is>
          <t>Will USA win the 2026 FIFA World Cup?</t>
        </is>
      </c>
      <c r="B164" s="4" t="n">
        <v>46205</v>
      </c>
      <c r="C164" s="5" t="n">
        <v>46205.96412037037</v>
      </c>
      <c r="D164" t="inlineStr">
        <is>
          <t>BUY</t>
        </is>
      </c>
      <c r="E164" t="inlineStr">
        <is>
          <t>No</t>
        </is>
      </c>
      <c r="F164" s="2" t="n">
        <v>0.974</v>
      </c>
      <c r="G164" s="6" t="n">
        <v>62</v>
      </c>
      <c r="H164" s="6">
        <f>F164*G164</f>
        <v/>
      </c>
      <c r="I164">
        <f>_xlfn.XLOOKUP(A164,MktTitle,MktCat,"n/a")</f>
        <v/>
      </c>
      <c r="J164" s="3">
        <f>_xlfn.XLOOKUP(A164,MktTitle,MktTotVol,0)</f>
        <v/>
      </c>
      <c r="K164">
        <f>IF(H164&gt;WhaleThreshold,"WHALE","")</f>
        <v/>
      </c>
    </row>
    <row r="165">
      <c r="A165" t="inlineStr">
        <is>
          <t>Will USA win the 2026 FIFA World Cup?</t>
        </is>
      </c>
      <c r="B165" s="4" t="n">
        <v>46205</v>
      </c>
      <c r="C165" s="5" t="n">
        <v>46205.9641087963</v>
      </c>
      <c r="D165" t="inlineStr">
        <is>
          <t>BUY</t>
        </is>
      </c>
      <c r="E165" t="inlineStr">
        <is>
          <t>No</t>
        </is>
      </c>
      <c r="F165" s="2" t="n">
        <v>0.974</v>
      </c>
      <c r="G165" s="6" t="n">
        <v>110</v>
      </c>
      <c r="H165" s="6">
        <f>F165*G165</f>
        <v/>
      </c>
      <c r="I165">
        <f>_xlfn.XLOOKUP(A165,MktTitle,MktCat,"n/a")</f>
        <v/>
      </c>
      <c r="J165" s="3">
        <f>_xlfn.XLOOKUP(A165,MktTitle,MktTotVol,0)</f>
        <v/>
      </c>
      <c r="K165">
        <f>IF(H165&gt;WhaleThreshold,"WHALE","")</f>
        <v/>
      </c>
    </row>
    <row r="166">
      <c r="A166" t="inlineStr">
        <is>
          <t>Will USA win the 2026 FIFA World Cup?</t>
        </is>
      </c>
      <c r="B166" s="4" t="n">
        <v>46205</v>
      </c>
      <c r="C166" s="5" t="n">
        <v>46205.9641087963</v>
      </c>
      <c r="D166" t="inlineStr">
        <is>
          <t>BUY</t>
        </is>
      </c>
      <c r="E166" t="inlineStr">
        <is>
          <t>No</t>
        </is>
      </c>
      <c r="F166" s="2" t="n">
        <v>0.974</v>
      </c>
      <c r="G166" s="6" t="n">
        <v>10</v>
      </c>
      <c r="H166" s="6">
        <f>F166*G166</f>
        <v/>
      </c>
      <c r="I166">
        <f>_xlfn.XLOOKUP(A166,MktTitle,MktCat,"n/a")</f>
        <v/>
      </c>
      <c r="J166" s="3">
        <f>_xlfn.XLOOKUP(A166,MktTitle,MktTotVol,0)</f>
        <v/>
      </c>
      <c r="K166">
        <f>IF(H166&gt;WhaleThreshold,"WHALE","")</f>
        <v/>
      </c>
    </row>
    <row r="167">
      <c r="A167" t="inlineStr">
        <is>
          <t>Will USA win the 2026 FIFA World Cup?</t>
        </is>
      </c>
      <c r="B167" s="4" t="n">
        <v>46205</v>
      </c>
      <c r="C167" s="5" t="n">
        <v>46205.96408564815</v>
      </c>
      <c r="D167" t="inlineStr">
        <is>
          <t>BUY</t>
        </is>
      </c>
      <c r="E167" t="inlineStr">
        <is>
          <t>No</t>
        </is>
      </c>
      <c r="F167" s="2" t="n">
        <v>0.974</v>
      </c>
      <c r="G167" s="6" t="n">
        <v>110</v>
      </c>
      <c r="H167" s="6">
        <f>F167*G167</f>
        <v/>
      </c>
      <c r="I167">
        <f>_xlfn.XLOOKUP(A167,MktTitle,MktCat,"n/a")</f>
        <v/>
      </c>
      <c r="J167" s="3">
        <f>_xlfn.XLOOKUP(A167,MktTitle,MktTotVol,0)</f>
        <v/>
      </c>
      <c r="K167">
        <f>IF(H167&gt;WhaleThreshold,"WHALE","")</f>
        <v/>
      </c>
    </row>
    <row r="168">
      <c r="A168" t="inlineStr">
        <is>
          <t>Will USA win the 2026 FIFA World Cup?</t>
        </is>
      </c>
      <c r="B168" s="4" t="n">
        <v>46205</v>
      </c>
      <c r="C168" s="5" t="n">
        <v>46205.96408564815</v>
      </c>
      <c r="D168" t="inlineStr">
        <is>
          <t>BUY</t>
        </is>
      </c>
      <c r="E168" t="inlineStr">
        <is>
          <t>No</t>
        </is>
      </c>
      <c r="F168" s="2" t="n">
        <v>0.974</v>
      </c>
      <c r="G168" s="6" t="n">
        <v>51.1</v>
      </c>
      <c r="H168" s="6">
        <f>F168*G168</f>
        <v/>
      </c>
      <c r="I168">
        <f>_xlfn.XLOOKUP(A168,MktTitle,MktCat,"n/a")</f>
        <v/>
      </c>
      <c r="J168" s="3">
        <f>_xlfn.XLOOKUP(A168,MktTitle,MktTotVol,0)</f>
        <v/>
      </c>
      <c r="K168">
        <f>IF(H168&gt;WhaleThreshold,"WHALE","")</f>
        <v/>
      </c>
    </row>
    <row r="169">
      <c r="A169" t="inlineStr">
        <is>
          <t>Will USA win the 2026 FIFA World Cup?</t>
        </is>
      </c>
      <c r="B169" s="4" t="n">
        <v>46205</v>
      </c>
      <c r="C169" s="5" t="n">
        <v>46205.96408564815</v>
      </c>
      <c r="D169" t="inlineStr">
        <is>
          <t>BUY</t>
        </is>
      </c>
      <c r="E169" t="inlineStr">
        <is>
          <t>No</t>
        </is>
      </c>
      <c r="F169" s="2" t="n">
        <v>0.974</v>
      </c>
      <c r="G169" s="6" t="n">
        <v>25.5</v>
      </c>
      <c r="H169" s="6">
        <f>F169*G169</f>
        <v/>
      </c>
      <c r="I169">
        <f>_xlfn.XLOOKUP(A169,MktTitle,MktCat,"n/a")</f>
        <v/>
      </c>
      <c r="J169" s="3">
        <f>_xlfn.XLOOKUP(A169,MktTitle,MktTotVol,0)</f>
        <v/>
      </c>
      <c r="K169">
        <f>IF(H169&gt;WhaleThreshold,"WHALE","")</f>
        <v/>
      </c>
    </row>
    <row r="170">
      <c r="A170" t="inlineStr">
        <is>
          <t>Will USA win the 2026 FIFA World Cup?</t>
        </is>
      </c>
      <c r="B170" s="4" t="n">
        <v>46205</v>
      </c>
      <c r="C170" s="5" t="n">
        <v>46205.96407407407</v>
      </c>
      <c r="D170" t="inlineStr">
        <is>
          <t>BUY</t>
        </is>
      </c>
      <c r="E170" t="inlineStr">
        <is>
          <t>No</t>
        </is>
      </c>
      <c r="F170" s="2" t="n">
        <v>0.974</v>
      </c>
      <c r="G170" s="6" t="n">
        <v>110</v>
      </c>
      <c r="H170" s="6">
        <f>F170*G170</f>
        <v/>
      </c>
      <c r="I170">
        <f>_xlfn.XLOOKUP(A170,MktTitle,MktCat,"n/a")</f>
        <v/>
      </c>
      <c r="J170" s="3">
        <f>_xlfn.XLOOKUP(A170,MktTitle,MktTotVol,0)</f>
        <v/>
      </c>
      <c r="K170">
        <f>IF(H170&gt;WhaleThreshold,"WHALE","")</f>
        <v/>
      </c>
    </row>
    <row r="171">
      <c r="A171" t="inlineStr">
        <is>
          <t>Will USA win the 2026 FIFA World Cup?</t>
        </is>
      </c>
      <c r="B171" s="4" t="n">
        <v>46205</v>
      </c>
      <c r="C171" s="5" t="n">
        <v>46205.96407407407</v>
      </c>
      <c r="D171" t="inlineStr">
        <is>
          <t>BUY</t>
        </is>
      </c>
      <c r="E171" t="inlineStr">
        <is>
          <t>No</t>
        </is>
      </c>
      <c r="F171" s="2" t="n">
        <v>0.974</v>
      </c>
      <c r="G171" s="6" t="n">
        <v>5</v>
      </c>
      <c r="H171" s="6">
        <f>F171*G171</f>
        <v/>
      </c>
      <c r="I171">
        <f>_xlfn.XLOOKUP(A171,MktTitle,MktCat,"n/a")</f>
        <v/>
      </c>
      <c r="J171" s="3">
        <f>_xlfn.XLOOKUP(A171,MktTitle,MktTotVol,0)</f>
        <v/>
      </c>
      <c r="K171">
        <f>IF(H171&gt;WhaleThreshold,"WHALE","")</f>
        <v/>
      </c>
    </row>
    <row r="172">
      <c r="A172" t="inlineStr">
        <is>
          <t>Will USA win the 2026 FIFA World Cup?</t>
        </is>
      </c>
      <c r="B172" s="4" t="n">
        <v>46205</v>
      </c>
      <c r="C172" s="5" t="n">
        <v>46205.96407407407</v>
      </c>
      <c r="D172" t="inlineStr">
        <is>
          <t>BUY</t>
        </is>
      </c>
      <c r="E172" t="inlineStr">
        <is>
          <t>No</t>
        </is>
      </c>
      <c r="F172" s="2" t="n">
        <v>0.974</v>
      </c>
      <c r="G172" s="6" t="n">
        <v>73.59999999999999</v>
      </c>
      <c r="H172" s="6">
        <f>F172*G172</f>
        <v/>
      </c>
      <c r="I172">
        <f>_xlfn.XLOOKUP(A172,MktTitle,MktCat,"n/a")</f>
        <v/>
      </c>
      <c r="J172" s="3">
        <f>_xlfn.XLOOKUP(A172,MktTitle,MktTotVol,0)</f>
        <v/>
      </c>
      <c r="K172">
        <f>IF(H172&gt;WhaleThreshold,"WHALE","")</f>
        <v/>
      </c>
    </row>
    <row r="173">
      <c r="A173" t="inlineStr">
        <is>
          <t>Will USA win the 2026 FIFA World Cup?</t>
        </is>
      </c>
      <c r="B173" s="4" t="n">
        <v>46205</v>
      </c>
      <c r="C173" s="5" t="n">
        <v>46205.96403935185</v>
      </c>
      <c r="D173" t="inlineStr">
        <is>
          <t>BUY</t>
        </is>
      </c>
      <c r="E173" t="inlineStr">
        <is>
          <t>No</t>
        </is>
      </c>
      <c r="F173" s="2" t="n">
        <v>0.974</v>
      </c>
      <c r="G173" s="6" t="n">
        <v>115</v>
      </c>
      <c r="H173" s="6">
        <f>F173*G173</f>
        <v/>
      </c>
      <c r="I173">
        <f>_xlfn.XLOOKUP(A173,MktTitle,MktCat,"n/a")</f>
        <v/>
      </c>
      <c r="J173" s="3">
        <f>_xlfn.XLOOKUP(A173,MktTitle,MktTotVol,0)</f>
        <v/>
      </c>
      <c r="K173">
        <f>IF(H173&gt;WhaleThreshold,"WHALE","")</f>
        <v/>
      </c>
    </row>
    <row r="174">
      <c r="A174" t="inlineStr">
        <is>
          <t>Will USA win the 2026 FIFA World Cup?</t>
        </is>
      </c>
      <c r="B174" s="4" t="n">
        <v>46205</v>
      </c>
      <c r="C174" s="5" t="n">
        <v>46205.96383101852</v>
      </c>
      <c r="D174" t="inlineStr">
        <is>
          <t>BUY</t>
        </is>
      </c>
      <c r="E174" t="inlineStr">
        <is>
          <t>No</t>
        </is>
      </c>
      <c r="F174" s="2" t="n">
        <v>0.974</v>
      </c>
      <c r="G174" s="6" t="n">
        <v>19.7741</v>
      </c>
      <c r="H174" s="6">
        <f>F174*G174</f>
        <v/>
      </c>
      <c r="I174">
        <f>_xlfn.XLOOKUP(A174,MktTitle,MktCat,"n/a")</f>
        <v/>
      </c>
      <c r="J174" s="3">
        <f>_xlfn.XLOOKUP(A174,MktTitle,MktTotVol,0)</f>
        <v/>
      </c>
      <c r="K174">
        <f>IF(H174&gt;WhaleThreshold,"WHALE","")</f>
        <v/>
      </c>
    </row>
    <row r="175">
      <c r="A175" t="inlineStr">
        <is>
          <t>Will USA win the 2026 FIFA World Cup?</t>
        </is>
      </c>
      <c r="B175" s="4" t="n">
        <v>46205</v>
      </c>
      <c r="C175" s="5" t="n">
        <v>46205.96325231482</v>
      </c>
      <c r="D175" t="inlineStr">
        <is>
          <t>BUY</t>
        </is>
      </c>
      <c r="E175" t="inlineStr">
        <is>
          <t>No</t>
        </is>
      </c>
      <c r="F175" s="2" t="n">
        <v>0.974</v>
      </c>
      <c r="G175" s="6" t="n">
        <v>20</v>
      </c>
      <c r="H175" s="6">
        <f>F175*G175</f>
        <v/>
      </c>
      <c r="I175">
        <f>_xlfn.XLOOKUP(A175,MktTitle,MktCat,"n/a")</f>
        <v/>
      </c>
      <c r="J175" s="3">
        <f>_xlfn.XLOOKUP(A175,MktTitle,MktTotVol,0)</f>
        <v/>
      </c>
      <c r="K175">
        <f>IF(H175&gt;WhaleThreshold,"WHALE","")</f>
        <v/>
      </c>
    </row>
    <row r="176">
      <c r="A176" t="inlineStr">
        <is>
          <t>Will USA win the 2026 FIFA World Cup?</t>
        </is>
      </c>
      <c r="B176" s="4" t="n">
        <v>46205</v>
      </c>
      <c r="C176" s="5" t="n">
        <v>46205.96324074074</v>
      </c>
      <c r="D176" t="inlineStr">
        <is>
          <t>BUY</t>
        </is>
      </c>
      <c r="E176" t="inlineStr">
        <is>
          <t>No</t>
        </is>
      </c>
      <c r="F176" s="2" t="n">
        <v>0.974</v>
      </c>
      <c r="G176" s="6" t="n">
        <v>16</v>
      </c>
      <c r="H176" s="6">
        <f>F176*G176</f>
        <v/>
      </c>
      <c r="I176">
        <f>_xlfn.XLOOKUP(A176,MktTitle,MktCat,"n/a")</f>
        <v/>
      </c>
      <c r="J176" s="3">
        <f>_xlfn.XLOOKUP(A176,MktTitle,MktTotVol,0)</f>
        <v/>
      </c>
      <c r="K176">
        <f>IF(H176&gt;WhaleThreshold,"WHALE","")</f>
        <v/>
      </c>
    </row>
    <row r="177">
      <c r="A177" t="inlineStr">
        <is>
          <t>Will USA win the 2026 FIFA World Cup?</t>
        </is>
      </c>
      <c r="B177" s="4" t="n">
        <v>46205</v>
      </c>
      <c r="C177" s="5" t="n">
        <v>46205.96324074074</v>
      </c>
      <c r="D177" t="inlineStr">
        <is>
          <t>SELL</t>
        </is>
      </c>
      <c r="E177" t="inlineStr">
        <is>
          <t>No</t>
        </is>
      </c>
      <c r="F177" s="2" t="n">
        <v>0.973</v>
      </c>
      <c r="G177" s="6" t="n">
        <v>26.7</v>
      </c>
      <c r="H177" s="6">
        <f>F177*G177</f>
        <v/>
      </c>
      <c r="I177">
        <f>_xlfn.XLOOKUP(A177,MktTitle,MktCat,"n/a")</f>
        <v/>
      </c>
      <c r="J177" s="3">
        <f>_xlfn.XLOOKUP(A177,MktTitle,MktTotVol,0)</f>
        <v/>
      </c>
      <c r="K177">
        <f>IF(H177&gt;WhaleThreshold,"WHALE","")</f>
        <v/>
      </c>
    </row>
    <row r="178">
      <c r="A178" t="inlineStr">
        <is>
          <t>Will USA win the 2026 FIFA World Cup?</t>
        </is>
      </c>
      <c r="B178" s="4" t="n">
        <v>46205</v>
      </c>
      <c r="C178" s="5" t="n">
        <v>46205.96321759259</v>
      </c>
      <c r="D178" t="inlineStr">
        <is>
          <t>BUY</t>
        </is>
      </c>
      <c r="E178" t="inlineStr">
        <is>
          <t>No</t>
        </is>
      </c>
      <c r="F178" s="2" t="n">
        <v>0.974</v>
      </c>
      <c r="G178" s="6" t="n">
        <v>2.1</v>
      </c>
      <c r="H178" s="6">
        <f>F178*G178</f>
        <v/>
      </c>
      <c r="I178">
        <f>_xlfn.XLOOKUP(A178,MktTitle,MktCat,"n/a")</f>
        <v/>
      </c>
      <c r="J178" s="3">
        <f>_xlfn.XLOOKUP(A178,MktTitle,MktTotVol,0)</f>
        <v/>
      </c>
      <c r="K178">
        <f>IF(H178&gt;WhaleThreshold,"WHALE","")</f>
        <v/>
      </c>
    </row>
    <row r="179">
      <c r="A179" t="inlineStr">
        <is>
          <t>Will USA win the 2026 FIFA World Cup?</t>
        </is>
      </c>
      <c r="B179" s="4" t="n">
        <v>46205</v>
      </c>
      <c r="C179" s="5" t="n">
        <v>46205.96300925926</v>
      </c>
      <c r="D179" t="inlineStr">
        <is>
          <t>BUY</t>
        </is>
      </c>
      <c r="E179" t="inlineStr">
        <is>
          <t>No</t>
        </is>
      </c>
      <c r="F179" s="2" t="n">
        <v>0.974</v>
      </c>
      <c r="G179" s="6" t="n">
        <v>10</v>
      </c>
      <c r="H179" s="6">
        <f>F179*G179</f>
        <v/>
      </c>
      <c r="I179">
        <f>_xlfn.XLOOKUP(A179,MktTitle,MktCat,"n/a")</f>
        <v/>
      </c>
      <c r="J179" s="3">
        <f>_xlfn.XLOOKUP(A179,MktTitle,MktTotVol,0)</f>
        <v/>
      </c>
      <c r="K179">
        <f>IF(H179&gt;WhaleThreshold,"WHALE","")</f>
        <v/>
      </c>
    </row>
    <row r="180">
      <c r="A180" t="inlineStr">
        <is>
          <t>Will USA win the 2026 FIFA World Cup?</t>
        </is>
      </c>
      <c r="B180" s="4" t="n">
        <v>46205</v>
      </c>
      <c r="C180" s="5" t="n">
        <v>46205.96293981482</v>
      </c>
      <c r="D180" t="inlineStr">
        <is>
          <t>BUY</t>
        </is>
      </c>
      <c r="E180" t="inlineStr">
        <is>
          <t>No</t>
        </is>
      </c>
      <c r="F180" s="2" t="n">
        <v>0.974</v>
      </c>
      <c r="G180" s="6" t="n">
        <v>26.694</v>
      </c>
      <c r="H180" s="6">
        <f>F180*G180</f>
        <v/>
      </c>
      <c r="I180">
        <f>_xlfn.XLOOKUP(A180,MktTitle,MktCat,"n/a")</f>
        <v/>
      </c>
      <c r="J180" s="3">
        <f>_xlfn.XLOOKUP(A180,MktTitle,MktTotVol,0)</f>
        <v/>
      </c>
      <c r="K180">
        <f>IF(H180&gt;WhaleThreshold,"WHALE","")</f>
        <v/>
      </c>
    </row>
    <row r="181">
      <c r="A181" t="inlineStr">
        <is>
          <t>Will USA win the 2026 FIFA World Cup?</t>
        </is>
      </c>
      <c r="B181" s="4" t="n">
        <v>46205</v>
      </c>
      <c r="C181" s="5" t="n">
        <v>46205.96283564815</v>
      </c>
      <c r="D181" t="inlineStr">
        <is>
          <t>SELL</t>
        </is>
      </c>
      <c r="E181" t="inlineStr">
        <is>
          <t>Yes</t>
        </is>
      </c>
      <c r="F181" s="2" t="n">
        <v>0.026</v>
      </c>
      <c r="G181" s="6" t="n">
        <v>10000</v>
      </c>
      <c r="H181" s="6">
        <f>F181*G181</f>
        <v/>
      </c>
      <c r="I181">
        <f>_xlfn.XLOOKUP(A181,MktTitle,MktCat,"n/a")</f>
        <v/>
      </c>
      <c r="J181" s="3">
        <f>_xlfn.XLOOKUP(A181,MktTitle,MktTotVol,0)</f>
        <v/>
      </c>
      <c r="K181">
        <f>IF(H181&gt;WhaleThreshold,"WHALE","")</f>
        <v/>
      </c>
    </row>
    <row r="182">
      <c r="A182" t="inlineStr">
        <is>
          <t>Will USA win the 2026 FIFA World Cup?</t>
        </is>
      </c>
      <c r="B182" s="4" t="n">
        <v>46205</v>
      </c>
      <c r="C182" s="5" t="n">
        <v>46205.96275462963</v>
      </c>
      <c r="D182" t="inlineStr">
        <is>
          <t>BUY</t>
        </is>
      </c>
      <c r="E182" t="inlineStr">
        <is>
          <t>No</t>
        </is>
      </c>
      <c r="F182" s="2" t="n">
        <v>0.974</v>
      </c>
      <c r="G182" s="6" t="n">
        <v>50</v>
      </c>
      <c r="H182" s="6">
        <f>F182*G182</f>
        <v/>
      </c>
      <c r="I182">
        <f>_xlfn.XLOOKUP(A182,MktTitle,MktCat,"n/a")</f>
        <v/>
      </c>
      <c r="J182" s="3">
        <f>_xlfn.XLOOKUP(A182,MktTitle,MktTotVol,0)</f>
        <v/>
      </c>
      <c r="K182">
        <f>IF(H182&gt;WhaleThreshold,"WHALE","")</f>
        <v/>
      </c>
    </row>
    <row r="183">
      <c r="A183" t="inlineStr">
        <is>
          <t>Will USA win the 2026 FIFA World Cup?</t>
        </is>
      </c>
      <c r="B183" s="4" t="n">
        <v>46205</v>
      </c>
      <c r="C183" s="5" t="n">
        <v>46205.96266203704</v>
      </c>
      <c r="D183" t="inlineStr">
        <is>
          <t>BUY</t>
        </is>
      </c>
      <c r="E183" t="inlineStr">
        <is>
          <t>No</t>
        </is>
      </c>
      <c r="F183" s="2" t="n">
        <v>0.974</v>
      </c>
      <c r="G183" s="6" t="n">
        <v>38.3</v>
      </c>
      <c r="H183" s="6">
        <f>F183*G183</f>
        <v/>
      </c>
      <c r="I183">
        <f>_xlfn.XLOOKUP(A183,MktTitle,MktCat,"n/a")</f>
        <v/>
      </c>
      <c r="J183" s="3">
        <f>_xlfn.XLOOKUP(A183,MktTitle,MktTotVol,0)</f>
        <v/>
      </c>
      <c r="K183">
        <f>IF(H183&gt;WhaleThreshold,"WHALE","")</f>
        <v/>
      </c>
    </row>
    <row r="184">
      <c r="A184" t="inlineStr">
        <is>
          <t>Will USA win the 2026 FIFA World Cup?</t>
        </is>
      </c>
      <c r="B184" s="4" t="n">
        <v>46205</v>
      </c>
      <c r="C184" s="5" t="n">
        <v>46205.96266203704</v>
      </c>
      <c r="D184" t="inlineStr">
        <is>
          <t>BUY</t>
        </is>
      </c>
      <c r="E184" t="inlineStr">
        <is>
          <t>No</t>
        </is>
      </c>
      <c r="F184" s="2" t="n">
        <v>0.974</v>
      </c>
      <c r="G184" s="6" t="n">
        <v>115</v>
      </c>
      <c r="H184" s="6">
        <f>F184*G184</f>
        <v/>
      </c>
      <c r="I184">
        <f>_xlfn.XLOOKUP(A184,MktTitle,MktCat,"n/a")</f>
        <v/>
      </c>
      <c r="J184" s="3">
        <f>_xlfn.XLOOKUP(A184,MktTitle,MktTotVol,0)</f>
        <v/>
      </c>
      <c r="K184">
        <f>IF(H184&gt;WhaleThreshold,"WHALE","")</f>
        <v/>
      </c>
    </row>
    <row r="185">
      <c r="A185" t="inlineStr">
        <is>
          <t>Will USA win the 2026 FIFA World Cup?</t>
        </is>
      </c>
      <c r="B185" s="4" t="n">
        <v>46205</v>
      </c>
      <c r="C185" s="5" t="n">
        <v>46205.96266203704</v>
      </c>
      <c r="D185" t="inlineStr">
        <is>
          <t>BUY</t>
        </is>
      </c>
      <c r="E185" t="inlineStr">
        <is>
          <t>No</t>
        </is>
      </c>
      <c r="F185" s="2" t="n">
        <v>0.974</v>
      </c>
      <c r="G185" s="6" t="n">
        <v>10</v>
      </c>
      <c r="H185" s="6">
        <f>F185*G185</f>
        <v/>
      </c>
      <c r="I185">
        <f>_xlfn.XLOOKUP(A185,MktTitle,MktCat,"n/a")</f>
        <v/>
      </c>
      <c r="J185" s="3">
        <f>_xlfn.XLOOKUP(A185,MktTitle,MktTotVol,0)</f>
        <v/>
      </c>
      <c r="K185">
        <f>IF(H185&gt;WhaleThreshold,"WHALE","")</f>
        <v/>
      </c>
    </row>
    <row r="186">
      <c r="A186" t="inlineStr">
        <is>
          <t>Will USA win the 2026 FIFA World Cup?</t>
        </is>
      </c>
      <c r="B186" s="4" t="n">
        <v>46205</v>
      </c>
      <c r="C186" s="5" t="n">
        <v>46205.96265046296</v>
      </c>
      <c r="D186" t="inlineStr">
        <is>
          <t>BUY</t>
        </is>
      </c>
      <c r="E186" t="inlineStr">
        <is>
          <t>No</t>
        </is>
      </c>
      <c r="F186" s="2" t="n">
        <v>0.974</v>
      </c>
      <c r="G186" s="6" t="n">
        <v>73.59999999999999</v>
      </c>
      <c r="H186" s="6">
        <f>F186*G186</f>
        <v/>
      </c>
      <c r="I186">
        <f>_xlfn.XLOOKUP(A186,MktTitle,MktCat,"n/a")</f>
        <v/>
      </c>
      <c r="J186" s="3">
        <f>_xlfn.XLOOKUP(A186,MktTitle,MktTotVol,0)</f>
        <v/>
      </c>
      <c r="K186">
        <f>IF(H186&gt;WhaleThreshold,"WHALE","")</f>
        <v/>
      </c>
    </row>
    <row r="187">
      <c r="A187" t="inlineStr">
        <is>
          <t>Will USA win the 2026 FIFA World Cup?</t>
        </is>
      </c>
      <c r="B187" s="4" t="n">
        <v>46205</v>
      </c>
      <c r="C187" s="5" t="n">
        <v>46205.96265046296</v>
      </c>
      <c r="D187" t="inlineStr">
        <is>
          <t>BUY</t>
        </is>
      </c>
      <c r="E187" t="inlineStr">
        <is>
          <t>No</t>
        </is>
      </c>
      <c r="F187" s="2" t="n">
        <v>0.974</v>
      </c>
      <c r="G187" s="6" t="n">
        <v>50</v>
      </c>
      <c r="H187" s="6">
        <f>F187*G187</f>
        <v/>
      </c>
      <c r="I187">
        <f>_xlfn.XLOOKUP(A187,MktTitle,MktCat,"n/a")</f>
        <v/>
      </c>
      <c r="J187" s="3">
        <f>_xlfn.XLOOKUP(A187,MktTitle,MktTotVol,0)</f>
        <v/>
      </c>
      <c r="K187">
        <f>IF(H187&gt;WhaleThreshold,"WHALE","")</f>
        <v/>
      </c>
    </row>
    <row r="188">
      <c r="A188" t="inlineStr">
        <is>
          <t>Will USA win the 2026 FIFA World Cup?</t>
        </is>
      </c>
      <c r="B188" s="4" t="n">
        <v>46205</v>
      </c>
      <c r="C188" s="5" t="n">
        <v>46205.96258101852</v>
      </c>
      <c r="D188" t="inlineStr">
        <is>
          <t>BUY</t>
        </is>
      </c>
      <c r="E188" t="inlineStr">
        <is>
          <t>No</t>
        </is>
      </c>
      <c r="F188" s="2" t="n">
        <v>0.974</v>
      </c>
      <c r="G188" s="6" t="n">
        <v>26.1</v>
      </c>
      <c r="H188" s="6">
        <f>F188*G188</f>
        <v/>
      </c>
      <c r="I188">
        <f>_xlfn.XLOOKUP(A188,MktTitle,MktCat,"n/a")</f>
        <v/>
      </c>
      <c r="J188" s="3">
        <f>_xlfn.XLOOKUP(A188,MktTitle,MktTotVol,0)</f>
        <v/>
      </c>
      <c r="K188">
        <f>IF(H188&gt;WhaleThreshold,"WHALE","")</f>
        <v/>
      </c>
    </row>
    <row r="189">
      <c r="A189" t="inlineStr">
        <is>
          <t>Will USA win the 2026 FIFA World Cup?</t>
        </is>
      </c>
      <c r="B189" s="4" t="n">
        <v>46205</v>
      </c>
      <c r="C189" s="5" t="n">
        <v>46205.96255787037</v>
      </c>
      <c r="D189" t="inlineStr">
        <is>
          <t>BUY</t>
        </is>
      </c>
      <c r="E189" t="inlineStr">
        <is>
          <t>No</t>
        </is>
      </c>
      <c r="F189" s="2" t="n">
        <v>0.974</v>
      </c>
      <c r="G189" s="6" t="n">
        <v>20</v>
      </c>
      <c r="H189" s="6">
        <f>F189*G189</f>
        <v/>
      </c>
      <c r="I189">
        <f>_xlfn.XLOOKUP(A189,MktTitle,MktCat,"n/a")</f>
        <v/>
      </c>
      <c r="J189" s="3">
        <f>_xlfn.XLOOKUP(A189,MktTitle,MktTotVol,0)</f>
        <v/>
      </c>
      <c r="K189">
        <f>IF(H189&gt;WhaleThreshold,"WHALE","")</f>
        <v/>
      </c>
    </row>
    <row r="190">
      <c r="A190" t="inlineStr">
        <is>
          <t>Will USA win the 2026 FIFA World Cup?</t>
        </is>
      </c>
      <c r="B190" s="4" t="n">
        <v>46205</v>
      </c>
      <c r="C190" s="5" t="n">
        <v>46205.96254629629</v>
      </c>
      <c r="D190" t="inlineStr">
        <is>
          <t>BUY</t>
        </is>
      </c>
      <c r="E190" t="inlineStr">
        <is>
          <t>No</t>
        </is>
      </c>
      <c r="F190" s="2" t="n">
        <v>0.974</v>
      </c>
      <c r="G190" s="6" t="n">
        <v>10</v>
      </c>
      <c r="H190" s="6">
        <f>F190*G190</f>
        <v/>
      </c>
      <c r="I190">
        <f>_xlfn.XLOOKUP(A190,MktTitle,MktCat,"n/a")</f>
        <v/>
      </c>
      <c r="J190" s="3">
        <f>_xlfn.XLOOKUP(A190,MktTitle,MktTotVol,0)</f>
        <v/>
      </c>
      <c r="K190">
        <f>IF(H190&gt;WhaleThreshold,"WHALE","")</f>
        <v/>
      </c>
    </row>
    <row r="191">
      <c r="A191" t="inlineStr">
        <is>
          <t>Will USA win the 2026 FIFA World Cup?</t>
        </is>
      </c>
      <c r="B191" s="4" t="n">
        <v>46205</v>
      </c>
      <c r="C191" s="5" t="n">
        <v>46205.96248842592</v>
      </c>
      <c r="D191" t="inlineStr">
        <is>
          <t>SELL</t>
        </is>
      </c>
      <c r="E191" t="inlineStr">
        <is>
          <t>No</t>
        </is>
      </c>
      <c r="F191" s="2" t="n">
        <v>0.973</v>
      </c>
      <c r="G191" s="6" t="n">
        <v>27.53</v>
      </c>
      <c r="H191" s="6">
        <f>F191*G191</f>
        <v/>
      </c>
      <c r="I191">
        <f>_xlfn.XLOOKUP(A191,MktTitle,MktCat,"n/a")</f>
        <v/>
      </c>
      <c r="J191" s="3">
        <f>_xlfn.XLOOKUP(A191,MktTitle,MktTotVol,0)</f>
        <v/>
      </c>
      <c r="K191">
        <f>IF(H191&gt;WhaleThreshold,"WHALE","")</f>
        <v/>
      </c>
    </row>
    <row r="192">
      <c r="A192" t="inlineStr">
        <is>
          <t>Will USA win the 2026 FIFA World Cup?</t>
        </is>
      </c>
      <c r="B192" s="4" t="n">
        <v>46205</v>
      </c>
      <c r="C192" s="5" t="n">
        <v>46205.96228009259</v>
      </c>
      <c r="D192" t="inlineStr">
        <is>
          <t>BUY</t>
        </is>
      </c>
      <c r="E192" t="inlineStr">
        <is>
          <t>No</t>
        </is>
      </c>
      <c r="F192" s="2" t="n">
        <v>0.974</v>
      </c>
      <c r="G192" s="6" t="n">
        <v>27.5359</v>
      </c>
      <c r="H192" s="6">
        <f>F192*G192</f>
        <v/>
      </c>
      <c r="I192">
        <f>_xlfn.XLOOKUP(A192,MktTitle,MktCat,"n/a")</f>
        <v/>
      </c>
      <c r="J192" s="3">
        <f>_xlfn.XLOOKUP(A192,MktTitle,MktTotVol,0)</f>
        <v/>
      </c>
      <c r="K192">
        <f>IF(H192&gt;WhaleThreshold,"WHALE","")</f>
        <v/>
      </c>
    </row>
    <row r="193">
      <c r="A193" t="inlineStr">
        <is>
          <t>Will USA win the 2026 FIFA World Cup?</t>
        </is>
      </c>
      <c r="B193" s="4" t="n">
        <v>46205</v>
      </c>
      <c r="C193" s="5" t="n">
        <v>46205.96200231482</v>
      </c>
      <c r="D193" t="inlineStr">
        <is>
          <t>SELL</t>
        </is>
      </c>
      <c r="E193" t="inlineStr">
        <is>
          <t>No</t>
        </is>
      </c>
      <c r="F193" s="2" t="n">
        <v>0.973</v>
      </c>
      <c r="G193" s="6" t="n">
        <v>27.72</v>
      </c>
      <c r="H193" s="6">
        <f>F193*G193</f>
        <v/>
      </c>
      <c r="I193">
        <f>_xlfn.XLOOKUP(A193,MktTitle,MktCat,"n/a")</f>
        <v/>
      </c>
      <c r="J193" s="3">
        <f>_xlfn.XLOOKUP(A193,MktTitle,MktTotVol,0)</f>
        <v/>
      </c>
      <c r="K193">
        <f>IF(H193&gt;WhaleThreshold,"WHALE","")</f>
        <v/>
      </c>
    </row>
    <row r="194">
      <c r="A194" t="inlineStr">
        <is>
          <t>Will USA win the 2026 FIFA World Cup?</t>
        </is>
      </c>
      <c r="B194" s="4" t="n">
        <v>46205</v>
      </c>
      <c r="C194" s="5" t="n">
        <v>46205.96200231482</v>
      </c>
      <c r="D194" t="inlineStr">
        <is>
          <t>BUY</t>
        </is>
      </c>
      <c r="E194" t="inlineStr">
        <is>
          <t>No</t>
        </is>
      </c>
      <c r="F194" s="2" t="n">
        <v>0.974</v>
      </c>
      <c r="G194" s="6" t="n">
        <v>10</v>
      </c>
      <c r="H194" s="6">
        <f>F194*G194</f>
        <v/>
      </c>
      <c r="I194">
        <f>_xlfn.XLOOKUP(A194,MktTitle,MktCat,"n/a")</f>
        <v/>
      </c>
      <c r="J194" s="3">
        <f>_xlfn.XLOOKUP(A194,MktTitle,MktTotVol,0)</f>
        <v/>
      </c>
      <c r="K194">
        <f>IF(H194&gt;WhaleThreshold,"WHALE","")</f>
        <v/>
      </c>
    </row>
    <row r="195">
      <c r="A195" t="inlineStr">
        <is>
          <t>Will USA win the 2026 FIFA World Cup?</t>
        </is>
      </c>
      <c r="B195" s="4" t="n">
        <v>46205</v>
      </c>
      <c r="C195" s="5" t="n">
        <v>46205.96199074074</v>
      </c>
      <c r="D195" t="inlineStr">
        <is>
          <t>BUY</t>
        </is>
      </c>
      <c r="E195" t="inlineStr">
        <is>
          <t>No</t>
        </is>
      </c>
      <c r="F195" s="2" t="n">
        <v>0.974</v>
      </c>
      <c r="G195" s="6" t="n">
        <v>10</v>
      </c>
      <c r="H195" s="6">
        <f>F195*G195</f>
        <v/>
      </c>
      <c r="I195">
        <f>_xlfn.XLOOKUP(A195,MktTitle,MktCat,"n/a")</f>
        <v/>
      </c>
      <c r="J195" s="3">
        <f>_xlfn.XLOOKUP(A195,MktTitle,MktTotVol,0)</f>
        <v/>
      </c>
      <c r="K195">
        <f>IF(H195&gt;WhaleThreshold,"WHALE","")</f>
        <v/>
      </c>
    </row>
    <row r="196">
      <c r="A196" t="inlineStr">
        <is>
          <t>Will USA win the 2026 FIFA World Cup?</t>
        </is>
      </c>
      <c r="B196" s="4" t="n">
        <v>46205</v>
      </c>
      <c r="C196" s="5" t="n">
        <v>46205.96195601852</v>
      </c>
      <c r="D196" t="inlineStr">
        <is>
          <t>BUY</t>
        </is>
      </c>
      <c r="E196" t="inlineStr">
        <is>
          <t>No</t>
        </is>
      </c>
      <c r="F196" s="2" t="n">
        <v>0.974</v>
      </c>
      <c r="G196" s="6" t="n">
        <v>10</v>
      </c>
      <c r="H196" s="6">
        <f>F196*G196</f>
        <v/>
      </c>
      <c r="I196">
        <f>_xlfn.XLOOKUP(A196,MktTitle,MktCat,"n/a")</f>
        <v/>
      </c>
      <c r="J196" s="3">
        <f>_xlfn.XLOOKUP(A196,MktTitle,MktTotVol,0)</f>
        <v/>
      </c>
      <c r="K196">
        <f>IF(H196&gt;WhaleThreshold,"WHALE","")</f>
        <v/>
      </c>
    </row>
    <row r="197">
      <c r="A197" t="inlineStr">
        <is>
          <t>Will USA win the 2026 FIFA World Cup?</t>
        </is>
      </c>
      <c r="B197" s="4" t="n">
        <v>46205</v>
      </c>
      <c r="C197" s="5" t="n">
        <v>46205.96193287037</v>
      </c>
      <c r="D197" t="inlineStr">
        <is>
          <t>BUY</t>
        </is>
      </c>
      <c r="E197" t="inlineStr">
        <is>
          <t>No</t>
        </is>
      </c>
      <c r="F197" s="2" t="n">
        <v>0.974</v>
      </c>
      <c r="G197" s="6" t="n">
        <v>10</v>
      </c>
      <c r="H197" s="6">
        <f>F197*G197</f>
        <v/>
      </c>
      <c r="I197">
        <f>_xlfn.XLOOKUP(A197,MktTitle,MktCat,"n/a")</f>
        <v/>
      </c>
      <c r="J197" s="3">
        <f>_xlfn.XLOOKUP(A197,MktTitle,MktTotVol,0)</f>
        <v/>
      </c>
      <c r="K197">
        <f>IF(H197&gt;WhaleThreshold,"WHALE","")</f>
        <v/>
      </c>
    </row>
    <row r="198">
      <c r="A198" t="inlineStr">
        <is>
          <t>Will USA win the 2026 FIFA World Cup?</t>
        </is>
      </c>
      <c r="B198" s="4" t="n">
        <v>46205</v>
      </c>
      <c r="C198" s="5" t="n">
        <v>46205.96189814815</v>
      </c>
      <c r="D198" t="inlineStr">
        <is>
          <t>BUY</t>
        </is>
      </c>
      <c r="E198" t="inlineStr">
        <is>
          <t>No</t>
        </is>
      </c>
      <c r="F198" s="2" t="n">
        <v>0.974</v>
      </c>
      <c r="G198" s="6" t="n">
        <v>10</v>
      </c>
      <c r="H198" s="6">
        <f>F198*G198</f>
        <v/>
      </c>
      <c r="I198">
        <f>_xlfn.XLOOKUP(A198,MktTitle,MktCat,"n/a")</f>
        <v/>
      </c>
      <c r="J198" s="3">
        <f>_xlfn.XLOOKUP(A198,MktTitle,MktTotVol,0)</f>
        <v/>
      </c>
      <c r="K198">
        <f>IF(H198&gt;WhaleThreshold,"WHALE","")</f>
        <v/>
      </c>
    </row>
    <row r="199">
      <c r="A199" t="inlineStr">
        <is>
          <t>Will USA win the 2026 FIFA World Cup?</t>
        </is>
      </c>
      <c r="B199" s="4" t="n">
        <v>46205</v>
      </c>
      <c r="C199" s="5" t="n">
        <v>46205.96188657408</v>
      </c>
      <c r="D199" t="inlineStr">
        <is>
          <t>BUY</t>
        </is>
      </c>
      <c r="E199" t="inlineStr">
        <is>
          <t>No</t>
        </is>
      </c>
      <c r="F199" s="2" t="n">
        <v>0.974</v>
      </c>
      <c r="G199" s="6" t="n">
        <v>10</v>
      </c>
      <c r="H199" s="6">
        <f>F199*G199</f>
        <v/>
      </c>
      <c r="I199">
        <f>_xlfn.XLOOKUP(A199,MktTitle,MktCat,"n/a")</f>
        <v/>
      </c>
      <c r="J199" s="3">
        <f>_xlfn.XLOOKUP(A199,MktTitle,MktTotVol,0)</f>
        <v/>
      </c>
      <c r="K199">
        <f>IF(H199&gt;WhaleThreshold,"WHALE","")</f>
        <v/>
      </c>
    </row>
    <row r="200">
      <c r="A200" t="inlineStr">
        <is>
          <t>Will USA win the 2026 FIFA World Cup?</t>
        </is>
      </c>
      <c r="B200" s="4" t="n">
        <v>46205</v>
      </c>
      <c r="C200" s="5" t="n">
        <v>46205.96185185185</v>
      </c>
      <c r="D200" t="inlineStr">
        <is>
          <t>BUY</t>
        </is>
      </c>
      <c r="E200" t="inlineStr">
        <is>
          <t>No</t>
        </is>
      </c>
      <c r="F200" s="2" t="n">
        <v>0.974</v>
      </c>
      <c r="G200" s="6" t="n">
        <v>10</v>
      </c>
      <c r="H200" s="6">
        <f>F200*G200</f>
        <v/>
      </c>
      <c r="I200">
        <f>_xlfn.XLOOKUP(A200,MktTitle,MktCat,"n/a")</f>
        <v/>
      </c>
      <c r="J200" s="3">
        <f>_xlfn.XLOOKUP(A200,MktTitle,MktTotVol,0)</f>
        <v/>
      </c>
      <c r="K200">
        <f>IF(H200&gt;WhaleThreshold,"WHALE","")</f>
        <v/>
      </c>
    </row>
    <row r="201">
      <c r="A201" t="inlineStr">
        <is>
          <t>Will USA win the 2026 FIFA World Cup?</t>
        </is>
      </c>
      <c r="B201" s="4" t="n">
        <v>46205</v>
      </c>
      <c r="C201" s="5" t="n">
        <v>46205.96185185185</v>
      </c>
      <c r="D201" t="inlineStr">
        <is>
          <t>BUY</t>
        </is>
      </c>
      <c r="E201" t="inlineStr">
        <is>
          <t>No</t>
        </is>
      </c>
      <c r="F201" s="2" t="n">
        <v>0.974</v>
      </c>
      <c r="G201" s="6" t="n">
        <v>10</v>
      </c>
      <c r="H201" s="6">
        <f>F201*G201</f>
        <v/>
      </c>
      <c r="I201">
        <f>_xlfn.XLOOKUP(A201,MktTitle,MktCat,"n/a")</f>
        <v/>
      </c>
      <c r="J201" s="3">
        <f>_xlfn.XLOOKUP(A201,MktTitle,MktTotVol,0)</f>
        <v/>
      </c>
      <c r="K201">
        <f>IF(H201&gt;WhaleThreshold,"WHALE","")</f>
        <v/>
      </c>
    </row>
    <row r="202">
      <c r="A202" t="inlineStr">
        <is>
          <t>Will USA win the 2026 FIFA World Cup?</t>
        </is>
      </c>
      <c r="B202" s="4" t="n">
        <v>46205</v>
      </c>
      <c r="C202" s="5" t="n">
        <v>46205.9618287037</v>
      </c>
      <c r="D202" t="inlineStr">
        <is>
          <t>BUY</t>
        </is>
      </c>
      <c r="E202" t="inlineStr">
        <is>
          <t>No</t>
        </is>
      </c>
      <c r="F202" s="2" t="n">
        <v>0.974</v>
      </c>
      <c r="G202" s="6" t="n">
        <v>10</v>
      </c>
      <c r="H202" s="6">
        <f>F202*G202</f>
        <v/>
      </c>
      <c r="I202">
        <f>_xlfn.XLOOKUP(A202,MktTitle,MktCat,"n/a")</f>
        <v/>
      </c>
      <c r="J202" s="3">
        <f>_xlfn.XLOOKUP(A202,MktTitle,MktTotVol,0)</f>
        <v/>
      </c>
      <c r="K202">
        <f>IF(H202&gt;WhaleThreshold,"WHALE","")</f>
        <v/>
      </c>
    </row>
    <row r="203">
      <c r="A203" t="inlineStr">
        <is>
          <t>Will USA win the 2026 FIFA World Cup?</t>
        </is>
      </c>
      <c r="B203" s="4" t="n">
        <v>46205</v>
      </c>
      <c r="C203" s="5" t="n">
        <v>46205.96181712963</v>
      </c>
      <c r="D203" t="inlineStr">
        <is>
          <t>BUY</t>
        </is>
      </c>
      <c r="E203" t="inlineStr">
        <is>
          <t>No</t>
        </is>
      </c>
      <c r="F203" s="2" t="n">
        <v>0.974</v>
      </c>
      <c r="G203" s="6" t="n">
        <v>10</v>
      </c>
      <c r="H203" s="6">
        <f>F203*G203</f>
        <v/>
      </c>
      <c r="I203">
        <f>_xlfn.XLOOKUP(A203,MktTitle,MktCat,"n/a")</f>
        <v/>
      </c>
      <c r="J203" s="3">
        <f>_xlfn.XLOOKUP(A203,MktTitle,MktTotVol,0)</f>
        <v/>
      </c>
      <c r="K203">
        <f>IF(H203&gt;WhaleThreshold,"WHALE","")</f>
        <v/>
      </c>
    </row>
    <row r="204">
      <c r="A204" t="inlineStr">
        <is>
          <t>Will USA win the 2026 FIFA World Cup?</t>
        </is>
      </c>
      <c r="B204" s="4" t="n">
        <v>46205</v>
      </c>
      <c r="C204" s="5" t="n">
        <v>46205.96179398148</v>
      </c>
      <c r="D204" t="inlineStr">
        <is>
          <t>BUY</t>
        </is>
      </c>
      <c r="E204" t="inlineStr">
        <is>
          <t>No</t>
        </is>
      </c>
      <c r="F204" s="2" t="n">
        <v>0.974</v>
      </c>
      <c r="G204" s="6" t="n">
        <v>10</v>
      </c>
      <c r="H204" s="6">
        <f>F204*G204</f>
        <v/>
      </c>
      <c r="I204">
        <f>_xlfn.XLOOKUP(A204,MktTitle,MktCat,"n/a")</f>
        <v/>
      </c>
      <c r="J204" s="3">
        <f>_xlfn.XLOOKUP(A204,MktTitle,MktTotVol,0)</f>
        <v/>
      </c>
      <c r="K204">
        <f>IF(H204&gt;WhaleThreshold,"WHALE","")</f>
        <v/>
      </c>
    </row>
    <row r="205">
      <c r="A205" t="inlineStr">
        <is>
          <t>Will USA win the 2026 FIFA World Cup?</t>
        </is>
      </c>
      <c r="B205" s="4" t="n">
        <v>46205</v>
      </c>
      <c r="C205" s="5" t="n">
        <v>46205.96179398148</v>
      </c>
      <c r="D205" t="inlineStr">
        <is>
          <t>BUY</t>
        </is>
      </c>
      <c r="E205" t="inlineStr">
        <is>
          <t>No</t>
        </is>
      </c>
      <c r="F205" s="2" t="n">
        <v>0.974</v>
      </c>
      <c r="G205" s="6" t="n">
        <v>20</v>
      </c>
      <c r="H205" s="6">
        <f>F205*G205</f>
        <v/>
      </c>
      <c r="I205">
        <f>_xlfn.XLOOKUP(A205,MktTitle,MktCat,"n/a")</f>
        <v/>
      </c>
      <c r="J205" s="3">
        <f>_xlfn.XLOOKUP(A205,MktTitle,MktTotVol,0)</f>
        <v/>
      </c>
      <c r="K205">
        <f>IF(H205&gt;WhaleThreshold,"WHALE","")</f>
        <v/>
      </c>
    </row>
    <row r="206">
      <c r="A206" t="inlineStr">
        <is>
          <t>Will USA win the 2026 FIFA World Cup?</t>
        </is>
      </c>
      <c r="B206" s="4" t="n">
        <v>46205</v>
      </c>
      <c r="C206" s="5" t="n">
        <v>46205.96178240741</v>
      </c>
      <c r="D206" t="inlineStr">
        <is>
          <t>BUY</t>
        </is>
      </c>
      <c r="E206" t="inlineStr">
        <is>
          <t>No</t>
        </is>
      </c>
      <c r="F206" s="2" t="n">
        <v>0.974</v>
      </c>
      <c r="G206" s="6" t="n">
        <v>20</v>
      </c>
      <c r="H206" s="6">
        <f>F206*G206</f>
        <v/>
      </c>
      <c r="I206">
        <f>_xlfn.XLOOKUP(A206,MktTitle,MktCat,"n/a")</f>
        <v/>
      </c>
      <c r="J206" s="3">
        <f>_xlfn.XLOOKUP(A206,MktTitle,MktTotVol,0)</f>
        <v/>
      </c>
      <c r="K206">
        <f>IF(H206&gt;WhaleThreshold,"WHALE","")</f>
        <v/>
      </c>
    </row>
    <row r="207">
      <c r="A207" t="inlineStr">
        <is>
          <t>Will USA win the 2026 FIFA World Cup?</t>
        </is>
      </c>
      <c r="B207" s="4" t="n">
        <v>46205</v>
      </c>
      <c r="C207" s="5" t="n">
        <v>46205.96175925926</v>
      </c>
      <c r="D207" t="inlineStr">
        <is>
          <t>BUY</t>
        </is>
      </c>
      <c r="E207" t="inlineStr">
        <is>
          <t>No</t>
        </is>
      </c>
      <c r="F207" s="2" t="n">
        <v>0.974</v>
      </c>
      <c r="G207" s="6" t="n">
        <v>10</v>
      </c>
      <c r="H207" s="6">
        <f>F207*G207</f>
        <v/>
      </c>
      <c r="I207">
        <f>_xlfn.XLOOKUP(A207,MktTitle,MktCat,"n/a")</f>
        <v/>
      </c>
      <c r="J207" s="3">
        <f>_xlfn.XLOOKUP(A207,MktTitle,MktTotVol,0)</f>
        <v/>
      </c>
      <c r="K207">
        <f>IF(H207&gt;WhaleThreshold,"WHALE","")</f>
        <v/>
      </c>
    </row>
    <row r="208">
      <c r="A208" t="inlineStr">
        <is>
          <t>Will USA win the 2026 FIFA World Cup?</t>
        </is>
      </c>
      <c r="B208" s="4" t="n">
        <v>46205</v>
      </c>
      <c r="C208" s="5" t="n">
        <v>46205.96175925926</v>
      </c>
      <c r="D208" t="inlineStr">
        <is>
          <t>BUY</t>
        </is>
      </c>
      <c r="E208" t="inlineStr">
        <is>
          <t>No</t>
        </is>
      </c>
      <c r="F208" s="2" t="n">
        <v>0.974</v>
      </c>
      <c r="G208" s="6" t="n">
        <v>10</v>
      </c>
      <c r="H208" s="6">
        <f>F208*G208</f>
        <v/>
      </c>
      <c r="I208">
        <f>_xlfn.XLOOKUP(A208,MktTitle,MktCat,"n/a")</f>
        <v/>
      </c>
      <c r="J208" s="3">
        <f>_xlfn.XLOOKUP(A208,MktTitle,MktTotVol,0)</f>
        <v/>
      </c>
      <c r="K208">
        <f>IF(H208&gt;WhaleThreshold,"WHALE","")</f>
        <v/>
      </c>
    </row>
    <row r="209">
      <c r="A209" t="inlineStr">
        <is>
          <t>Will USA win the 2026 FIFA World Cup?</t>
        </is>
      </c>
      <c r="B209" s="4" t="n">
        <v>46205</v>
      </c>
      <c r="C209" s="5" t="n">
        <v>46205.96126157408</v>
      </c>
      <c r="D209" t="inlineStr">
        <is>
          <t>BUY</t>
        </is>
      </c>
      <c r="E209" t="inlineStr">
        <is>
          <t>No</t>
        </is>
      </c>
      <c r="F209" s="2" t="n">
        <v>0.974</v>
      </c>
      <c r="G209" s="6" t="n">
        <v>27.7207</v>
      </c>
      <c r="H209" s="6">
        <f>F209*G209</f>
        <v/>
      </c>
      <c r="I209">
        <f>_xlfn.XLOOKUP(A209,MktTitle,MktCat,"n/a")</f>
        <v/>
      </c>
      <c r="J209" s="3">
        <f>_xlfn.XLOOKUP(A209,MktTitle,MktTotVol,0)</f>
        <v/>
      </c>
      <c r="K209">
        <f>IF(H209&gt;WhaleThreshold,"WHALE","")</f>
        <v/>
      </c>
    </row>
    <row r="210">
      <c r="A210" t="inlineStr">
        <is>
          <t>Will USA win the 2026 FIFA World Cup?</t>
        </is>
      </c>
      <c r="B210" s="4" t="n">
        <v>46205</v>
      </c>
      <c r="C210" s="5" t="n">
        <v>46205.96084490741</v>
      </c>
      <c r="D210" t="inlineStr">
        <is>
          <t>SELL</t>
        </is>
      </c>
      <c r="E210" t="inlineStr">
        <is>
          <t>No</t>
        </is>
      </c>
      <c r="F210" s="2" t="n">
        <v>0.973</v>
      </c>
      <c r="G210" s="6" t="n">
        <v>28.75</v>
      </c>
      <c r="H210" s="6">
        <f>F210*G210</f>
        <v/>
      </c>
      <c r="I210">
        <f>_xlfn.XLOOKUP(A210,MktTitle,MktCat,"n/a")</f>
        <v/>
      </c>
      <c r="J210" s="3">
        <f>_xlfn.XLOOKUP(A210,MktTitle,MktTotVol,0)</f>
        <v/>
      </c>
      <c r="K210">
        <f>IF(H210&gt;WhaleThreshold,"WHALE","")</f>
        <v/>
      </c>
    </row>
    <row r="211">
      <c r="A211" t="inlineStr">
        <is>
          <t>Will USA win the 2026 FIFA World Cup?</t>
        </is>
      </c>
      <c r="B211" s="4" t="n">
        <v>46205</v>
      </c>
      <c r="C211" s="5" t="n">
        <v>46205.96077546296</v>
      </c>
      <c r="D211" t="inlineStr">
        <is>
          <t>BUY</t>
        </is>
      </c>
      <c r="E211" t="inlineStr">
        <is>
          <t>No</t>
        </is>
      </c>
      <c r="F211" s="2" t="n">
        <v>0.974</v>
      </c>
      <c r="G211" s="6" t="n">
        <v>1.1</v>
      </c>
      <c r="H211" s="6">
        <f>F211*G211</f>
        <v/>
      </c>
      <c r="I211">
        <f>_xlfn.XLOOKUP(A211,MktTitle,MktCat,"n/a")</f>
        <v/>
      </c>
      <c r="J211" s="3">
        <f>_xlfn.XLOOKUP(A211,MktTitle,MktTotVol,0)</f>
        <v/>
      </c>
      <c r="K211">
        <f>IF(H211&gt;WhaleThreshold,"WHALE","")</f>
        <v/>
      </c>
    </row>
    <row r="212">
      <c r="A212" t="inlineStr">
        <is>
          <t>Will USA win the 2026 FIFA World Cup?</t>
        </is>
      </c>
      <c r="B212" s="4" t="n">
        <v>46205</v>
      </c>
      <c r="C212" s="5" t="n">
        <v>46205.96077546296</v>
      </c>
      <c r="D212" t="inlineStr">
        <is>
          <t>BUY</t>
        </is>
      </c>
      <c r="E212" t="inlineStr">
        <is>
          <t>No</t>
        </is>
      </c>
      <c r="F212" s="2" t="n">
        <v>0.974</v>
      </c>
      <c r="G212" s="6" t="n">
        <v>95</v>
      </c>
      <c r="H212" s="6">
        <f>F212*G212</f>
        <v/>
      </c>
      <c r="I212">
        <f>_xlfn.XLOOKUP(A212,MktTitle,MktCat,"n/a")</f>
        <v/>
      </c>
      <c r="J212" s="3">
        <f>_xlfn.XLOOKUP(A212,MktTitle,MktTotVol,0)</f>
        <v/>
      </c>
      <c r="K212">
        <f>IF(H212&gt;WhaleThreshold,"WHALE","")</f>
        <v/>
      </c>
    </row>
    <row r="213">
      <c r="A213" t="inlineStr">
        <is>
          <t>Will USA win the 2026 FIFA World Cup?</t>
        </is>
      </c>
      <c r="B213" s="4" t="n">
        <v>46205</v>
      </c>
      <c r="C213" s="5" t="n">
        <v>46205.96068287037</v>
      </c>
      <c r="D213" t="inlineStr">
        <is>
          <t>BUY</t>
        </is>
      </c>
      <c r="E213" t="inlineStr">
        <is>
          <t>No</t>
        </is>
      </c>
      <c r="F213" s="2" t="n">
        <v>0.974</v>
      </c>
      <c r="G213" s="6" t="n">
        <v>85</v>
      </c>
      <c r="H213" s="6">
        <f>F213*G213</f>
        <v/>
      </c>
      <c r="I213">
        <f>_xlfn.XLOOKUP(A213,MktTitle,MktCat,"n/a")</f>
        <v/>
      </c>
      <c r="J213" s="3">
        <f>_xlfn.XLOOKUP(A213,MktTitle,MktTotVol,0)</f>
        <v/>
      </c>
      <c r="K213">
        <f>IF(H213&gt;WhaleThreshold,"WHALE","")</f>
        <v/>
      </c>
    </row>
    <row r="214">
      <c r="A214" t="inlineStr">
        <is>
          <t>Will USA win the 2026 FIFA World Cup?</t>
        </is>
      </c>
      <c r="B214" s="4" t="n">
        <v>46205</v>
      </c>
      <c r="C214" s="5" t="n">
        <v>46205.9606712963</v>
      </c>
      <c r="D214" t="inlineStr">
        <is>
          <t>BUY</t>
        </is>
      </c>
      <c r="E214" t="inlineStr">
        <is>
          <t>No</t>
        </is>
      </c>
      <c r="F214" s="2" t="n">
        <v>0.974</v>
      </c>
      <c r="G214" s="6" t="n">
        <v>8</v>
      </c>
      <c r="H214" s="6">
        <f>F214*G214</f>
        <v/>
      </c>
      <c r="I214">
        <f>_xlfn.XLOOKUP(A214,MktTitle,MktCat,"n/a")</f>
        <v/>
      </c>
      <c r="J214" s="3">
        <f>_xlfn.XLOOKUP(A214,MktTitle,MktTotVol,0)</f>
        <v/>
      </c>
      <c r="K214">
        <f>IF(H214&gt;WhaleThreshold,"WHALE","")</f>
        <v/>
      </c>
    </row>
    <row r="215">
      <c r="A215" t="inlineStr">
        <is>
          <t>Will USA win the 2026 FIFA World Cup?</t>
        </is>
      </c>
      <c r="B215" s="4" t="n">
        <v>46205</v>
      </c>
      <c r="C215" s="5" t="n">
        <v>46205.96060185185</v>
      </c>
      <c r="D215" t="inlineStr">
        <is>
          <t>BUY</t>
        </is>
      </c>
      <c r="E215" t="inlineStr">
        <is>
          <t>No</t>
        </is>
      </c>
      <c r="F215" s="2" t="n">
        <v>0.974</v>
      </c>
      <c r="G215" s="6" t="n">
        <v>28.7474</v>
      </c>
      <c r="H215" s="6">
        <f>F215*G215</f>
        <v/>
      </c>
      <c r="I215">
        <f>_xlfn.XLOOKUP(A215,MktTitle,MktCat,"n/a")</f>
        <v/>
      </c>
      <c r="J215" s="3">
        <f>_xlfn.XLOOKUP(A215,MktTitle,MktTotVol,0)</f>
        <v/>
      </c>
      <c r="K215">
        <f>IF(H215&gt;WhaleThreshold,"WHALE","")</f>
        <v/>
      </c>
    </row>
    <row r="216">
      <c r="A216" t="inlineStr">
        <is>
          <t>Will USA win the 2026 FIFA World Cup?</t>
        </is>
      </c>
      <c r="B216" s="4" t="n">
        <v>46205</v>
      </c>
      <c r="C216" s="5" t="n">
        <v>46205.96060185185</v>
      </c>
      <c r="D216" t="inlineStr">
        <is>
          <t>BUY</t>
        </is>
      </c>
      <c r="E216" t="inlineStr">
        <is>
          <t>No</t>
        </is>
      </c>
      <c r="F216" s="2" t="n">
        <v>0.974</v>
      </c>
      <c r="G216" s="6" t="n">
        <v>45</v>
      </c>
      <c r="H216" s="6">
        <f>F216*G216</f>
        <v/>
      </c>
      <c r="I216">
        <f>_xlfn.XLOOKUP(A216,MktTitle,MktCat,"n/a")</f>
        <v/>
      </c>
      <c r="J216" s="3">
        <f>_xlfn.XLOOKUP(A216,MktTitle,MktTotVol,0)</f>
        <v/>
      </c>
      <c r="K216">
        <f>IF(H216&gt;WhaleThreshold,"WHALE","")</f>
        <v/>
      </c>
    </row>
    <row r="217">
      <c r="A217" t="inlineStr">
        <is>
          <t>Will USA win the 2026 FIFA World Cup?</t>
        </is>
      </c>
      <c r="B217" s="4" t="n">
        <v>46205</v>
      </c>
      <c r="C217" s="5" t="n">
        <v>46205.96057870371</v>
      </c>
      <c r="D217" t="inlineStr">
        <is>
          <t>BUY</t>
        </is>
      </c>
      <c r="E217" t="inlineStr">
        <is>
          <t>No</t>
        </is>
      </c>
      <c r="F217" s="2" t="n">
        <v>0.974</v>
      </c>
      <c r="G217" s="6" t="n">
        <v>70</v>
      </c>
      <c r="H217" s="6">
        <f>F217*G217</f>
        <v/>
      </c>
      <c r="I217">
        <f>_xlfn.XLOOKUP(A217,MktTitle,MktCat,"n/a")</f>
        <v/>
      </c>
      <c r="J217" s="3">
        <f>_xlfn.XLOOKUP(A217,MktTitle,MktTotVol,0)</f>
        <v/>
      </c>
      <c r="K217">
        <f>IF(H217&gt;WhaleThreshold,"WHALE","")</f>
        <v/>
      </c>
    </row>
    <row r="218">
      <c r="A218" t="inlineStr">
        <is>
          <t>Will USA win the 2026 FIFA World Cup?</t>
        </is>
      </c>
      <c r="B218" s="4" t="n">
        <v>46205</v>
      </c>
      <c r="C218" s="5" t="n">
        <v>46205.96050925926</v>
      </c>
      <c r="D218" t="inlineStr">
        <is>
          <t>BUY</t>
        </is>
      </c>
      <c r="E218" t="inlineStr">
        <is>
          <t>No</t>
        </is>
      </c>
      <c r="F218" s="2" t="n">
        <v>0.974</v>
      </c>
      <c r="G218" s="6" t="n">
        <v>66.76000000000001</v>
      </c>
      <c r="H218" s="6">
        <f>F218*G218</f>
        <v/>
      </c>
      <c r="I218">
        <f>_xlfn.XLOOKUP(A218,MktTitle,MktCat,"n/a")</f>
        <v/>
      </c>
      <c r="J218" s="3">
        <f>_xlfn.XLOOKUP(A218,MktTitle,MktTotVol,0)</f>
        <v/>
      </c>
      <c r="K218">
        <f>IF(H218&gt;WhaleThreshold,"WHALE","")</f>
        <v/>
      </c>
    </row>
    <row r="219">
      <c r="A219" t="inlineStr">
        <is>
          <t>Will USA win the 2026 FIFA World Cup?</t>
        </is>
      </c>
      <c r="B219" s="4" t="n">
        <v>46205</v>
      </c>
      <c r="C219" s="5" t="n">
        <v>46205.96018518518</v>
      </c>
      <c r="D219" t="inlineStr">
        <is>
          <t>BUY</t>
        </is>
      </c>
      <c r="E219" t="inlineStr">
        <is>
          <t>No</t>
        </is>
      </c>
      <c r="F219" s="2" t="n">
        <v>0.974</v>
      </c>
      <c r="G219" s="6" t="n">
        <v>1.1</v>
      </c>
      <c r="H219" s="6">
        <f>F219*G219</f>
        <v/>
      </c>
      <c r="I219">
        <f>_xlfn.XLOOKUP(A219,MktTitle,MktCat,"n/a")</f>
        <v/>
      </c>
      <c r="J219" s="3">
        <f>_xlfn.XLOOKUP(A219,MktTitle,MktTotVol,0)</f>
        <v/>
      </c>
      <c r="K219">
        <f>IF(H219&gt;WhaleThreshold,"WHALE","")</f>
        <v/>
      </c>
    </row>
    <row r="220">
      <c r="A220" t="inlineStr">
        <is>
          <t>Will USA win the 2026 FIFA World Cup?</t>
        </is>
      </c>
      <c r="B220" s="4" t="n">
        <v>46205</v>
      </c>
      <c r="C220" s="5" t="n">
        <v>46205.96015046296</v>
      </c>
      <c r="D220" t="inlineStr">
        <is>
          <t>BUY</t>
        </is>
      </c>
      <c r="E220" t="inlineStr">
        <is>
          <t>No</t>
        </is>
      </c>
      <c r="F220" s="2" t="n">
        <v>0.974</v>
      </c>
      <c r="G220" s="6" t="n">
        <v>5</v>
      </c>
      <c r="H220" s="6">
        <f>F220*G220</f>
        <v/>
      </c>
      <c r="I220">
        <f>_xlfn.XLOOKUP(A220,MktTitle,MktCat,"n/a")</f>
        <v/>
      </c>
      <c r="J220" s="3">
        <f>_xlfn.XLOOKUP(A220,MktTitle,MktTotVol,0)</f>
        <v/>
      </c>
      <c r="K220">
        <f>IF(H220&gt;WhaleThreshold,"WHALE","")</f>
        <v/>
      </c>
    </row>
    <row r="221">
      <c r="A221" t="inlineStr">
        <is>
          <t>Will USA win the 2026 FIFA World Cup?</t>
        </is>
      </c>
      <c r="B221" s="4" t="n">
        <v>46205</v>
      </c>
      <c r="C221" s="5" t="n">
        <v>46205.96011574074</v>
      </c>
      <c r="D221" t="inlineStr">
        <is>
          <t>BUY</t>
        </is>
      </c>
      <c r="E221" t="inlineStr">
        <is>
          <t>No</t>
        </is>
      </c>
      <c r="F221" s="2" t="n">
        <v>0.974</v>
      </c>
      <c r="G221" s="6" t="n">
        <v>64.34</v>
      </c>
      <c r="H221" s="6">
        <f>F221*G221</f>
        <v/>
      </c>
      <c r="I221">
        <f>_xlfn.XLOOKUP(A221,MktTitle,MktCat,"n/a")</f>
        <v/>
      </c>
      <c r="J221" s="3">
        <f>_xlfn.XLOOKUP(A221,MktTitle,MktTotVol,0)</f>
        <v/>
      </c>
      <c r="K221">
        <f>IF(H221&gt;WhaleThreshold,"WHALE","")</f>
        <v/>
      </c>
    </row>
    <row r="222">
      <c r="A222" t="inlineStr">
        <is>
          <t>Will USA win the 2026 FIFA World Cup?</t>
        </is>
      </c>
      <c r="B222" s="4" t="n">
        <v>46205</v>
      </c>
      <c r="C222" s="5" t="n">
        <v>46205.96011574074</v>
      </c>
      <c r="D222" t="inlineStr">
        <is>
          <t>BUY</t>
        </is>
      </c>
      <c r="E222" t="inlineStr">
        <is>
          <t>No</t>
        </is>
      </c>
      <c r="F222" s="2" t="n">
        <v>0.974</v>
      </c>
      <c r="G222" s="6" t="n">
        <v>3.63</v>
      </c>
      <c r="H222" s="6">
        <f>F222*G222</f>
        <v/>
      </c>
      <c r="I222">
        <f>_xlfn.XLOOKUP(A222,MktTitle,MktCat,"n/a")</f>
        <v/>
      </c>
      <c r="J222" s="3">
        <f>_xlfn.XLOOKUP(A222,MktTitle,MktTotVol,0)</f>
        <v/>
      </c>
      <c r="K222">
        <f>IF(H222&gt;WhaleThreshold,"WHALE","")</f>
        <v/>
      </c>
    </row>
    <row r="223">
      <c r="A223" t="inlineStr">
        <is>
          <t>Will USA win the 2026 FIFA World Cup?</t>
        </is>
      </c>
      <c r="B223" s="4" t="n">
        <v>46205</v>
      </c>
      <c r="C223" s="5" t="n">
        <v>46205.9600462963</v>
      </c>
      <c r="D223" t="inlineStr">
        <is>
          <t>BUY</t>
        </is>
      </c>
      <c r="E223" t="inlineStr">
        <is>
          <t>No</t>
        </is>
      </c>
      <c r="F223" s="2" t="n">
        <v>0.974</v>
      </c>
      <c r="G223" s="6" t="n">
        <v>51.77</v>
      </c>
      <c r="H223" s="6">
        <f>F223*G223</f>
        <v/>
      </c>
      <c r="I223">
        <f>_xlfn.XLOOKUP(A223,MktTitle,MktCat,"n/a")</f>
        <v/>
      </c>
      <c r="J223" s="3">
        <f>_xlfn.XLOOKUP(A223,MktTitle,MktTotVol,0)</f>
        <v/>
      </c>
      <c r="K223">
        <f>IF(H223&gt;WhaleThreshold,"WHALE","")</f>
        <v/>
      </c>
    </row>
    <row r="224">
      <c r="A224" t="inlineStr">
        <is>
          <t>Will USA win the 2026 FIFA World Cup?</t>
        </is>
      </c>
      <c r="B224" s="4" t="n">
        <v>46205</v>
      </c>
      <c r="C224" s="5" t="n">
        <v>46205.96002314815</v>
      </c>
      <c r="D224" t="inlineStr">
        <is>
          <t>BUY</t>
        </is>
      </c>
      <c r="E224" t="inlineStr">
        <is>
          <t>No</t>
        </is>
      </c>
      <c r="F224" s="2" t="n">
        <v>0.974</v>
      </c>
      <c r="G224" s="6" t="n">
        <v>61.62</v>
      </c>
      <c r="H224" s="6">
        <f>F224*G224</f>
        <v/>
      </c>
      <c r="I224">
        <f>_xlfn.XLOOKUP(A224,MktTitle,MktCat,"n/a")</f>
        <v/>
      </c>
      <c r="J224" s="3">
        <f>_xlfn.XLOOKUP(A224,MktTitle,MktTotVol,0)</f>
        <v/>
      </c>
      <c r="K224">
        <f>IF(H224&gt;WhaleThreshold,"WHALE","")</f>
        <v/>
      </c>
    </row>
    <row r="225">
      <c r="A225" t="inlineStr">
        <is>
          <t>Will USA win the 2026 FIFA World Cup?</t>
        </is>
      </c>
      <c r="B225" s="4" t="n">
        <v>46205</v>
      </c>
      <c r="C225" s="5" t="n">
        <v>46205.95997685185</v>
      </c>
      <c r="D225" t="inlineStr">
        <is>
          <t>BUY</t>
        </is>
      </c>
      <c r="E225" t="inlineStr">
        <is>
          <t>No</t>
        </is>
      </c>
      <c r="F225" s="2" t="n">
        <v>0.974</v>
      </c>
      <c r="G225" s="6" t="n">
        <v>22.82</v>
      </c>
      <c r="H225" s="6">
        <f>F225*G225</f>
        <v/>
      </c>
      <c r="I225">
        <f>_xlfn.XLOOKUP(A225,MktTitle,MktCat,"n/a")</f>
        <v/>
      </c>
      <c r="J225" s="3">
        <f>_xlfn.XLOOKUP(A225,MktTitle,MktTotVol,0)</f>
        <v/>
      </c>
      <c r="K225">
        <f>IF(H225&gt;WhaleThreshold,"WHALE","")</f>
        <v/>
      </c>
    </row>
    <row r="226">
      <c r="A226" t="inlineStr">
        <is>
          <t>Will USA win the 2026 FIFA World Cup?</t>
        </is>
      </c>
      <c r="B226" s="4" t="n">
        <v>46205</v>
      </c>
      <c r="C226" s="5" t="n">
        <v>46205.95994212963</v>
      </c>
      <c r="D226" t="inlineStr">
        <is>
          <t>BUY</t>
        </is>
      </c>
      <c r="E226" t="inlineStr">
        <is>
          <t>No</t>
        </is>
      </c>
      <c r="F226" s="2" t="n">
        <v>0.974</v>
      </c>
      <c r="G226" s="6" t="n">
        <v>25.2</v>
      </c>
      <c r="H226" s="6">
        <f>F226*G226</f>
        <v/>
      </c>
      <c r="I226">
        <f>_xlfn.XLOOKUP(A226,MktTitle,MktCat,"n/a")</f>
        <v/>
      </c>
      <c r="J226" s="3">
        <f>_xlfn.XLOOKUP(A226,MktTitle,MktTotVol,0)</f>
        <v/>
      </c>
      <c r="K226">
        <f>IF(H226&gt;WhaleThreshold,"WHALE","")</f>
        <v/>
      </c>
    </row>
    <row r="227">
      <c r="A227" t="inlineStr">
        <is>
          <t>Will USA win the 2026 FIFA World Cup?</t>
        </is>
      </c>
      <c r="B227" s="4" t="n">
        <v>46205</v>
      </c>
      <c r="C227" s="5" t="n">
        <v>46205.95991898148</v>
      </c>
      <c r="D227" t="inlineStr">
        <is>
          <t>BUY</t>
        </is>
      </c>
      <c r="E227" t="inlineStr">
        <is>
          <t>No</t>
        </is>
      </c>
      <c r="F227" s="2" t="n">
        <v>0.974</v>
      </c>
      <c r="G227" s="6" t="n">
        <v>50.4</v>
      </c>
      <c r="H227" s="6">
        <f>F227*G227</f>
        <v/>
      </c>
      <c r="I227">
        <f>_xlfn.XLOOKUP(A227,MktTitle,MktCat,"n/a")</f>
        <v/>
      </c>
      <c r="J227" s="3">
        <f>_xlfn.XLOOKUP(A227,MktTitle,MktTotVol,0)</f>
        <v/>
      </c>
      <c r="K227">
        <f>IF(H227&gt;WhaleThreshold,"WHALE","")</f>
        <v/>
      </c>
    </row>
    <row r="228">
      <c r="A228" t="inlineStr">
        <is>
          <t>Will USA win the 2026 FIFA World Cup?</t>
        </is>
      </c>
      <c r="B228" s="4" t="n">
        <v>46205</v>
      </c>
      <c r="C228" s="5" t="n">
        <v>46205.95990740741</v>
      </c>
      <c r="D228" t="inlineStr">
        <is>
          <t>BUY</t>
        </is>
      </c>
      <c r="E228" t="inlineStr">
        <is>
          <t>No</t>
        </is>
      </c>
      <c r="F228" s="2" t="n">
        <v>0.974</v>
      </c>
      <c r="G228" s="6" t="n">
        <v>50.12</v>
      </c>
      <c r="H228" s="6">
        <f>F228*G228</f>
        <v/>
      </c>
      <c r="I228">
        <f>_xlfn.XLOOKUP(A228,MktTitle,MktCat,"n/a")</f>
        <v/>
      </c>
      <c r="J228" s="3">
        <f>_xlfn.XLOOKUP(A228,MktTitle,MktTotVol,0)</f>
        <v/>
      </c>
      <c r="K228">
        <f>IF(H228&gt;WhaleThreshold,"WHALE","")</f>
        <v/>
      </c>
    </row>
    <row r="229">
      <c r="A229" t="inlineStr">
        <is>
          <t>Will USA win the 2026 FIFA World Cup?</t>
        </is>
      </c>
      <c r="B229" s="4" t="n">
        <v>46205</v>
      </c>
      <c r="C229" s="5" t="n">
        <v>46205.95988425926</v>
      </c>
      <c r="D229" t="inlineStr">
        <is>
          <t>BUY</t>
        </is>
      </c>
      <c r="E229" t="inlineStr">
        <is>
          <t>No</t>
        </is>
      </c>
      <c r="F229" s="2" t="n">
        <v>0.974</v>
      </c>
      <c r="G229" s="6" t="n">
        <v>5</v>
      </c>
      <c r="H229" s="6">
        <f>F229*G229</f>
        <v/>
      </c>
      <c r="I229">
        <f>_xlfn.XLOOKUP(A229,MktTitle,MktCat,"n/a")</f>
        <v/>
      </c>
      <c r="J229" s="3">
        <f>_xlfn.XLOOKUP(A229,MktTitle,MktTotVol,0)</f>
        <v/>
      </c>
      <c r="K229">
        <f>IF(H229&gt;WhaleThreshold,"WHALE","")</f>
        <v/>
      </c>
    </row>
    <row r="230">
      <c r="A230" t="inlineStr">
        <is>
          <t>Will USA win the 2026 FIFA World Cup?</t>
        </is>
      </c>
      <c r="B230" s="4" t="n">
        <v>46205</v>
      </c>
      <c r="C230" s="5" t="n">
        <v>46205.95988425926</v>
      </c>
      <c r="D230" t="inlineStr">
        <is>
          <t>BUY</t>
        </is>
      </c>
      <c r="E230" t="inlineStr">
        <is>
          <t>No</t>
        </is>
      </c>
      <c r="F230" s="2" t="n">
        <v>0.974</v>
      </c>
      <c r="G230" s="6" t="n">
        <v>20</v>
      </c>
      <c r="H230" s="6">
        <f>F230*G230</f>
        <v/>
      </c>
      <c r="I230">
        <f>_xlfn.XLOOKUP(A230,MktTitle,MktCat,"n/a")</f>
        <v/>
      </c>
      <c r="J230" s="3">
        <f>_xlfn.XLOOKUP(A230,MktTitle,MktTotVol,0)</f>
        <v/>
      </c>
      <c r="K230">
        <f>IF(H230&gt;WhaleThreshold,"WHALE","")</f>
        <v/>
      </c>
    </row>
    <row r="231">
      <c r="A231" t="inlineStr">
        <is>
          <t>Will USA win the 2026 FIFA World Cup?</t>
        </is>
      </c>
      <c r="B231" s="4" t="n">
        <v>46205</v>
      </c>
      <c r="C231" s="5" t="n">
        <v>46205.95983796296</v>
      </c>
      <c r="D231" t="inlineStr">
        <is>
          <t>BUY</t>
        </is>
      </c>
      <c r="E231" t="inlineStr">
        <is>
          <t>No</t>
        </is>
      </c>
      <c r="F231" s="2" t="n">
        <v>0.974</v>
      </c>
      <c r="G231" s="6" t="n">
        <v>20.92</v>
      </c>
      <c r="H231" s="6">
        <f>F231*G231</f>
        <v/>
      </c>
      <c r="I231">
        <f>_xlfn.XLOOKUP(A231,MktTitle,MktCat,"n/a")</f>
        <v/>
      </c>
      <c r="J231" s="3">
        <f>_xlfn.XLOOKUP(A231,MktTitle,MktTotVol,0)</f>
        <v/>
      </c>
      <c r="K231">
        <f>IF(H231&gt;WhaleThreshold,"WHALE","")</f>
        <v/>
      </c>
    </row>
    <row r="232">
      <c r="A232" t="inlineStr">
        <is>
          <t>Will USA win the 2026 FIFA World Cup?</t>
        </is>
      </c>
      <c r="B232" s="4" t="n">
        <v>46205</v>
      </c>
      <c r="C232" s="5" t="n">
        <v>46205.95980324074</v>
      </c>
      <c r="D232" t="inlineStr">
        <is>
          <t>BUY</t>
        </is>
      </c>
      <c r="E232" t="inlineStr">
        <is>
          <t>No</t>
        </is>
      </c>
      <c r="F232" s="2" t="n">
        <v>0.974</v>
      </c>
      <c r="G232" s="6" t="n">
        <v>65</v>
      </c>
      <c r="H232" s="6">
        <f>F232*G232</f>
        <v/>
      </c>
      <c r="I232">
        <f>_xlfn.XLOOKUP(A232,MktTitle,MktCat,"n/a")</f>
        <v/>
      </c>
      <c r="J232" s="3">
        <f>_xlfn.XLOOKUP(A232,MktTitle,MktTotVol,0)</f>
        <v/>
      </c>
      <c r="K232">
        <f>IF(H232&gt;WhaleThreshold,"WHALE","")</f>
        <v/>
      </c>
    </row>
    <row r="233">
      <c r="A233" t="inlineStr">
        <is>
          <t>Will USA win the 2026 FIFA World Cup?</t>
        </is>
      </c>
      <c r="B233" s="4" t="n">
        <v>46205</v>
      </c>
      <c r="C233" s="5" t="n">
        <v>46205.95978009259</v>
      </c>
      <c r="D233" t="inlineStr">
        <is>
          <t>BUY</t>
        </is>
      </c>
      <c r="E233" t="inlineStr">
        <is>
          <t>No</t>
        </is>
      </c>
      <c r="F233" s="2" t="n">
        <v>0.974</v>
      </c>
      <c r="G233" s="6" t="n">
        <v>115</v>
      </c>
      <c r="H233" s="6">
        <f>F233*G233</f>
        <v/>
      </c>
      <c r="I233">
        <f>_xlfn.XLOOKUP(A233,MktTitle,MktCat,"n/a")</f>
        <v/>
      </c>
      <c r="J233" s="3">
        <f>_xlfn.XLOOKUP(A233,MktTitle,MktTotVol,0)</f>
        <v/>
      </c>
      <c r="K233">
        <f>IF(H233&gt;WhaleThreshold,"WHALE","")</f>
        <v/>
      </c>
    </row>
    <row r="234">
      <c r="A234" t="inlineStr">
        <is>
          <t>Will USA win the 2026 FIFA World Cup?</t>
        </is>
      </c>
      <c r="B234" s="4" t="n">
        <v>46205</v>
      </c>
      <c r="C234" s="5" t="n">
        <v>46205.95976851852</v>
      </c>
      <c r="D234" t="inlineStr">
        <is>
          <t>BUY</t>
        </is>
      </c>
      <c r="E234" t="inlineStr">
        <is>
          <t>No</t>
        </is>
      </c>
      <c r="F234" s="2" t="n">
        <v>0.974</v>
      </c>
      <c r="G234" s="6" t="n">
        <v>115</v>
      </c>
      <c r="H234" s="6">
        <f>F234*G234</f>
        <v/>
      </c>
      <c r="I234">
        <f>_xlfn.XLOOKUP(A234,MktTitle,MktCat,"n/a")</f>
        <v/>
      </c>
      <c r="J234" s="3">
        <f>_xlfn.XLOOKUP(A234,MktTitle,MktTotVol,0)</f>
        <v/>
      </c>
      <c r="K234">
        <f>IF(H234&gt;WhaleThreshold,"WHALE","")</f>
        <v/>
      </c>
    </row>
    <row r="235">
      <c r="A235" t="inlineStr">
        <is>
          <t>Will USA win the 2026 FIFA World Cup?</t>
        </is>
      </c>
      <c r="B235" s="4" t="n">
        <v>46205</v>
      </c>
      <c r="C235" s="5" t="n">
        <v>46205.95974537037</v>
      </c>
      <c r="D235" t="inlineStr">
        <is>
          <t>BUY</t>
        </is>
      </c>
      <c r="E235" t="inlineStr">
        <is>
          <t>No</t>
        </is>
      </c>
      <c r="F235" s="2" t="n">
        <v>0.974</v>
      </c>
      <c r="G235" s="6" t="n">
        <v>60</v>
      </c>
      <c r="H235" s="6">
        <f>F235*G235</f>
        <v/>
      </c>
      <c r="I235">
        <f>_xlfn.XLOOKUP(A235,MktTitle,MktCat,"n/a")</f>
        <v/>
      </c>
      <c r="J235" s="3">
        <f>_xlfn.XLOOKUP(A235,MktTitle,MktTotVol,0)</f>
        <v/>
      </c>
      <c r="K235">
        <f>IF(H235&gt;WhaleThreshold,"WHALE","")</f>
        <v/>
      </c>
    </row>
    <row r="236">
      <c r="A236" t="inlineStr">
        <is>
          <t>Will USA win the 2026 FIFA World Cup?</t>
        </is>
      </c>
      <c r="B236" s="4" t="n">
        <v>46205</v>
      </c>
      <c r="C236" s="5" t="n">
        <v>46205.95974537037</v>
      </c>
      <c r="D236" t="inlineStr">
        <is>
          <t>BUY</t>
        </is>
      </c>
      <c r="E236" t="inlineStr">
        <is>
          <t>No</t>
        </is>
      </c>
      <c r="F236" s="2" t="n">
        <v>0.974</v>
      </c>
      <c r="G236" s="6" t="n">
        <v>55</v>
      </c>
      <c r="H236" s="6">
        <f>F236*G236</f>
        <v/>
      </c>
      <c r="I236">
        <f>_xlfn.XLOOKUP(A236,MktTitle,MktCat,"n/a")</f>
        <v/>
      </c>
      <c r="J236" s="3">
        <f>_xlfn.XLOOKUP(A236,MktTitle,MktTotVol,0)</f>
        <v/>
      </c>
      <c r="K236">
        <f>IF(H236&gt;WhaleThreshold,"WHALE","")</f>
        <v/>
      </c>
    </row>
    <row r="237">
      <c r="A237" t="inlineStr">
        <is>
          <t>Will USA win the 2026 FIFA World Cup?</t>
        </is>
      </c>
      <c r="B237" s="4" t="n">
        <v>46205</v>
      </c>
      <c r="C237" s="5" t="n">
        <v>46205.9597337963</v>
      </c>
      <c r="D237" t="inlineStr">
        <is>
          <t>BUY</t>
        </is>
      </c>
      <c r="E237" t="inlineStr">
        <is>
          <t>No</t>
        </is>
      </c>
      <c r="F237" s="2" t="n">
        <v>0.974</v>
      </c>
      <c r="G237" s="6" t="n">
        <v>115</v>
      </c>
      <c r="H237" s="6">
        <f>F237*G237</f>
        <v/>
      </c>
      <c r="I237">
        <f>_xlfn.XLOOKUP(A237,MktTitle,MktCat,"n/a")</f>
        <v/>
      </c>
      <c r="J237" s="3">
        <f>_xlfn.XLOOKUP(A237,MktTitle,MktTotVol,0)</f>
        <v/>
      </c>
      <c r="K237">
        <f>IF(H237&gt;WhaleThreshold,"WHALE","")</f>
        <v/>
      </c>
    </row>
    <row r="238">
      <c r="A238" t="inlineStr">
        <is>
          <t>Will USA win the 2026 FIFA World Cup?</t>
        </is>
      </c>
      <c r="B238" s="4" t="n">
        <v>46205</v>
      </c>
      <c r="C238" s="5" t="n">
        <v>46205.9597337963</v>
      </c>
      <c r="D238" t="inlineStr">
        <is>
          <t>BUY</t>
        </is>
      </c>
      <c r="E238" t="inlineStr">
        <is>
          <t>No</t>
        </is>
      </c>
      <c r="F238" s="2" t="n">
        <v>0.974</v>
      </c>
      <c r="G238" s="6" t="n">
        <v>23.4</v>
      </c>
      <c r="H238" s="6">
        <f>F238*G238</f>
        <v/>
      </c>
      <c r="I238">
        <f>_xlfn.XLOOKUP(A238,MktTitle,MktCat,"n/a")</f>
        <v/>
      </c>
      <c r="J238" s="3">
        <f>_xlfn.XLOOKUP(A238,MktTitle,MktTotVol,0)</f>
        <v/>
      </c>
      <c r="K238">
        <f>IF(H238&gt;WhaleThreshold,"WHALE","")</f>
        <v/>
      </c>
    </row>
    <row r="239">
      <c r="A239" t="inlineStr">
        <is>
          <t>Will USA win the 2026 FIFA World Cup?</t>
        </is>
      </c>
      <c r="B239" s="4" t="n">
        <v>46205</v>
      </c>
      <c r="C239" s="5" t="n">
        <v>46205.95971064815</v>
      </c>
      <c r="D239" t="inlineStr">
        <is>
          <t>BUY</t>
        </is>
      </c>
      <c r="E239" t="inlineStr">
        <is>
          <t>No</t>
        </is>
      </c>
      <c r="F239" s="2" t="n">
        <v>0.974</v>
      </c>
      <c r="G239" s="6" t="n">
        <v>115</v>
      </c>
      <c r="H239" s="6">
        <f>F239*G239</f>
        <v/>
      </c>
      <c r="I239">
        <f>_xlfn.XLOOKUP(A239,MktTitle,MktCat,"n/a")</f>
        <v/>
      </c>
      <c r="J239" s="3">
        <f>_xlfn.XLOOKUP(A239,MktTitle,MktTotVol,0)</f>
        <v/>
      </c>
      <c r="K239">
        <f>IF(H239&gt;WhaleThreshold,"WHALE","")</f>
        <v/>
      </c>
    </row>
    <row r="240">
      <c r="A240" t="inlineStr">
        <is>
          <t>Will USA win the 2026 FIFA World Cup?</t>
        </is>
      </c>
      <c r="B240" s="4" t="n">
        <v>46205</v>
      </c>
      <c r="C240" s="5" t="n">
        <v>46205.95971064815</v>
      </c>
      <c r="D240" t="inlineStr">
        <is>
          <t>BUY</t>
        </is>
      </c>
      <c r="E240" t="inlineStr">
        <is>
          <t>No</t>
        </is>
      </c>
      <c r="F240" s="2" t="n">
        <v>0.974</v>
      </c>
      <c r="G240" s="6" t="n">
        <v>46.8</v>
      </c>
      <c r="H240" s="6">
        <f>F240*G240</f>
        <v/>
      </c>
      <c r="I240">
        <f>_xlfn.XLOOKUP(A240,MktTitle,MktCat,"n/a")</f>
        <v/>
      </c>
      <c r="J240" s="3">
        <f>_xlfn.XLOOKUP(A240,MktTitle,MktTotVol,0)</f>
        <v/>
      </c>
      <c r="K240">
        <f>IF(H240&gt;WhaleThreshold,"WHALE","")</f>
        <v/>
      </c>
    </row>
    <row r="241">
      <c r="A241" t="inlineStr">
        <is>
          <t>Will USA win the 2026 FIFA World Cup?</t>
        </is>
      </c>
      <c r="B241" s="4" t="n">
        <v>46205</v>
      </c>
      <c r="C241" s="5" t="n">
        <v>46205.95953703704</v>
      </c>
      <c r="D241" t="inlineStr">
        <is>
          <t>BUY</t>
        </is>
      </c>
      <c r="E241" t="inlineStr">
        <is>
          <t>No</t>
        </is>
      </c>
      <c r="F241" s="2" t="n">
        <v>0.974</v>
      </c>
      <c r="G241" s="6" t="n">
        <v>5.2361</v>
      </c>
      <c r="H241" s="6">
        <f>F241*G241</f>
        <v/>
      </c>
      <c r="I241">
        <f>_xlfn.XLOOKUP(A241,MktTitle,MktCat,"n/a")</f>
        <v/>
      </c>
      <c r="J241" s="3">
        <f>_xlfn.XLOOKUP(A241,MktTitle,MktTotVol,0)</f>
        <v/>
      </c>
      <c r="K241">
        <f>IF(H241&gt;WhaleThreshold,"WHALE","")</f>
        <v/>
      </c>
    </row>
    <row r="242">
      <c r="A242" t="inlineStr">
        <is>
          <t>Will USA win the 2026 FIFA World Cup?</t>
        </is>
      </c>
      <c r="B242" s="4" t="n">
        <v>46205</v>
      </c>
      <c r="C242" s="5" t="n">
        <v>46205.95936342593</v>
      </c>
      <c r="D242" t="inlineStr">
        <is>
          <t>BUY</t>
        </is>
      </c>
      <c r="E242" t="inlineStr">
        <is>
          <t>No</t>
        </is>
      </c>
      <c r="F242" s="2" t="n">
        <v>0.974</v>
      </c>
      <c r="G242" s="6" t="n">
        <v>252</v>
      </c>
      <c r="H242" s="6">
        <f>F242*G242</f>
        <v/>
      </c>
      <c r="I242">
        <f>_xlfn.XLOOKUP(A242,MktTitle,MktCat,"n/a")</f>
        <v/>
      </c>
      <c r="J242" s="3">
        <f>_xlfn.XLOOKUP(A242,MktTitle,MktTotVol,0)</f>
        <v/>
      </c>
      <c r="K242">
        <f>IF(H242&gt;WhaleThreshold,"WHALE","")</f>
        <v/>
      </c>
    </row>
    <row r="243">
      <c r="A243" t="inlineStr">
        <is>
          <t>Will USA win the 2026 FIFA World Cup?</t>
        </is>
      </c>
      <c r="B243" s="4" t="n">
        <v>46205</v>
      </c>
      <c r="C243" s="5" t="n">
        <v>46205.95893518518</v>
      </c>
      <c r="D243" t="inlineStr">
        <is>
          <t>BUY</t>
        </is>
      </c>
      <c r="E243" t="inlineStr">
        <is>
          <t>No</t>
        </is>
      </c>
      <c r="F243" s="2" t="n">
        <v>0.974</v>
      </c>
      <c r="G243" s="6" t="n">
        <v>2.94</v>
      </c>
      <c r="H243" s="6">
        <f>F243*G243</f>
        <v/>
      </c>
      <c r="I243">
        <f>_xlfn.XLOOKUP(A243,MktTitle,MktCat,"n/a")</f>
        <v/>
      </c>
      <c r="J243" s="3">
        <f>_xlfn.XLOOKUP(A243,MktTitle,MktTotVol,0)</f>
        <v/>
      </c>
      <c r="K243">
        <f>IF(H243&gt;WhaleThreshold,"WHALE","")</f>
        <v/>
      </c>
    </row>
    <row r="244">
      <c r="A244" t="inlineStr">
        <is>
          <t>Will USA win the 2026 FIFA World Cup?</t>
        </is>
      </c>
      <c r="B244" s="4" t="n">
        <v>46205</v>
      </c>
      <c r="C244" s="5" t="n">
        <v>46205.95893518518</v>
      </c>
      <c r="D244" t="inlineStr">
        <is>
          <t>BUY</t>
        </is>
      </c>
      <c r="E244" t="inlineStr">
        <is>
          <t>No</t>
        </is>
      </c>
      <c r="F244" s="2" t="n">
        <v>0.974</v>
      </c>
      <c r="G244" s="6" t="n">
        <v>5</v>
      </c>
      <c r="H244" s="6">
        <f>F244*G244</f>
        <v/>
      </c>
      <c r="I244">
        <f>_xlfn.XLOOKUP(A244,MktTitle,MktCat,"n/a")</f>
        <v/>
      </c>
      <c r="J244" s="3">
        <f>_xlfn.XLOOKUP(A244,MktTitle,MktTotVol,0)</f>
        <v/>
      </c>
      <c r="K244">
        <f>IF(H244&gt;WhaleThreshold,"WHALE","")</f>
        <v/>
      </c>
    </row>
    <row r="245">
      <c r="A245" t="inlineStr">
        <is>
          <t>Will USA win the 2026 FIFA World Cup?</t>
        </is>
      </c>
      <c r="B245" s="4" t="n">
        <v>46205</v>
      </c>
      <c r="C245" s="5" t="n">
        <v>46205.95890046296</v>
      </c>
      <c r="D245" t="inlineStr">
        <is>
          <t>BUY</t>
        </is>
      </c>
      <c r="E245" t="inlineStr">
        <is>
          <t>No</t>
        </is>
      </c>
      <c r="F245" s="2" t="n">
        <v>0.974</v>
      </c>
      <c r="G245" s="6" t="n">
        <v>5</v>
      </c>
      <c r="H245" s="6">
        <f>F245*G245</f>
        <v/>
      </c>
      <c r="I245">
        <f>_xlfn.XLOOKUP(A245,MktTitle,MktCat,"n/a")</f>
        <v/>
      </c>
      <c r="J245" s="3">
        <f>_xlfn.XLOOKUP(A245,MktTitle,MktTotVol,0)</f>
        <v/>
      </c>
      <c r="K245">
        <f>IF(H245&gt;WhaleThreshold,"WHALE","")</f>
        <v/>
      </c>
    </row>
    <row r="246">
      <c r="A246" t="inlineStr">
        <is>
          <t>Will USA win the 2026 FIFA World Cup?</t>
        </is>
      </c>
      <c r="B246" s="4" t="n">
        <v>46205</v>
      </c>
      <c r="C246" s="5" t="n">
        <v>46205.95887731481</v>
      </c>
      <c r="D246" t="inlineStr">
        <is>
          <t>BUY</t>
        </is>
      </c>
      <c r="E246" t="inlineStr">
        <is>
          <t>No</t>
        </is>
      </c>
      <c r="F246" s="2" t="n">
        <v>0.974</v>
      </c>
      <c r="G246" s="6" t="n">
        <v>10</v>
      </c>
      <c r="H246" s="6">
        <f>F246*G246</f>
        <v/>
      </c>
      <c r="I246">
        <f>_xlfn.XLOOKUP(A246,MktTitle,MktCat,"n/a")</f>
        <v/>
      </c>
      <c r="J246" s="3">
        <f>_xlfn.XLOOKUP(A246,MktTitle,MktTotVol,0)</f>
        <v/>
      </c>
      <c r="K246">
        <f>IF(H246&gt;WhaleThreshold,"WHALE","")</f>
        <v/>
      </c>
    </row>
    <row r="247">
      <c r="A247" t="inlineStr">
        <is>
          <t>Will USA win the 2026 FIFA World Cup?</t>
        </is>
      </c>
      <c r="B247" s="4" t="n">
        <v>46205</v>
      </c>
      <c r="C247" s="5" t="n">
        <v>46205.95886574074</v>
      </c>
      <c r="D247" t="inlineStr">
        <is>
          <t>BUY</t>
        </is>
      </c>
      <c r="E247" t="inlineStr">
        <is>
          <t>No</t>
        </is>
      </c>
      <c r="F247" s="2" t="n">
        <v>0.974</v>
      </c>
      <c r="G247" s="6" t="n">
        <v>10</v>
      </c>
      <c r="H247" s="6">
        <f>F247*G247</f>
        <v/>
      </c>
      <c r="I247">
        <f>_xlfn.XLOOKUP(A247,MktTitle,MktCat,"n/a")</f>
        <v/>
      </c>
      <c r="J247" s="3">
        <f>_xlfn.XLOOKUP(A247,MktTitle,MktTotVol,0)</f>
        <v/>
      </c>
      <c r="K247">
        <f>IF(H247&gt;WhaleThreshold,"WHALE","")</f>
        <v/>
      </c>
    </row>
    <row r="248">
      <c r="A248" t="inlineStr">
        <is>
          <t>Will USA win the 2026 FIFA World Cup?</t>
        </is>
      </c>
      <c r="B248" s="4" t="n">
        <v>46205</v>
      </c>
      <c r="C248" s="5" t="n">
        <v>46205.95884259259</v>
      </c>
      <c r="D248" t="inlineStr">
        <is>
          <t>BUY</t>
        </is>
      </c>
      <c r="E248" t="inlineStr">
        <is>
          <t>No</t>
        </is>
      </c>
      <c r="F248" s="2" t="n">
        <v>0.974</v>
      </c>
      <c r="G248" s="6" t="n">
        <v>10</v>
      </c>
      <c r="H248" s="6">
        <f>F248*G248</f>
        <v/>
      </c>
      <c r="I248">
        <f>_xlfn.XLOOKUP(A248,MktTitle,MktCat,"n/a")</f>
        <v/>
      </c>
      <c r="J248" s="3">
        <f>_xlfn.XLOOKUP(A248,MktTitle,MktTotVol,0)</f>
        <v/>
      </c>
      <c r="K248">
        <f>IF(H248&gt;WhaleThreshold,"WHALE","")</f>
        <v/>
      </c>
    </row>
    <row r="249">
      <c r="A249" t="inlineStr">
        <is>
          <t>Will USA win the 2026 FIFA World Cup?</t>
        </is>
      </c>
      <c r="B249" s="4" t="n">
        <v>46205</v>
      </c>
      <c r="C249" s="5" t="n">
        <v>46205.95883101852</v>
      </c>
      <c r="D249" t="inlineStr">
        <is>
          <t>BUY</t>
        </is>
      </c>
      <c r="E249" t="inlineStr">
        <is>
          <t>No</t>
        </is>
      </c>
      <c r="F249" s="2" t="n">
        <v>0.974</v>
      </c>
      <c r="G249" s="6" t="n">
        <v>115</v>
      </c>
      <c r="H249" s="6">
        <f>F249*G249</f>
        <v/>
      </c>
      <c r="I249">
        <f>_xlfn.XLOOKUP(A249,MktTitle,MktCat,"n/a")</f>
        <v/>
      </c>
      <c r="J249" s="3">
        <f>_xlfn.XLOOKUP(A249,MktTitle,MktTotVol,0)</f>
        <v/>
      </c>
      <c r="K249">
        <f>IF(H249&gt;WhaleThreshold,"WHALE","")</f>
        <v/>
      </c>
    </row>
    <row r="250">
      <c r="A250" t="inlineStr">
        <is>
          <t>Will USA win the 2026 FIFA World Cup?</t>
        </is>
      </c>
      <c r="B250" s="4" t="n">
        <v>46205</v>
      </c>
      <c r="C250" s="5" t="n">
        <v>46205.95880787037</v>
      </c>
      <c r="D250" t="inlineStr">
        <is>
          <t>BUY</t>
        </is>
      </c>
      <c r="E250" t="inlineStr">
        <is>
          <t>No</t>
        </is>
      </c>
      <c r="F250" s="2" t="n">
        <v>0.974</v>
      </c>
      <c r="G250" s="6" t="n">
        <v>20</v>
      </c>
      <c r="H250" s="6">
        <f>F250*G250</f>
        <v/>
      </c>
      <c r="I250">
        <f>_xlfn.XLOOKUP(A250,MktTitle,MktCat,"n/a")</f>
        <v/>
      </c>
      <c r="J250" s="3">
        <f>_xlfn.XLOOKUP(A250,MktTitle,MktTotVol,0)</f>
        <v/>
      </c>
      <c r="K250">
        <f>IF(H250&gt;WhaleThreshold,"WHALE","")</f>
        <v/>
      </c>
    </row>
    <row r="251">
      <c r="A251" t="inlineStr">
        <is>
          <t>Will USA win the 2026 FIFA World Cup?</t>
        </is>
      </c>
      <c r="B251" s="4" t="n">
        <v>46205</v>
      </c>
      <c r="C251" s="5" t="n">
        <v>46205.95880787037</v>
      </c>
      <c r="D251" t="inlineStr">
        <is>
          <t>BUY</t>
        </is>
      </c>
      <c r="E251" t="inlineStr">
        <is>
          <t>No</t>
        </is>
      </c>
      <c r="F251" s="2" t="n">
        <v>0.974</v>
      </c>
      <c r="G251" s="6" t="n">
        <v>70</v>
      </c>
      <c r="H251" s="6">
        <f>F251*G251</f>
        <v/>
      </c>
      <c r="I251">
        <f>_xlfn.XLOOKUP(A251,MktTitle,MktCat,"n/a")</f>
        <v/>
      </c>
      <c r="J251" s="3">
        <f>_xlfn.XLOOKUP(A251,MktTitle,MktTotVol,0)</f>
        <v/>
      </c>
      <c r="K251">
        <f>IF(H251&gt;WhaleThreshold,"WHALE","")</f>
        <v/>
      </c>
    </row>
    <row r="252">
      <c r="A252" t="inlineStr">
        <is>
          <t>Will USA win the 2026 FIFA World Cup?</t>
        </is>
      </c>
      <c r="B252" s="4" t="n">
        <v>46205</v>
      </c>
      <c r="C252" s="5" t="n">
        <v>46205.95880787037</v>
      </c>
      <c r="D252" t="inlineStr">
        <is>
          <t>BUY</t>
        </is>
      </c>
      <c r="E252" t="inlineStr">
        <is>
          <t>No</t>
        </is>
      </c>
      <c r="F252" s="2" t="n">
        <v>0.974</v>
      </c>
      <c r="G252" s="6" t="n">
        <v>27.2</v>
      </c>
      <c r="H252" s="6">
        <f>F252*G252</f>
        <v/>
      </c>
      <c r="I252">
        <f>_xlfn.XLOOKUP(A252,MktTitle,MktCat,"n/a")</f>
        <v/>
      </c>
      <c r="J252" s="3">
        <f>_xlfn.XLOOKUP(A252,MktTitle,MktTotVol,0)</f>
        <v/>
      </c>
      <c r="K252">
        <f>IF(H252&gt;WhaleThreshold,"WHALE","")</f>
        <v/>
      </c>
    </row>
    <row r="253">
      <c r="A253" t="inlineStr">
        <is>
          <t>Will USA win the 2026 FIFA World Cup?</t>
        </is>
      </c>
      <c r="B253" s="4" t="n">
        <v>46205</v>
      </c>
      <c r="C253" s="5" t="n">
        <v>46205.9587962963</v>
      </c>
      <c r="D253" t="inlineStr">
        <is>
          <t>BUY</t>
        </is>
      </c>
      <c r="E253" t="inlineStr">
        <is>
          <t>No</t>
        </is>
      </c>
      <c r="F253" s="2" t="n">
        <v>0.974</v>
      </c>
      <c r="G253" s="6" t="n">
        <v>115</v>
      </c>
      <c r="H253" s="6">
        <f>F253*G253</f>
        <v/>
      </c>
      <c r="I253">
        <f>_xlfn.XLOOKUP(A253,MktTitle,MktCat,"n/a")</f>
        <v/>
      </c>
      <c r="J253" s="3">
        <f>_xlfn.XLOOKUP(A253,MktTitle,MktTotVol,0)</f>
        <v/>
      </c>
      <c r="K253">
        <f>IF(H253&gt;WhaleThreshold,"WHALE","")</f>
        <v/>
      </c>
    </row>
    <row r="254">
      <c r="A254" t="inlineStr">
        <is>
          <t>Will USA win the 2026 FIFA World Cup?</t>
        </is>
      </c>
      <c r="B254" s="4" t="n">
        <v>46205</v>
      </c>
      <c r="C254" s="5" t="n">
        <v>46205.9587962963</v>
      </c>
      <c r="D254" t="inlineStr">
        <is>
          <t>BUY</t>
        </is>
      </c>
      <c r="E254" t="inlineStr">
        <is>
          <t>No</t>
        </is>
      </c>
      <c r="F254" s="2" t="n">
        <v>0.974</v>
      </c>
      <c r="G254" s="6" t="n">
        <v>115</v>
      </c>
      <c r="H254" s="6">
        <f>F254*G254</f>
        <v/>
      </c>
      <c r="I254">
        <f>_xlfn.XLOOKUP(A254,MktTitle,MktCat,"n/a")</f>
        <v/>
      </c>
      <c r="J254" s="3">
        <f>_xlfn.XLOOKUP(A254,MktTitle,MktTotVol,0)</f>
        <v/>
      </c>
      <c r="K254">
        <f>IF(H254&gt;WhaleThreshold,"WHALE","")</f>
        <v/>
      </c>
    </row>
    <row r="255">
      <c r="A255" t="inlineStr">
        <is>
          <t>Will USA win the 2026 FIFA World Cup?</t>
        </is>
      </c>
      <c r="B255" s="4" t="n">
        <v>46205</v>
      </c>
      <c r="C255" s="5" t="n">
        <v>46205.9587962963</v>
      </c>
      <c r="D255" t="inlineStr">
        <is>
          <t>BUY</t>
        </is>
      </c>
      <c r="E255" t="inlineStr">
        <is>
          <t>No</t>
        </is>
      </c>
      <c r="F255" s="2" t="n">
        <v>0.974</v>
      </c>
      <c r="G255" s="6" t="n">
        <v>47</v>
      </c>
      <c r="H255" s="6">
        <f>F255*G255</f>
        <v/>
      </c>
      <c r="I255">
        <f>_xlfn.XLOOKUP(A255,MktTitle,MktCat,"n/a")</f>
        <v/>
      </c>
      <c r="J255" s="3">
        <f>_xlfn.XLOOKUP(A255,MktTitle,MktTotVol,0)</f>
        <v/>
      </c>
      <c r="K255">
        <f>IF(H255&gt;WhaleThreshold,"WHALE","")</f>
        <v/>
      </c>
    </row>
    <row r="256">
      <c r="A256" t="inlineStr">
        <is>
          <t>Will USA win the 2026 FIFA World Cup?</t>
        </is>
      </c>
      <c r="B256" s="4" t="n">
        <v>46205</v>
      </c>
      <c r="C256" s="5" t="n">
        <v>46205.95851851852</v>
      </c>
      <c r="D256" t="inlineStr">
        <is>
          <t>BUY</t>
        </is>
      </c>
      <c r="E256" t="inlineStr">
        <is>
          <t>No</t>
        </is>
      </c>
      <c r="F256" s="2" t="n">
        <v>0.974</v>
      </c>
      <c r="G256" s="6" t="n">
        <v>10</v>
      </c>
      <c r="H256" s="6">
        <f>F256*G256</f>
        <v/>
      </c>
      <c r="I256">
        <f>_xlfn.XLOOKUP(A256,MktTitle,MktCat,"n/a")</f>
        <v/>
      </c>
      <c r="J256" s="3">
        <f>_xlfn.XLOOKUP(A256,MktTitle,MktTotVol,0)</f>
        <v/>
      </c>
      <c r="K256">
        <f>IF(H256&gt;WhaleThreshold,"WHALE","")</f>
        <v/>
      </c>
    </row>
    <row r="257">
      <c r="A257" t="inlineStr">
        <is>
          <t>Will USA win the 2026 FIFA World Cup?</t>
        </is>
      </c>
      <c r="B257" s="4" t="n">
        <v>46205</v>
      </c>
      <c r="C257" s="5" t="n">
        <v>46205.95849537037</v>
      </c>
      <c r="D257" t="inlineStr">
        <is>
          <t>BUY</t>
        </is>
      </c>
      <c r="E257" t="inlineStr">
        <is>
          <t>No</t>
        </is>
      </c>
      <c r="F257" s="2" t="n">
        <v>0.974</v>
      </c>
      <c r="G257" s="6" t="n">
        <v>10</v>
      </c>
      <c r="H257" s="6">
        <f>F257*G257</f>
        <v/>
      </c>
      <c r="I257">
        <f>_xlfn.XLOOKUP(A257,MktTitle,MktCat,"n/a")</f>
        <v/>
      </c>
      <c r="J257" s="3">
        <f>_xlfn.XLOOKUP(A257,MktTitle,MktTotVol,0)</f>
        <v/>
      </c>
      <c r="K257">
        <f>IF(H257&gt;WhaleThreshold,"WHALE","")</f>
        <v/>
      </c>
    </row>
    <row r="258">
      <c r="A258" t="inlineStr">
        <is>
          <t>Will USA win the 2026 FIFA World Cup?</t>
        </is>
      </c>
      <c r="B258" s="4" t="n">
        <v>46205</v>
      </c>
      <c r="C258" s="5" t="n">
        <v>46205.95837962963</v>
      </c>
      <c r="D258" t="inlineStr">
        <is>
          <t>BUY</t>
        </is>
      </c>
      <c r="E258" t="inlineStr">
        <is>
          <t>No</t>
        </is>
      </c>
      <c r="F258" s="2" t="n">
        <v>0.974</v>
      </c>
      <c r="G258" s="6" t="n">
        <v>15</v>
      </c>
      <c r="H258" s="6">
        <f>F258*G258</f>
        <v/>
      </c>
      <c r="I258">
        <f>_xlfn.XLOOKUP(A258,MktTitle,MktCat,"n/a")</f>
        <v/>
      </c>
      <c r="J258" s="3">
        <f>_xlfn.XLOOKUP(A258,MktTitle,MktTotVol,0)</f>
        <v/>
      </c>
      <c r="K258">
        <f>IF(H258&gt;WhaleThreshold,"WHALE","")</f>
        <v/>
      </c>
    </row>
    <row r="259">
      <c r="A259" t="inlineStr">
        <is>
          <t>Will USA win the 2026 FIFA World Cup?</t>
        </is>
      </c>
      <c r="B259" s="4" t="n">
        <v>46205</v>
      </c>
      <c r="C259" s="5" t="n">
        <v>46205.95835648148</v>
      </c>
      <c r="D259" t="inlineStr">
        <is>
          <t>BUY</t>
        </is>
      </c>
      <c r="E259" t="inlineStr">
        <is>
          <t>No</t>
        </is>
      </c>
      <c r="F259" s="2" t="n">
        <v>0.974</v>
      </c>
      <c r="G259" s="6" t="n">
        <v>50</v>
      </c>
      <c r="H259" s="6">
        <f>F259*G259</f>
        <v/>
      </c>
      <c r="I259">
        <f>_xlfn.XLOOKUP(A259,MktTitle,MktCat,"n/a")</f>
        <v/>
      </c>
      <c r="J259" s="3">
        <f>_xlfn.XLOOKUP(A259,MktTitle,MktTotVol,0)</f>
        <v/>
      </c>
      <c r="K259">
        <f>IF(H259&gt;WhaleThreshold,"WHALE","")</f>
        <v/>
      </c>
    </row>
    <row r="260">
      <c r="A260" t="inlineStr">
        <is>
          <t>Will USA win the 2026 FIFA World Cup?</t>
        </is>
      </c>
      <c r="B260" s="4" t="n">
        <v>46205</v>
      </c>
      <c r="C260" s="5" t="n">
        <v>46205.95834490741</v>
      </c>
      <c r="D260" t="inlineStr">
        <is>
          <t>BUY</t>
        </is>
      </c>
      <c r="E260" t="inlineStr">
        <is>
          <t>No</t>
        </is>
      </c>
      <c r="F260" s="2" t="n">
        <v>0.974</v>
      </c>
      <c r="G260" s="6" t="n">
        <v>65</v>
      </c>
      <c r="H260" s="6">
        <f>F260*G260</f>
        <v/>
      </c>
      <c r="I260">
        <f>_xlfn.XLOOKUP(A260,MktTitle,MktCat,"n/a")</f>
        <v/>
      </c>
      <c r="J260" s="3">
        <f>_xlfn.XLOOKUP(A260,MktTitle,MktTotVol,0)</f>
        <v/>
      </c>
      <c r="K260">
        <f>IF(H260&gt;WhaleThreshold,"WHALE","")</f>
        <v/>
      </c>
    </row>
    <row r="261">
      <c r="A261" t="inlineStr">
        <is>
          <t>Will USA win the 2026 FIFA World Cup?</t>
        </is>
      </c>
      <c r="B261" s="4" t="n">
        <v>46205</v>
      </c>
      <c r="C261" s="5" t="n">
        <v>46205.95834490741</v>
      </c>
      <c r="D261" t="inlineStr">
        <is>
          <t>BUY</t>
        </is>
      </c>
      <c r="E261" t="inlineStr">
        <is>
          <t>No</t>
        </is>
      </c>
      <c r="F261" s="2" t="n">
        <v>0.974</v>
      </c>
      <c r="G261" s="6" t="n">
        <v>115</v>
      </c>
      <c r="H261" s="6">
        <f>F261*G261</f>
        <v/>
      </c>
      <c r="I261">
        <f>_xlfn.XLOOKUP(A261,MktTitle,MktCat,"n/a")</f>
        <v/>
      </c>
      <c r="J261" s="3">
        <f>_xlfn.XLOOKUP(A261,MktTitle,MktTotVol,0)</f>
        <v/>
      </c>
      <c r="K261">
        <f>IF(H261&gt;WhaleThreshold,"WHALE","")</f>
        <v/>
      </c>
    </row>
    <row r="262">
      <c r="A262" t="inlineStr">
        <is>
          <t>Will USA win the 2026 FIFA World Cup?</t>
        </is>
      </c>
      <c r="B262" s="4" t="n">
        <v>46205</v>
      </c>
      <c r="C262" s="5" t="n">
        <v>46205.95834490741</v>
      </c>
      <c r="D262" t="inlineStr">
        <is>
          <t>BUY</t>
        </is>
      </c>
      <c r="E262" t="inlineStr">
        <is>
          <t>No</t>
        </is>
      </c>
      <c r="F262" s="2" t="n">
        <v>0.974</v>
      </c>
      <c r="G262" s="6" t="n">
        <v>73.59999999999999</v>
      </c>
      <c r="H262" s="6">
        <f>F262*G262</f>
        <v/>
      </c>
      <c r="I262">
        <f>_xlfn.XLOOKUP(A262,MktTitle,MktCat,"n/a")</f>
        <v/>
      </c>
      <c r="J262" s="3">
        <f>_xlfn.XLOOKUP(A262,MktTitle,MktTotVol,0)</f>
        <v/>
      </c>
      <c r="K262">
        <f>IF(H262&gt;WhaleThreshold,"WHALE","")</f>
        <v/>
      </c>
    </row>
    <row r="263">
      <c r="A263" t="inlineStr">
        <is>
          <t>Will USA win the 2026 FIFA World Cup?</t>
        </is>
      </c>
      <c r="B263" s="4" t="n">
        <v>46205</v>
      </c>
      <c r="C263" s="5" t="n">
        <v>46205.95630787037</v>
      </c>
      <c r="D263" t="inlineStr">
        <is>
          <t>SELL</t>
        </is>
      </c>
      <c r="E263" t="inlineStr">
        <is>
          <t>No</t>
        </is>
      </c>
      <c r="F263" s="2" t="n">
        <v>0.973</v>
      </c>
      <c r="G263" s="6" t="n">
        <v>47.52</v>
      </c>
      <c r="H263" s="6">
        <f>F263*G263</f>
        <v/>
      </c>
      <c r="I263">
        <f>_xlfn.XLOOKUP(A263,MktTitle,MktCat,"n/a")</f>
        <v/>
      </c>
      <c r="J263" s="3">
        <f>_xlfn.XLOOKUP(A263,MktTitle,MktTotVol,0)</f>
        <v/>
      </c>
      <c r="K263">
        <f>IF(H263&gt;WhaleThreshold,"WHALE","")</f>
        <v/>
      </c>
    </row>
    <row r="264">
      <c r="A264" t="inlineStr">
        <is>
          <t>Will USA win the 2026 FIFA World Cup?</t>
        </is>
      </c>
      <c r="B264" s="4" t="n">
        <v>46205</v>
      </c>
      <c r="C264" s="5" t="n">
        <v>46205.9552662037</v>
      </c>
      <c r="D264" t="inlineStr">
        <is>
          <t>SELL</t>
        </is>
      </c>
      <c r="E264" t="inlineStr">
        <is>
          <t>Yes</t>
        </is>
      </c>
      <c r="F264" s="2" t="n">
        <v>0.026</v>
      </c>
      <c r="G264" s="6" t="n">
        <v>142.86</v>
      </c>
      <c r="H264" s="6">
        <f>F264*G264</f>
        <v/>
      </c>
      <c r="I264">
        <f>_xlfn.XLOOKUP(A264,MktTitle,MktCat,"n/a")</f>
        <v/>
      </c>
      <c r="J264" s="3">
        <f>_xlfn.XLOOKUP(A264,MktTitle,MktTotVol,0)</f>
        <v/>
      </c>
      <c r="K264">
        <f>IF(H264&gt;WhaleThreshold,"WHALE","")</f>
        <v/>
      </c>
    </row>
    <row r="265">
      <c r="A265" t="inlineStr">
        <is>
          <t>Will USA win the 2026 FIFA World Cup?</t>
        </is>
      </c>
      <c r="B265" s="4" t="n">
        <v>46205</v>
      </c>
      <c r="C265" s="5" t="n">
        <v>46205.95424768519</v>
      </c>
      <c r="D265" t="inlineStr">
        <is>
          <t>SELL</t>
        </is>
      </c>
      <c r="E265" t="inlineStr">
        <is>
          <t>No</t>
        </is>
      </c>
      <c r="F265" s="2" t="n">
        <v>0.973</v>
      </c>
      <c r="G265" s="6" t="n">
        <v>10.5</v>
      </c>
      <c r="H265" s="6">
        <f>F265*G265</f>
        <v/>
      </c>
      <c r="I265">
        <f>_xlfn.XLOOKUP(A265,MktTitle,MktCat,"n/a")</f>
        <v/>
      </c>
      <c r="J265" s="3">
        <f>_xlfn.XLOOKUP(A265,MktTitle,MktTotVol,0)</f>
        <v/>
      </c>
      <c r="K265">
        <f>IF(H265&gt;WhaleThreshold,"WHALE","")</f>
        <v/>
      </c>
    </row>
    <row r="266">
      <c r="A266" t="inlineStr">
        <is>
          <t>Will USA win the 2026 FIFA World Cup?</t>
        </is>
      </c>
      <c r="B266" s="4" t="n">
        <v>46205</v>
      </c>
      <c r="C266" s="5" t="n">
        <v>46205.95400462963</v>
      </c>
      <c r="D266" t="inlineStr">
        <is>
          <t>BUY</t>
        </is>
      </c>
      <c r="E266" t="inlineStr">
        <is>
          <t>No</t>
        </is>
      </c>
      <c r="F266" s="2" t="n">
        <v>0.974</v>
      </c>
      <c r="G266" s="6" t="n">
        <v>10.5</v>
      </c>
      <c r="H266" s="6">
        <f>F266*G266</f>
        <v/>
      </c>
      <c r="I266">
        <f>_xlfn.XLOOKUP(A266,MktTitle,MktCat,"n/a")</f>
        <v/>
      </c>
      <c r="J266" s="3">
        <f>_xlfn.XLOOKUP(A266,MktTitle,MktTotVol,0)</f>
        <v/>
      </c>
      <c r="K266">
        <f>IF(H266&gt;WhaleThreshold,"WHALE","")</f>
        <v/>
      </c>
    </row>
    <row r="267">
      <c r="A267" t="inlineStr">
        <is>
          <t>Will USA win the 2026 FIFA World Cup?</t>
        </is>
      </c>
      <c r="B267" s="4" t="n">
        <v>46205</v>
      </c>
      <c r="C267" s="5" t="n">
        <v>46205.94872685185</v>
      </c>
      <c r="D267" t="inlineStr">
        <is>
          <t>SELL</t>
        </is>
      </c>
      <c r="E267" t="inlineStr">
        <is>
          <t>No</t>
        </is>
      </c>
      <c r="F267" s="2" t="n">
        <v>0.973</v>
      </c>
      <c r="G267" s="6" t="n">
        <v>55.47</v>
      </c>
      <c r="H267" s="6">
        <f>F267*G267</f>
        <v/>
      </c>
      <c r="I267">
        <f>_xlfn.XLOOKUP(A267,MktTitle,MktCat,"n/a")</f>
        <v/>
      </c>
      <c r="J267" s="3">
        <f>_xlfn.XLOOKUP(A267,MktTitle,MktTotVol,0)</f>
        <v/>
      </c>
      <c r="K267">
        <f>IF(H267&gt;WhaleThreshold,"WHALE","")</f>
        <v/>
      </c>
    </row>
    <row r="268">
      <c r="A268" t="inlineStr">
        <is>
          <t>Will USA win the 2026 FIFA World Cup?</t>
        </is>
      </c>
      <c r="B268" s="4" t="n">
        <v>46205</v>
      </c>
      <c r="C268" s="5" t="n">
        <v>46205.94863425926</v>
      </c>
      <c r="D268" t="inlineStr">
        <is>
          <t>SELL</t>
        </is>
      </c>
      <c r="E268" t="inlineStr">
        <is>
          <t>No</t>
        </is>
      </c>
      <c r="F268" s="2" t="n">
        <v>0.973</v>
      </c>
      <c r="G268" s="6" t="n">
        <v>48.66</v>
      </c>
      <c r="H268" s="6">
        <f>F268*G268</f>
        <v/>
      </c>
      <c r="I268">
        <f>_xlfn.XLOOKUP(A268,MktTitle,MktCat,"n/a")</f>
        <v/>
      </c>
      <c r="J268" s="3">
        <f>_xlfn.XLOOKUP(A268,MktTitle,MktTotVol,0)</f>
        <v/>
      </c>
      <c r="K268">
        <f>IF(H268&gt;WhaleThreshold,"WHALE","")</f>
        <v/>
      </c>
    </row>
    <row r="269">
      <c r="A269" t="inlineStr">
        <is>
          <t>Will USA win the 2026 FIFA World Cup?</t>
        </is>
      </c>
      <c r="B269" s="4" t="n">
        <v>46205</v>
      </c>
      <c r="C269" s="5" t="n">
        <v>46205.94747685185</v>
      </c>
      <c r="D269" t="inlineStr">
        <is>
          <t>BUY</t>
        </is>
      </c>
      <c r="E269" t="inlineStr">
        <is>
          <t>No</t>
        </is>
      </c>
      <c r="F269" s="2" t="n">
        <v>0.974</v>
      </c>
      <c r="G269" s="6" t="n">
        <v>200</v>
      </c>
      <c r="H269" s="6">
        <f>F269*G269</f>
        <v/>
      </c>
      <c r="I269">
        <f>_xlfn.XLOOKUP(A269,MktTitle,MktCat,"n/a")</f>
        <v/>
      </c>
      <c r="J269" s="3">
        <f>_xlfn.XLOOKUP(A269,MktTitle,MktTotVol,0)</f>
        <v/>
      </c>
      <c r="K269">
        <f>IF(H269&gt;WhaleThreshold,"WHALE","")</f>
        <v/>
      </c>
    </row>
    <row r="270">
      <c r="A270" t="inlineStr">
        <is>
          <t>Will USA win the 2026 FIFA World Cup?</t>
        </is>
      </c>
      <c r="B270" s="4" t="n">
        <v>46205</v>
      </c>
      <c r="C270" s="5" t="n">
        <v>46205.94450231481</v>
      </c>
      <c r="D270" t="inlineStr">
        <is>
          <t>SELL</t>
        </is>
      </c>
      <c r="E270" t="inlineStr">
        <is>
          <t>Yes</t>
        </is>
      </c>
      <c r="F270" s="2" t="n">
        <v>0.026</v>
      </c>
      <c r="G270" s="6" t="n">
        <v>176.47</v>
      </c>
      <c r="H270" s="6">
        <f>F270*G270</f>
        <v/>
      </c>
      <c r="I270">
        <f>_xlfn.XLOOKUP(A270,MktTitle,MktCat,"n/a")</f>
        <v/>
      </c>
      <c r="J270" s="3">
        <f>_xlfn.XLOOKUP(A270,MktTitle,MktTotVol,0)</f>
        <v/>
      </c>
      <c r="K270">
        <f>IF(H270&gt;WhaleThreshold,"WHALE","")</f>
        <v/>
      </c>
    </row>
    <row r="271">
      <c r="A271" t="inlineStr">
        <is>
          <t>Will USA win the 2026 FIFA World Cup?</t>
        </is>
      </c>
      <c r="B271" s="4" t="n">
        <v>46205</v>
      </c>
      <c r="C271" s="5" t="n">
        <v>46205.94344907408</v>
      </c>
      <c r="D271" t="inlineStr">
        <is>
          <t>SELL</t>
        </is>
      </c>
      <c r="E271" t="inlineStr">
        <is>
          <t>No</t>
        </is>
      </c>
      <c r="F271" s="2" t="n">
        <v>0.973</v>
      </c>
      <c r="G271" s="6" t="n">
        <v>50.92</v>
      </c>
      <c r="H271" s="6">
        <f>F271*G271</f>
        <v/>
      </c>
      <c r="I271">
        <f>_xlfn.XLOOKUP(A271,MktTitle,MktCat,"n/a")</f>
        <v/>
      </c>
      <c r="J271" s="3">
        <f>_xlfn.XLOOKUP(A271,MktTitle,MktTotVol,0)</f>
        <v/>
      </c>
      <c r="K271">
        <f>IF(H271&gt;WhaleThreshold,"WHALE","")</f>
        <v/>
      </c>
    </row>
    <row r="272">
      <c r="A272" t="inlineStr">
        <is>
          <t>Will USA win the 2026 FIFA World Cup?</t>
        </is>
      </c>
      <c r="B272" s="4" t="n">
        <v>46205</v>
      </c>
      <c r="C272" s="5" t="n">
        <v>46205.94116898148</v>
      </c>
      <c r="D272" t="inlineStr">
        <is>
          <t>SELL</t>
        </is>
      </c>
      <c r="E272" t="inlineStr">
        <is>
          <t>Yes</t>
        </is>
      </c>
      <c r="F272" s="2" t="n">
        <v>0.026</v>
      </c>
      <c r="G272" s="6" t="n">
        <v>47.61</v>
      </c>
      <c r="H272" s="6">
        <f>F272*G272</f>
        <v/>
      </c>
      <c r="I272">
        <f>_xlfn.XLOOKUP(A272,MktTitle,MktCat,"n/a")</f>
        <v/>
      </c>
      <c r="J272" s="3">
        <f>_xlfn.XLOOKUP(A272,MktTitle,MktTotVol,0)</f>
        <v/>
      </c>
      <c r="K272">
        <f>IF(H272&gt;WhaleThreshold,"WHALE","")</f>
        <v/>
      </c>
    </row>
    <row r="273">
      <c r="A273" t="inlineStr">
        <is>
          <t>Will USA win the 2026 FIFA World Cup?</t>
        </is>
      </c>
      <c r="B273" s="4" t="n">
        <v>46205</v>
      </c>
      <c r="C273" s="5" t="n">
        <v>46205.93953703704</v>
      </c>
      <c r="D273" t="inlineStr">
        <is>
          <t>SELL</t>
        </is>
      </c>
      <c r="E273" t="inlineStr">
        <is>
          <t>Yes</t>
        </is>
      </c>
      <c r="F273" s="2" t="n">
        <v>0.027</v>
      </c>
      <c r="G273" s="6" t="n">
        <v>11429.72</v>
      </c>
      <c r="H273" s="6">
        <f>F273*G273</f>
        <v/>
      </c>
      <c r="I273">
        <f>_xlfn.XLOOKUP(A273,MktTitle,MktCat,"n/a")</f>
        <v/>
      </c>
      <c r="J273" s="3">
        <f>_xlfn.XLOOKUP(A273,MktTitle,MktTotVol,0)</f>
        <v/>
      </c>
      <c r="K273">
        <f>IF(H273&gt;WhaleThreshold,"WHALE","")</f>
        <v/>
      </c>
    </row>
    <row r="274">
      <c r="A274" t="inlineStr">
        <is>
          <t>Will USA win the 2026 FIFA World Cup?</t>
        </is>
      </c>
      <c r="B274" s="4" t="n">
        <v>46205</v>
      </c>
      <c r="C274" s="5" t="n">
        <v>46205.93719907408</v>
      </c>
      <c r="D274" t="inlineStr">
        <is>
          <t>BUY</t>
        </is>
      </c>
      <c r="E274" t="inlineStr">
        <is>
          <t>Yes</t>
        </is>
      </c>
      <c r="F274" s="2" t="n">
        <v>0.028</v>
      </c>
      <c r="G274" s="6" t="n">
        <v>71.4286</v>
      </c>
      <c r="H274" s="6">
        <f>F274*G274</f>
        <v/>
      </c>
      <c r="I274">
        <f>_xlfn.XLOOKUP(A274,MktTitle,MktCat,"n/a")</f>
        <v/>
      </c>
      <c r="J274" s="3">
        <f>_xlfn.XLOOKUP(A274,MktTitle,MktTotVol,0)</f>
        <v/>
      </c>
      <c r="K274">
        <f>IF(H274&gt;WhaleThreshold,"WHALE","")</f>
        <v/>
      </c>
    </row>
    <row r="275">
      <c r="A275" t="inlineStr">
        <is>
          <t>Will USA win the 2026 FIFA World Cup?</t>
        </is>
      </c>
      <c r="B275" s="4" t="n">
        <v>46205</v>
      </c>
      <c r="C275" s="5" t="n">
        <v>46205.93564814814</v>
      </c>
      <c r="D275" t="inlineStr">
        <is>
          <t>SELL</t>
        </is>
      </c>
      <c r="E275" t="inlineStr">
        <is>
          <t>No</t>
        </is>
      </c>
      <c r="F275" s="2" t="n">
        <v>0.972</v>
      </c>
      <c r="G275" s="6" t="n">
        <v>48.36</v>
      </c>
      <c r="H275" s="6">
        <f>F275*G275</f>
        <v/>
      </c>
      <c r="I275">
        <f>_xlfn.XLOOKUP(A275,MktTitle,MktCat,"n/a")</f>
        <v/>
      </c>
      <c r="J275" s="3">
        <f>_xlfn.XLOOKUP(A275,MktTitle,MktTotVol,0)</f>
        <v/>
      </c>
      <c r="K275">
        <f>IF(H275&gt;WhaleThreshold,"WHALE","")</f>
        <v/>
      </c>
    </row>
    <row r="276">
      <c r="A276" t="inlineStr">
        <is>
          <t>Will USA win the 2026 FIFA World Cup?</t>
        </is>
      </c>
      <c r="B276" s="4" t="n">
        <v>46205</v>
      </c>
      <c r="C276" s="5" t="n">
        <v>46205.93251157407</v>
      </c>
      <c r="D276" t="inlineStr">
        <is>
          <t>SELL</t>
        </is>
      </c>
      <c r="E276" t="inlineStr">
        <is>
          <t>No</t>
        </is>
      </c>
      <c r="F276" s="2" t="n">
        <v>0.972</v>
      </c>
      <c r="G276" s="6" t="n">
        <v>5.2</v>
      </c>
      <c r="H276" s="6">
        <f>F276*G276</f>
        <v/>
      </c>
      <c r="I276">
        <f>_xlfn.XLOOKUP(A276,MktTitle,MktCat,"n/a")</f>
        <v/>
      </c>
      <c r="J276" s="3">
        <f>_xlfn.XLOOKUP(A276,MktTitle,MktTotVol,0)</f>
        <v/>
      </c>
      <c r="K276">
        <f>IF(H276&gt;WhaleThreshold,"WHALE","")</f>
        <v/>
      </c>
    </row>
    <row r="277">
      <c r="A277" t="inlineStr">
        <is>
          <t>Will USA win the 2026 FIFA World Cup?</t>
        </is>
      </c>
      <c r="B277" s="4" t="n">
        <v>46205</v>
      </c>
      <c r="C277" s="5" t="n">
        <v>46205.93234953703</v>
      </c>
      <c r="D277" t="inlineStr">
        <is>
          <t>SELL</t>
        </is>
      </c>
      <c r="E277" t="inlineStr">
        <is>
          <t>Yes</t>
        </is>
      </c>
      <c r="F277" s="2" t="n">
        <v>0.027</v>
      </c>
      <c r="G277" s="6" t="n">
        <v>10.22</v>
      </c>
      <c r="H277" s="6">
        <f>F277*G277</f>
        <v/>
      </c>
      <c r="I277">
        <f>_xlfn.XLOOKUP(A277,MktTitle,MktCat,"n/a")</f>
        <v/>
      </c>
      <c r="J277" s="3">
        <f>_xlfn.XLOOKUP(A277,MktTitle,MktTotVol,0)</f>
        <v/>
      </c>
      <c r="K277">
        <f>IF(H277&gt;WhaleThreshold,"WHALE","")</f>
        <v/>
      </c>
    </row>
    <row r="278">
      <c r="A278" t="inlineStr">
        <is>
          <t>Will USA win the 2026 FIFA World Cup?</t>
        </is>
      </c>
      <c r="B278" s="4" t="n">
        <v>46205</v>
      </c>
      <c r="C278" s="5" t="n">
        <v>46205.93206018519</v>
      </c>
      <c r="D278" t="inlineStr">
        <is>
          <t>SELL</t>
        </is>
      </c>
      <c r="E278" t="inlineStr">
        <is>
          <t>Yes</t>
        </is>
      </c>
      <c r="F278" s="2" t="n">
        <v>0.027</v>
      </c>
      <c r="G278" s="6" t="n">
        <v>144.13</v>
      </c>
      <c r="H278" s="6">
        <f>F278*G278</f>
        <v/>
      </c>
      <c r="I278">
        <f>_xlfn.XLOOKUP(A278,MktTitle,MktCat,"n/a")</f>
        <v/>
      </c>
      <c r="J278" s="3">
        <f>_xlfn.XLOOKUP(A278,MktTitle,MktTotVol,0)</f>
        <v/>
      </c>
      <c r="K278">
        <f>IF(H278&gt;WhaleThreshold,"WHALE","")</f>
        <v/>
      </c>
    </row>
    <row r="279">
      <c r="A279" t="inlineStr">
        <is>
          <t>Will USA win the 2026 FIFA World Cup?</t>
        </is>
      </c>
      <c r="B279" s="4" t="n">
        <v>46205</v>
      </c>
      <c r="C279" s="5" t="n">
        <v>46205.93061342592</v>
      </c>
      <c r="D279" t="inlineStr">
        <is>
          <t>SELL</t>
        </is>
      </c>
      <c r="E279" t="inlineStr">
        <is>
          <t>Yes</t>
        </is>
      </c>
      <c r="F279" s="2" t="n">
        <v>0.027</v>
      </c>
      <c r="G279" s="6" t="n">
        <v>902.9</v>
      </c>
      <c r="H279" s="6">
        <f>F279*G279</f>
        <v/>
      </c>
      <c r="I279">
        <f>_xlfn.XLOOKUP(A279,MktTitle,MktCat,"n/a")</f>
        <v/>
      </c>
      <c r="J279" s="3">
        <f>_xlfn.XLOOKUP(A279,MktTitle,MktTotVol,0)</f>
        <v/>
      </c>
      <c r="K279">
        <f>IF(H279&gt;WhaleThreshold,"WHALE","")</f>
        <v/>
      </c>
    </row>
    <row r="280">
      <c r="A280" t="inlineStr">
        <is>
          <t>Will USA win the 2026 FIFA World Cup?</t>
        </is>
      </c>
      <c r="B280" s="4" t="n">
        <v>46205</v>
      </c>
      <c r="C280" s="5" t="n">
        <v>46205.9255324074</v>
      </c>
      <c r="D280" t="inlineStr">
        <is>
          <t>SELL</t>
        </is>
      </c>
      <c r="E280" t="inlineStr">
        <is>
          <t>Yes</t>
        </is>
      </c>
      <c r="F280" s="2" t="n">
        <v>0.027</v>
      </c>
      <c r="G280" s="6" t="n">
        <v>3952.6</v>
      </c>
      <c r="H280" s="6">
        <f>F280*G280</f>
        <v/>
      </c>
      <c r="I280">
        <f>_xlfn.XLOOKUP(A280,MktTitle,MktCat,"n/a")</f>
        <v/>
      </c>
      <c r="J280" s="3">
        <f>_xlfn.XLOOKUP(A280,MktTitle,MktTotVol,0)</f>
        <v/>
      </c>
      <c r="K280">
        <f>IF(H280&gt;WhaleThreshold,"WHALE","")</f>
        <v/>
      </c>
    </row>
    <row r="281">
      <c r="A281" t="inlineStr">
        <is>
          <t>Will USA win the 2026 FIFA World Cup?</t>
        </is>
      </c>
      <c r="B281" s="4" t="n">
        <v>46205</v>
      </c>
      <c r="C281" s="5" t="n">
        <v>46205.9252662037</v>
      </c>
      <c r="D281" t="inlineStr">
        <is>
          <t>BUY</t>
        </is>
      </c>
      <c r="E281" t="inlineStr">
        <is>
          <t>Yes</t>
        </is>
      </c>
      <c r="F281" s="2" t="n">
        <v>0.028</v>
      </c>
      <c r="G281" s="6" t="n">
        <v>69.28570000000001</v>
      </c>
      <c r="H281" s="6">
        <f>F281*G281</f>
        <v/>
      </c>
      <c r="I281">
        <f>_xlfn.XLOOKUP(A281,MktTitle,MktCat,"n/a")</f>
        <v/>
      </c>
      <c r="J281" s="3">
        <f>_xlfn.XLOOKUP(A281,MktTitle,MktTotVol,0)</f>
        <v/>
      </c>
      <c r="K281">
        <f>IF(H281&gt;WhaleThreshold,"WHALE","")</f>
        <v/>
      </c>
    </row>
    <row r="282">
      <c r="A282" t="inlineStr">
        <is>
          <t>Will USA win the 2026 FIFA World Cup?</t>
        </is>
      </c>
      <c r="B282" s="4" t="n">
        <v>46205</v>
      </c>
      <c r="C282" s="5" t="n">
        <v>46205.92363425926</v>
      </c>
      <c r="D282" t="inlineStr">
        <is>
          <t>SELL</t>
        </is>
      </c>
      <c r="E282" t="inlineStr">
        <is>
          <t>Yes</t>
        </is>
      </c>
      <c r="F282" s="2" t="n">
        <v>0.027</v>
      </c>
      <c r="G282" s="6" t="n">
        <v>33.1</v>
      </c>
      <c r="H282" s="6">
        <f>F282*G282</f>
        <v/>
      </c>
      <c r="I282">
        <f>_xlfn.XLOOKUP(A282,MktTitle,MktCat,"n/a")</f>
        <v/>
      </c>
      <c r="J282" s="3">
        <f>_xlfn.XLOOKUP(A282,MktTitle,MktTotVol,0)</f>
        <v/>
      </c>
      <c r="K282">
        <f>IF(H282&gt;WhaleThreshold,"WHALE","")</f>
        <v/>
      </c>
    </row>
    <row r="283">
      <c r="A283" t="inlineStr">
        <is>
          <t>Will USA win the 2026 FIFA World Cup?</t>
        </is>
      </c>
      <c r="B283" s="4" t="n">
        <v>46205</v>
      </c>
      <c r="C283" s="5" t="n">
        <v>46205.92230324074</v>
      </c>
      <c r="D283" t="inlineStr">
        <is>
          <t>SELL</t>
        </is>
      </c>
      <c r="E283" t="inlineStr">
        <is>
          <t>No</t>
        </is>
      </c>
      <c r="F283" s="2" t="n">
        <v>0.972</v>
      </c>
      <c r="G283" s="6" t="n">
        <v>51.11</v>
      </c>
      <c r="H283" s="6">
        <f>F283*G283</f>
        <v/>
      </c>
      <c r="I283">
        <f>_xlfn.XLOOKUP(A283,MktTitle,MktCat,"n/a")</f>
        <v/>
      </c>
      <c r="J283" s="3">
        <f>_xlfn.XLOOKUP(A283,MktTitle,MktTotVol,0)</f>
        <v/>
      </c>
      <c r="K283">
        <f>IF(H283&gt;WhaleThreshold,"WHALE","")</f>
        <v/>
      </c>
    </row>
    <row r="284">
      <c r="A284" t="inlineStr">
        <is>
          <t>Will USA win the 2026 FIFA World Cup?</t>
        </is>
      </c>
      <c r="B284" s="4" t="n">
        <v>46205</v>
      </c>
      <c r="C284" s="5" t="n">
        <v>46205.92171296296</v>
      </c>
      <c r="D284" t="inlineStr">
        <is>
          <t>SELL</t>
        </is>
      </c>
      <c r="E284" t="inlineStr">
        <is>
          <t>No</t>
        </is>
      </c>
      <c r="F284" s="2" t="n">
        <v>0.972</v>
      </c>
      <c r="G284" s="6" t="n">
        <v>49.22</v>
      </c>
      <c r="H284" s="6">
        <f>F284*G284</f>
        <v/>
      </c>
      <c r="I284">
        <f>_xlfn.XLOOKUP(A284,MktTitle,MktCat,"n/a")</f>
        <v/>
      </c>
      <c r="J284" s="3">
        <f>_xlfn.XLOOKUP(A284,MktTitle,MktTotVol,0)</f>
        <v/>
      </c>
      <c r="K284">
        <f>IF(H284&gt;WhaleThreshold,"WHALE","")</f>
        <v/>
      </c>
    </row>
    <row r="285">
      <c r="A285" t="inlineStr">
        <is>
          <t>Will USA win the 2026 FIFA World Cup?</t>
        </is>
      </c>
      <c r="B285" s="4" t="n">
        <v>46205</v>
      </c>
      <c r="C285" s="5" t="n">
        <v>46205.91709490741</v>
      </c>
      <c r="D285" t="inlineStr">
        <is>
          <t>BUY</t>
        </is>
      </c>
      <c r="E285" t="inlineStr">
        <is>
          <t>Yes</t>
        </is>
      </c>
      <c r="F285" s="2" t="n">
        <v>0.028</v>
      </c>
      <c r="G285" s="6" t="n">
        <v>35.7143</v>
      </c>
      <c r="H285" s="6">
        <f>F285*G285</f>
        <v/>
      </c>
      <c r="I285">
        <f>_xlfn.XLOOKUP(A285,MktTitle,MktCat,"n/a")</f>
        <v/>
      </c>
      <c r="J285" s="3">
        <f>_xlfn.XLOOKUP(A285,MktTitle,MktTotVol,0)</f>
        <v/>
      </c>
      <c r="K285">
        <f>IF(H285&gt;WhaleThreshold,"WHALE","")</f>
        <v/>
      </c>
    </row>
    <row r="286">
      <c r="A286" t="inlineStr">
        <is>
          <t>Will USA win the 2026 FIFA World Cup?</t>
        </is>
      </c>
      <c r="B286" s="4" t="n">
        <v>46205</v>
      </c>
      <c r="C286" s="5" t="n">
        <v>46205.91627314815</v>
      </c>
      <c r="D286" t="inlineStr">
        <is>
          <t>BUY</t>
        </is>
      </c>
      <c r="E286" t="inlineStr">
        <is>
          <t>Yes</t>
        </is>
      </c>
      <c r="F286" s="2" t="n">
        <v>0.028</v>
      </c>
      <c r="G286" s="6" t="n">
        <v>500</v>
      </c>
      <c r="H286" s="6">
        <f>F286*G286</f>
        <v/>
      </c>
      <c r="I286">
        <f>_xlfn.XLOOKUP(A286,MktTitle,MktCat,"n/a")</f>
        <v/>
      </c>
      <c r="J286" s="3">
        <f>_xlfn.XLOOKUP(A286,MktTitle,MktTotVol,0)</f>
        <v/>
      </c>
      <c r="K286">
        <f>IF(H286&gt;WhaleThreshold,"WHALE","")</f>
        <v/>
      </c>
    </row>
    <row r="287">
      <c r="A287" t="inlineStr">
        <is>
          <t>Will USA win the 2026 FIFA World Cup?</t>
        </is>
      </c>
      <c r="B287" s="4" t="n">
        <v>46205</v>
      </c>
      <c r="C287" s="5" t="n">
        <v>46205.91469907408</v>
      </c>
      <c r="D287" t="inlineStr">
        <is>
          <t>BUY</t>
        </is>
      </c>
      <c r="E287" t="inlineStr">
        <is>
          <t>Yes</t>
        </is>
      </c>
      <c r="F287" s="2" t="n">
        <v>0.028</v>
      </c>
      <c r="G287" s="6" t="n">
        <v>214.2857</v>
      </c>
      <c r="H287" s="6">
        <f>F287*G287</f>
        <v/>
      </c>
      <c r="I287">
        <f>_xlfn.XLOOKUP(A287,MktTitle,MktCat,"n/a")</f>
        <v/>
      </c>
      <c r="J287" s="3">
        <f>_xlfn.XLOOKUP(A287,MktTitle,MktTotVol,0)</f>
        <v/>
      </c>
      <c r="K287">
        <f>IF(H287&gt;WhaleThreshold,"WHALE","")</f>
        <v/>
      </c>
    </row>
    <row r="288">
      <c r="A288" t="inlineStr">
        <is>
          <t>Will USA win the 2026 FIFA World Cup?</t>
        </is>
      </c>
      <c r="B288" s="4" t="n">
        <v>46205</v>
      </c>
      <c r="C288" s="5" t="n">
        <v>46205.91186342593</v>
      </c>
      <c r="D288" t="inlineStr">
        <is>
          <t>BUY</t>
        </is>
      </c>
      <c r="E288" t="inlineStr">
        <is>
          <t>Yes</t>
        </is>
      </c>
      <c r="F288" s="2" t="n">
        <v>0.028</v>
      </c>
      <c r="G288" s="6" t="n">
        <v>178.5714</v>
      </c>
      <c r="H288" s="6">
        <f>F288*G288</f>
        <v/>
      </c>
      <c r="I288">
        <f>_xlfn.XLOOKUP(A288,MktTitle,MktCat,"n/a")</f>
        <v/>
      </c>
      <c r="J288" s="3">
        <f>_xlfn.XLOOKUP(A288,MktTitle,MktTotVol,0)</f>
        <v/>
      </c>
      <c r="K288">
        <f>IF(H288&gt;WhaleThreshold,"WHALE","")</f>
        <v/>
      </c>
    </row>
    <row r="289">
      <c r="A289" t="inlineStr">
        <is>
          <t>Will USA win the 2026 FIFA World Cup?</t>
        </is>
      </c>
      <c r="B289" s="4" t="n">
        <v>46205</v>
      </c>
      <c r="C289" s="5" t="n">
        <v>46205.9112037037</v>
      </c>
      <c r="D289" t="inlineStr">
        <is>
          <t>SELL</t>
        </is>
      </c>
      <c r="E289" t="inlineStr">
        <is>
          <t>Yes</t>
        </is>
      </c>
      <c r="F289" s="2" t="n">
        <v>0.027</v>
      </c>
      <c r="G289" s="6" t="n">
        <v>47.61</v>
      </c>
      <c r="H289" s="6">
        <f>F289*G289</f>
        <v/>
      </c>
      <c r="I289">
        <f>_xlfn.XLOOKUP(A289,MktTitle,MktCat,"n/a")</f>
        <v/>
      </c>
      <c r="J289" s="3">
        <f>_xlfn.XLOOKUP(A289,MktTitle,MktTotVol,0)</f>
        <v/>
      </c>
      <c r="K289">
        <f>IF(H289&gt;WhaleThreshold,"WHALE","")</f>
        <v/>
      </c>
    </row>
    <row r="290">
      <c r="A290" t="inlineStr">
        <is>
          <t>Will USA win the 2026 FIFA World Cup?</t>
        </is>
      </c>
      <c r="B290" s="4" t="n">
        <v>46205</v>
      </c>
      <c r="C290" s="5" t="n">
        <v>46205.91109953704</v>
      </c>
      <c r="D290" t="inlineStr">
        <is>
          <t>SELL</t>
        </is>
      </c>
      <c r="E290" t="inlineStr">
        <is>
          <t>Yes</t>
        </is>
      </c>
      <c r="F290" s="2" t="n">
        <v>0.027</v>
      </c>
      <c r="G290" s="6" t="n">
        <v>1166.66</v>
      </c>
      <c r="H290" s="6">
        <f>F290*G290</f>
        <v/>
      </c>
      <c r="I290">
        <f>_xlfn.XLOOKUP(A290,MktTitle,MktCat,"n/a")</f>
        <v/>
      </c>
      <c r="J290" s="3">
        <f>_xlfn.XLOOKUP(A290,MktTitle,MktTotVol,0)</f>
        <v/>
      </c>
      <c r="K290">
        <f>IF(H290&gt;WhaleThreshold,"WHALE","")</f>
        <v/>
      </c>
    </row>
    <row r="291">
      <c r="A291" t="inlineStr">
        <is>
          <t>Will USA win the 2026 FIFA World Cup?</t>
        </is>
      </c>
      <c r="B291" s="4" t="n">
        <v>46205</v>
      </c>
      <c r="C291" s="5" t="n">
        <v>46205.91105324074</v>
      </c>
      <c r="D291" t="inlineStr">
        <is>
          <t>BUY</t>
        </is>
      </c>
      <c r="E291" t="inlineStr">
        <is>
          <t>Yes</t>
        </is>
      </c>
      <c r="F291" s="2" t="n">
        <v>0.028</v>
      </c>
      <c r="G291" s="6" t="n">
        <v>69.28570000000001</v>
      </c>
      <c r="H291" s="6">
        <f>F291*G291</f>
        <v/>
      </c>
      <c r="I291">
        <f>_xlfn.XLOOKUP(A291,MktTitle,MktCat,"n/a")</f>
        <v/>
      </c>
      <c r="J291" s="3">
        <f>_xlfn.XLOOKUP(A291,MktTitle,MktTotVol,0)</f>
        <v/>
      </c>
      <c r="K291">
        <f>IF(H291&gt;WhaleThreshold,"WHALE","")</f>
        <v/>
      </c>
    </row>
    <row r="292">
      <c r="A292" t="inlineStr">
        <is>
          <t>Will USA win the 2026 FIFA World Cup?</t>
        </is>
      </c>
      <c r="B292" s="4" t="n">
        <v>46205</v>
      </c>
      <c r="C292" s="5" t="n">
        <v>46205.90876157407</v>
      </c>
      <c r="D292" t="inlineStr">
        <is>
          <t>BUY</t>
        </is>
      </c>
      <c r="E292" t="inlineStr">
        <is>
          <t>Yes</t>
        </is>
      </c>
      <c r="F292" s="2" t="n">
        <v>0.028</v>
      </c>
      <c r="G292" s="6" t="n">
        <v>178.5714</v>
      </c>
      <c r="H292" s="6">
        <f>F292*G292</f>
        <v/>
      </c>
      <c r="I292">
        <f>_xlfn.XLOOKUP(A292,MktTitle,MktCat,"n/a")</f>
        <v/>
      </c>
      <c r="J292" s="3">
        <f>_xlfn.XLOOKUP(A292,MktTitle,MktTotVol,0)</f>
        <v/>
      </c>
      <c r="K292">
        <f>IF(H292&gt;WhaleThreshold,"WHALE","")</f>
        <v/>
      </c>
    </row>
    <row r="293">
      <c r="A293" t="inlineStr">
        <is>
          <t>Will USA win the 2026 FIFA World Cup?</t>
        </is>
      </c>
      <c r="B293" s="4" t="n">
        <v>46205</v>
      </c>
      <c r="C293" s="5" t="n">
        <v>46205.90721064815</v>
      </c>
      <c r="D293" t="inlineStr">
        <is>
          <t>BUY</t>
        </is>
      </c>
      <c r="E293" t="inlineStr">
        <is>
          <t>Yes</t>
        </is>
      </c>
      <c r="F293" s="2" t="n">
        <v>0.028</v>
      </c>
      <c r="G293" s="6" t="n">
        <v>428.5714</v>
      </c>
      <c r="H293" s="6">
        <f>F293*G293</f>
        <v/>
      </c>
      <c r="I293">
        <f>_xlfn.XLOOKUP(A293,MktTitle,MktCat,"n/a")</f>
        <v/>
      </c>
      <c r="J293" s="3">
        <f>_xlfn.XLOOKUP(A293,MktTitle,MktTotVol,0)</f>
        <v/>
      </c>
      <c r="K293">
        <f>IF(H293&gt;WhaleThreshold,"WHALE","")</f>
        <v/>
      </c>
    </row>
    <row r="294">
      <c r="A294" t="inlineStr">
        <is>
          <t>Will USA win the 2026 FIFA World Cup?</t>
        </is>
      </c>
      <c r="B294" s="4" t="n">
        <v>46205</v>
      </c>
      <c r="C294" s="5" t="n">
        <v>46205.90709490741</v>
      </c>
      <c r="D294" t="inlineStr">
        <is>
          <t>BUY</t>
        </is>
      </c>
      <c r="E294" t="inlineStr">
        <is>
          <t>No</t>
        </is>
      </c>
      <c r="F294" s="2" t="n">
        <v>0.973</v>
      </c>
      <c r="G294" s="6" t="n">
        <v>47.5128</v>
      </c>
      <c r="H294" s="6">
        <f>F294*G294</f>
        <v/>
      </c>
      <c r="I294">
        <f>_xlfn.XLOOKUP(A294,MktTitle,MktCat,"n/a")</f>
        <v/>
      </c>
      <c r="J294" s="3">
        <f>_xlfn.XLOOKUP(A294,MktTitle,MktTotVol,0)</f>
        <v/>
      </c>
      <c r="K294">
        <f>IF(H294&gt;WhaleThreshold,"WHALE","")</f>
        <v/>
      </c>
    </row>
    <row r="295">
      <c r="A295" t="inlineStr">
        <is>
          <t>Will USA win the 2026 FIFA World Cup?</t>
        </is>
      </c>
      <c r="B295" s="4" t="n">
        <v>46205</v>
      </c>
      <c r="C295" s="5" t="n">
        <v>46205.90390046296</v>
      </c>
      <c r="D295" t="inlineStr">
        <is>
          <t>BUY</t>
        </is>
      </c>
      <c r="E295" t="inlineStr">
        <is>
          <t>Yes</t>
        </is>
      </c>
      <c r="F295" s="2" t="n">
        <v>0.028</v>
      </c>
      <c r="G295" s="6" t="n">
        <v>428.2143</v>
      </c>
      <c r="H295" s="6">
        <f>F295*G295</f>
        <v/>
      </c>
      <c r="I295">
        <f>_xlfn.XLOOKUP(A295,MktTitle,MktCat,"n/a")</f>
        <v/>
      </c>
      <c r="J295" s="3">
        <f>_xlfn.XLOOKUP(A295,MktTitle,MktTotVol,0)</f>
        <v/>
      </c>
      <c r="K295">
        <f>IF(H295&gt;WhaleThreshold,"WHALE","")</f>
        <v/>
      </c>
    </row>
    <row r="296">
      <c r="A296" t="inlineStr">
        <is>
          <t>Will USA win the 2026 FIFA World Cup?</t>
        </is>
      </c>
      <c r="B296" s="4" t="n">
        <v>46205</v>
      </c>
      <c r="C296" s="5" t="n">
        <v>46205.90372685185</v>
      </c>
      <c r="D296" t="inlineStr">
        <is>
          <t>SELL</t>
        </is>
      </c>
      <c r="E296" t="inlineStr">
        <is>
          <t>Yes</t>
        </is>
      </c>
      <c r="F296" s="2" t="n">
        <v>0.027</v>
      </c>
      <c r="G296" s="6" t="n">
        <v>43213.28</v>
      </c>
      <c r="H296" s="6">
        <f>F296*G296</f>
        <v/>
      </c>
      <c r="I296">
        <f>_xlfn.XLOOKUP(A296,MktTitle,MktCat,"n/a")</f>
        <v/>
      </c>
      <c r="J296" s="3">
        <f>_xlfn.XLOOKUP(A296,MktTitle,MktTotVol,0)</f>
        <v/>
      </c>
      <c r="K296">
        <f>IF(H296&gt;WhaleThreshold,"WHALE","")</f>
        <v/>
      </c>
    </row>
    <row r="297">
      <c r="A297" t="inlineStr">
        <is>
          <t>Will USA win the 2026 FIFA World Cup?</t>
        </is>
      </c>
      <c r="B297" s="4" t="n">
        <v>46205</v>
      </c>
      <c r="C297" s="5" t="n">
        <v>46205.90353009259</v>
      </c>
      <c r="D297" t="inlineStr">
        <is>
          <t>SELL</t>
        </is>
      </c>
      <c r="E297" t="inlineStr">
        <is>
          <t>Yes</t>
        </is>
      </c>
      <c r="F297" s="2" t="n">
        <v>0.027</v>
      </c>
      <c r="G297" s="6" t="n">
        <v>178.57</v>
      </c>
      <c r="H297" s="6">
        <f>F297*G297</f>
        <v/>
      </c>
      <c r="I297">
        <f>_xlfn.XLOOKUP(A297,MktTitle,MktCat,"n/a")</f>
        <v/>
      </c>
      <c r="J297" s="3">
        <f>_xlfn.XLOOKUP(A297,MktTitle,MktTotVol,0)</f>
        <v/>
      </c>
      <c r="K297">
        <f>IF(H297&gt;WhaleThreshold,"WHALE","")</f>
        <v/>
      </c>
    </row>
    <row r="298">
      <c r="A298" t="inlineStr">
        <is>
          <t>Will USA win the 2026 FIFA World Cup?</t>
        </is>
      </c>
      <c r="B298" s="4" t="n">
        <v>46205</v>
      </c>
      <c r="C298" s="5" t="n">
        <v>46205.89949074074</v>
      </c>
      <c r="D298" t="inlineStr">
        <is>
          <t>BUY</t>
        </is>
      </c>
      <c r="E298" t="inlineStr">
        <is>
          <t>Yes</t>
        </is>
      </c>
      <c r="F298" s="2" t="n">
        <v>0.028</v>
      </c>
      <c r="G298" s="6" t="n">
        <v>35.7143</v>
      </c>
      <c r="H298" s="6">
        <f>F298*G298</f>
        <v/>
      </c>
      <c r="I298">
        <f>_xlfn.XLOOKUP(A298,MktTitle,MktCat,"n/a")</f>
        <v/>
      </c>
      <c r="J298" s="3">
        <f>_xlfn.XLOOKUP(A298,MktTitle,MktTotVol,0)</f>
        <v/>
      </c>
      <c r="K298">
        <f>IF(H298&gt;WhaleThreshold,"WHALE","")</f>
        <v/>
      </c>
    </row>
    <row r="299">
      <c r="A299" t="inlineStr">
        <is>
          <t>Will USA win the 2026 FIFA World Cup?</t>
        </is>
      </c>
      <c r="B299" s="4" t="n">
        <v>46205</v>
      </c>
      <c r="C299" s="5" t="n">
        <v>46205.89502314815</v>
      </c>
      <c r="D299" t="inlineStr">
        <is>
          <t>SELL</t>
        </is>
      </c>
      <c r="E299" t="inlineStr">
        <is>
          <t>No</t>
        </is>
      </c>
      <c r="F299" s="2" t="n">
        <v>0.972</v>
      </c>
      <c r="G299" s="6" t="n">
        <v>56.41</v>
      </c>
      <c r="H299" s="6">
        <f>F299*G299</f>
        <v/>
      </c>
      <c r="I299">
        <f>_xlfn.XLOOKUP(A299,MktTitle,MktCat,"n/a")</f>
        <v/>
      </c>
      <c r="J299" s="3">
        <f>_xlfn.XLOOKUP(A299,MktTitle,MktTotVol,0)</f>
        <v/>
      </c>
      <c r="K299">
        <f>IF(H299&gt;WhaleThreshold,"WHALE","")</f>
        <v/>
      </c>
    </row>
    <row r="300">
      <c r="A300" t="inlineStr">
        <is>
          <t>Will USA win the 2026 FIFA World Cup?</t>
        </is>
      </c>
      <c r="B300" s="4" t="n">
        <v>46205</v>
      </c>
      <c r="C300" s="5" t="n">
        <v>46205.89050925926</v>
      </c>
      <c r="D300" t="inlineStr">
        <is>
          <t>SELL</t>
        </is>
      </c>
      <c r="E300" t="inlineStr">
        <is>
          <t>Yes</t>
        </is>
      </c>
      <c r="F300" s="2" t="n">
        <v>0.027</v>
      </c>
      <c r="G300" s="6" t="n">
        <v>661.25</v>
      </c>
      <c r="H300" s="6">
        <f>F300*G300</f>
        <v/>
      </c>
      <c r="I300">
        <f>_xlfn.XLOOKUP(A300,MktTitle,MktCat,"n/a")</f>
        <v/>
      </c>
      <c r="J300" s="3">
        <f>_xlfn.XLOOKUP(A300,MktTitle,MktTotVol,0)</f>
        <v/>
      </c>
      <c r="K300">
        <f>IF(H300&gt;WhaleThreshold,"WHALE","")</f>
        <v/>
      </c>
    </row>
    <row r="301">
      <c r="A301" t="inlineStr">
        <is>
          <t>Will USA win the 2026 FIFA World Cup?</t>
        </is>
      </c>
      <c r="B301" s="4" t="n">
        <v>46205</v>
      </c>
      <c r="C301" s="5" t="n">
        <v>46205.89011574074</v>
      </c>
      <c r="D301" t="inlineStr">
        <is>
          <t>BUY</t>
        </is>
      </c>
      <c r="E301" t="inlineStr">
        <is>
          <t>No</t>
        </is>
      </c>
      <c r="F301" s="2" t="n">
        <v>0.973</v>
      </c>
      <c r="G301" s="6" t="n">
        <v>55.4676</v>
      </c>
      <c r="H301" s="6">
        <f>F301*G301</f>
        <v/>
      </c>
      <c r="I301">
        <f>_xlfn.XLOOKUP(A301,MktTitle,MktCat,"n/a")</f>
        <v/>
      </c>
      <c r="J301" s="3">
        <f>_xlfn.XLOOKUP(A301,MktTitle,MktTotVol,0)</f>
        <v/>
      </c>
      <c r="K301">
        <f>IF(H301&gt;WhaleThreshold,"WHALE","")</f>
        <v/>
      </c>
    </row>
    <row r="302">
      <c r="A302" t="inlineStr">
        <is>
          <t>Will Mexico win the 2026 FIFA World Cup?</t>
        </is>
      </c>
      <c r="B302" s="4" t="n">
        <v>46206</v>
      </c>
      <c r="C302" s="5" t="n">
        <v>46206.08563657408</v>
      </c>
      <c r="D302" t="inlineStr">
        <is>
          <t>SELL</t>
        </is>
      </c>
      <c r="E302" t="inlineStr">
        <is>
          <t>No</t>
        </is>
      </c>
      <c r="F302" s="2" t="n">
        <v>0.965</v>
      </c>
      <c r="G302" s="6" t="n">
        <v>34.16</v>
      </c>
      <c r="H302" s="6">
        <f>F302*G302</f>
        <v/>
      </c>
      <c r="I302">
        <f>_xlfn.XLOOKUP(A302,MktTitle,MktCat,"n/a")</f>
        <v/>
      </c>
      <c r="J302" s="3">
        <f>_xlfn.XLOOKUP(A302,MktTitle,MktTotVol,0)</f>
        <v/>
      </c>
      <c r="K302">
        <f>IF(H302&gt;WhaleThreshold,"WHALE","")</f>
        <v/>
      </c>
    </row>
    <row r="303">
      <c r="A303" t="inlineStr">
        <is>
          <t>Will Mexico win the 2026 FIFA World Cup?</t>
        </is>
      </c>
      <c r="B303" s="4" t="n">
        <v>46206</v>
      </c>
      <c r="C303" s="5" t="n">
        <v>46206.08494212963</v>
      </c>
      <c r="D303" t="inlineStr">
        <is>
          <t>BUY</t>
        </is>
      </c>
      <c r="E303" t="inlineStr">
        <is>
          <t>Yes</t>
        </is>
      </c>
      <c r="F303" s="2" t="n">
        <v>0.035</v>
      </c>
      <c r="G303" s="6" t="n">
        <v>3179.1429</v>
      </c>
      <c r="H303" s="6">
        <f>F303*G303</f>
        <v/>
      </c>
      <c r="I303">
        <f>_xlfn.XLOOKUP(A303,MktTitle,MktCat,"n/a")</f>
        <v/>
      </c>
      <c r="J303" s="3">
        <f>_xlfn.XLOOKUP(A303,MktTitle,MktTotVol,0)</f>
        <v/>
      </c>
      <c r="K303">
        <f>IF(H303&gt;WhaleThreshold,"WHALE","")</f>
        <v/>
      </c>
    </row>
    <row r="304">
      <c r="A304" t="inlineStr">
        <is>
          <t>Will Mexico win the 2026 FIFA World Cup?</t>
        </is>
      </c>
      <c r="B304" s="4" t="n">
        <v>46206</v>
      </c>
      <c r="C304" s="5" t="n">
        <v>46206.08266203704</v>
      </c>
      <c r="D304" t="inlineStr">
        <is>
          <t>BUY</t>
        </is>
      </c>
      <c r="E304" t="inlineStr">
        <is>
          <t>No</t>
        </is>
      </c>
      <c r="F304" s="2" t="n">
        <v>0.966</v>
      </c>
      <c r="G304" s="6" t="n">
        <v>5.0931</v>
      </c>
      <c r="H304" s="6">
        <f>F304*G304</f>
        <v/>
      </c>
      <c r="I304">
        <f>_xlfn.XLOOKUP(A304,MktTitle,MktCat,"n/a")</f>
        <v/>
      </c>
      <c r="J304" s="3">
        <f>_xlfn.XLOOKUP(A304,MktTitle,MktTotVol,0)</f>
        <v/>
      </c>
      <c r="K304">
        <f>IF(H304&gt;WhaleThreshold,"WHALE","")</f>
        <v/>
      </c>
    </row>
    <row r="305">
      <c r="A305" t="inlineStr">
        <is>
          <t>Will Mexico win the 2026 FIFA World Cup?</t>
        </is>
      </c>
      <c r="B305" s="4" t="n">
        <v>46206</v>
      </c>
      <c r="C305" s="5" t="n">
        <v>46206.08258101852</v>
      </c>
      <c r="D305" t="inlineStr">
        <is>
          <t>SELL</t>
        </is>
      </c>
      <c r="E305" t="inlineStr">
        <is>
          <t>No</t>
        </is>
      </c>
      <c r="F305" s="2" t="n">
        <v>0.965</v>
      </c>
      <c r="G305" s="6" t="n">
        <v>41.47</v>
      </c>
      <c r="H305" s="6">
        <f>F305*G305</f>
        <v/>
      </c>
      <c r="I305">
        <f>_xlfn.XLOOKUP(A305,MktTitle,MktCat,"n/a")</f>
        <v/>
      </c>
      <c r="J305" s="3">
        <f>_xlfn.XLOOKUP(A305,MktTitle,MktTotVol,0)</f>
        <v/>
      </c>
      <c r="K305">
        <f>IF(H305&gt;WhaleThreshold,"WHALE","")</f>
        <v/>
      </c>
    </row>
    <row r="306">
      <c r="A306" t="inlineStr">
        <is>
          <t>Will Mexico win the 2026 FIFA World Cup?</t>
        </is>
      </c>
      <c r="B306" s="4" t="n">
        <v>46206</v>
      </c>
      <c r="C306" s="5" t="n">
        <v>46206.0822337963</v>
      </c>
      <c r="D306" t="inlineStr">
        <is>
          <t>BUY</t>
        </is>
      </c>
      <c r="E306" t="inlineStr">
        <is>
          <t>No</t>
        </is>
      </c>
      <c r="F306" s="2" t="n">
        <v>0.966</v>
      </c>
      <c r="G306" s="6" t="n">
        <v>2836.0145</v>
      </c>
      <c r="H306" s="6">
        <f>F306*G306</f>
        <v/>
      </c>
      <c r="I306">
        <f>_xlfn.XLOOKUP(A306,MktTitle,MktCat,"n/a")</f>
        <v/>
      </c>
      <c r="J306" s="3">
        <f>_xlfn.XLOOKUP(A306,MktTitle,MktTotVol,0)</f>
        <v/>
      </c>
      <c r="K306">
        <f>IF(H306&gt;WhaleThreshold,"WHALE","")</f>
        <v/>
      </c>
    </row>
    <row r="307">
      <c r="A307" t="inlineStr">
        <is>
          <t>Will Mexico win the 2026 FIFA World Cup?</t>
        </is>
      </c>
      <c r="B307" s="4" t="n">
        <v>46206</v>
      </c>
      <c r="C307" s="5" t="n">
        <v>46206.0802662037</v>
      </c>
      <c r="D307" t="inlineStr">
        <is>
          <t>SELL</t>
        </is>
      </c>
      <c r="E307" t="inlineStr">
        <is>
          <t>Yes</t>
        </is>
      </c>
      <c r="F307" s="2" t="n">
        <v>0.034</v>
      </c>
      <c r="G307" s="6" t="n">
        <v>3213.37</v>
      </c>
      <c r="H307" s="6">
        <f>F307*G307</f>
        <v/>
      </c>
      <c r="I307">
        <f>_xlfn.XLOOKUP(A307,MktTitle,MktCat,"n/a")</f>
        <v/>
      </c>
      <c r="J307" s="3">
        <f>_xlfn.XLOOKUP(A307,MktTitle,MktTotVol,0)</f>
        <v/>
      </c>
      <c r="K307">
        <f>IF(H307&gt;WhaleThreshold,"WHALE","")</f>
        <v/>
      </c>
    </row>
    <row r="308">
      <c r="A308" t="inlineStr">
        <is>
          <t>Will Mexico win the 2026 FIFA World Cup?</t>
        </is>
      </c>
      <c r="B308" s="4" t="n">
        <v>46206</v>
      </c>
      <c r="C308" s="5" t="n">
        <v>46206.07924768519</v>
      </c>
      <c r="D308" t="inlineStr">
        <is>
          <t>SELL</t>
        </is>
      </c>
      <c r="E308" t="inlineStr">
        <is>
          <t>No</t>
        </is>
      </c>
      <c r="F308" s="2" t="n">
        <v>0.965</v>
      </c>
      <c r="G308" s="6" t="n">
        <v>18.67</v>
      </c>
      <c r="H308" s="6">
        <f>F308*G308</f>
        <v/>
      </c>
      <c r="I308">
        <f>_xlfn.XLOOKUP(A308,MktTitle,MktCat,"n/a")</f>
        <v/>
      </c>
      <c r="J308" s="3">
        <f>_xlfn.XLOOKUP(A308,MktTitle,MktTotVol,0)</f>
        <v/>
      </c>
      <c r="K308">
        <f>IF(H308&gt;WhaleThreshold,"WHALE","")</f>
        <v/>
      </c>
    </row>
    <row r="309">
      <c r="A309" t="inlineStr">
        <is>
          <t>Will Mexico win the 2026 FIFA World Cup?</t>
        </is>
      </c>
      <c r="B309" s="4" t="n">
        <v>46206</v>
      </c>
      <c r="C309" s="5" t="n">
        <v>46206.07896990741</v>
      </c>
      <c r="D309" t="inlineStr">
        <is>
          <t>BUY</t>
        </is>
      </c>
      <c r="E309" t="inlineStr">
        <is>
          <t>No</t>
        </is>
      </c>
      <c r="F309" s="2" t="n">
        <v>0.966</v>
      </c>
      <c r="G309" s="6" t="n">
        <v>18.67</v>
      </c>
      <c r="H309" s="6">
        <f>F309*G309</f>
        <v/>
      </c>
      <c r="I309">
        <f>_xlfn.XLOOKUP(A309,MktTitle,MktCat,"n/a")</f>
        <v/>
      </c>
      <c r="J309" s="3">
        <f>_xlfn.XLOOKUP(A309,MktTitle,MktTotVol,0)</f>
        <v/>
      </c>
      <c r="K309">
        <f>IF(H309&gt;WhaleThreshold,"WHALE","")</f>
        <v/>
      </c>
    </row>
    <row r="310">
      <c r="A310" t="inlineStr">
        <is>
          <t>Will Mexico win the 2026 FIFA World Cup?</t>
        </is>
      </c>
      <c r="B310" s="4" t="n">
        <v>46206</v>
      </c>
      <c r="C310" s="5" t="n">
        <v>46206.0781712963</v>
      </c>
      <c r="D310" t="inlineStr">
        <is>
          <t>BUY</t>
        </is>
      </c>
      <c r="E310" t="inlineStr">
        <is>
          <t>Yes</t>
        </is>
      </c>
      <c r="F310" s="2" t="n">
        <v>0.035</v>
      </c>
      <c r="G310" s="6" t="n">
        <v>28.5714</v>
      </c>
      <c r="H310" s="6">
        <f>F310*G310</f>
        <v/>
      </c>
      <c r="I310">
        <f>_xlfn.XLOOKUP(A310,MktTitle,MktCat,"n/a")</f>
        <v/>
      </c>
      <c r="J310" s="3">
        <f>_xlfn.XLOOKUP(A310,MktTitle,MktTotVol,0)</f>
        <v/>
      </c>
      <c r="K310">
        <f>IF(H310&gt;WhaleThreshold,"WHALE","")</f>
        <v/>
      </c>
    </row>
    <row r="311">
      <c r="A311" t="inlineStr">
        <is>
          <t>Will Mexico win the 2026 FIFA World Cup?</t>
        </is>
      </c>
      <c r="B311" s="4" t="n">
        <v>46206</v>
      </c>
      <c r="C311" s="5" t="n">
        <v>46206.07657407408</v>
      </c>
      <c r="D311" t="inlineStr">
        <is>
          <t>BUY</t>
        </is>
      </c>
      <c r="E311" t="inlineStr">
        <is>
          <t>Yes</t>
        </is>
      </c>
      <c r="F311" s="2" t="n">
        <v>0.035</v>
      </c>
      <c r="G311" s="6" t="n">
        <v>114.2857</v>
      </c>
      <c r="H311" s="6">
        <f>F311*G311</f>
        <v/>
      </c>
      <c r="I311">
        <f>_xlfn.XLOOKUP(A311,MktTitle,MktCat,"n/a")</f>
        <v/>
      </c>
      <c r="J311" s="3">
        <f>_xlfn.XLOOKUP(A311,MktTitle,MktTotVol,0)</f>
        <v/>
      </c>
      <c r="K311">
        <f>IF(H311&gt;WhaleThreshold,"WHALE","")</f>
        <v/>
      </c>
    </row>
    <row r="312">
      <c r="A312" t="inlineStr">
        <is>
          <t>Will Mexico win the 2026 FIFA World Cup?</t>
        </is>
      </c>
      <c r="B312" s="4" t="n">
        <v>46206</v>
      </c>
      <c r="C312" s="5" t="n">
        <v>46206.07609953704</v>
      </c>
      <c r="D312" t="inlineStr">
        <is>
          <t>BUY</t>
        </is>
      </c>
      <c r="E312" t="inlineStr">
        <is>
          <t>Yes</t>
        </is>
      </c>
      <c r="F312" s="2" t="n">
        <v>0.035</v>
      </c>
      <c r="G312" s="6" t="n">
        <v>28.5714</v>
      </c>
      <c r="H312" s="6">
        <f>F312*G312</f>
        <v/>
      </c>
      <c r="I312">
        <f>_xlfn.XLOOKUP(A312,MktTitle,MktCat,"n/a")</f>
        <v/>
      </c>
      <c r="J312" s="3">
        <f>_xlfn.XLOOKUP(A312,MktTitle,MktTotVol,0)</f>
        <v/>
      </c>
      <c r="K312">
        <f>IF(H312&gt;WhaleThreshold,"WHALE","")</f>
        <v/>
      </c>
    </row>
    <row r="313">
      <c r="A313" t="inlineStr">
        <is>
          <t>Will Mexico win the 2026 FIFA World Cup?</t>
        </is>
      </c>
      <c r="B313" s="4" t="n">
        <v>46206</v>
      </c>
      <c r="C313" s="5" t="n">
        <v>46206.07543981481</v>
      </c>
      <c r="D313" t="inlineStr">
        <is>
          <t>SELL</t>
        </is>
      </c>
      <c r="E313" t="inlineStr">
        <is>
          <t>Yes</t>
        </is>
      </c>
      <c r="F313" s="2" t="n">
        <v>0.034</v>
      </c>
      <c r="G313" s="6" t="n">
        <v>904.4299999999999</v>
      </c>
      <c r="H313" s="6">
        <f>F313*G313</f>
        <v/>
      </c>
      <c r="I313">
        <f>_xlfn.XLOOKUP(A313,MktTitle,MktCat,"n/a")</f>
        <v/>
      </c>
      <c r="J313" s="3">
        <f>_xlfn.XLOOKUP(A313,MktTitle,MktTotVol,0)</f>
        <v/>
      </c>
      <c r="K313">
        <f>IF(H313&gt;WhaleThreshold,"WHALE","")</f>
        <v/>
      </c>
    </row>
    <row r="314">
      <c r="A314" t="inlineStr">
        <is>
          <t>Will Mexico win the 2026 FIFA World Cup?</t>
        </is>
      </c>
      <c r="B314" s="4" t="n">
        <v>46206</v>
      </c>
      <c r="C314" s="5" t="n">
        <v>46206.07498842593</v>
      </c>
      <c r="D314" t="inlineStr">
        <is>
          <t>BUY</t>
        </is>
      </c>
      <c r="E314" t="inlineStr">
        <is>
          <t>Yes</t>
        </is>
      </c>
      <c r="F314" s="2" t="n">
        <v>0.035</v>
      </c>
      <c r="G314" s="6" t="n">
        <v>857.1429000000001</v>
      </c>
      <c r="H314" s="6">
        <f>F314*G314</f>
        <v/>
      </c>
      <c r="I314">
        <f>_xlfn.XLOOKUP(A314,MktTitle,MktCat,"n/a")</f>
        <v/>
      </c>
      <c r="J314" s="3">
        <f>_xlfn.XLOOKUP(A314,MktTitle,MktTotVol,0)</f>
        <v/>
      </c>
      <c r="K314">
        <f>IF(H314&gt;WhaleThreshold,"WHALE","")</f>
        <v/>
      </c>
    </row>
    <row r="315">
      <c r="A315" t="inlineStr">
        <is>
          <t>Will Mexico win the 2026 FIFA World Cup?</t>
        </is>
      </c>
      <c r="B315" s="4" t="n">
        <v>46206</v>
      </c>
      <c r="C315" s="5" t="n">
        <v>46206.07417824074</v>
      </c>
      <c r="D315" t="inlineStr">
        <is>
          <t>BUY</t>
        </is>
      </c>
      <c r="E315" t="inlineStr">
        <is>
          <t>Yes</t>
        </is>
      </c>
      <c r="F315" s="2" t="n">
        <v>0.035</v>
      </c>
      <c r="G315" s="6" t="n">
        <v>194.2857</v>
      </c>
      <c r="H315" s="6">
        <f>F315*G315</f>
        <v/>
      </c>
      <c r="I315">
        <f>_xlfn.XLOOKUP(A315,MktTitle,MktCat,"n/a")</f>
        <v/>
      </c>
      <c r="J315" s="3">
        <f>_xlfn.XLOOKUP(A315,MktTitle,MktTotVol,0)</f>
        <v/>
      </c>
      <c r="K315">
        <f>IF(H315&gt;WhaleThreshold,"WHALE","")</f>
        <v/>
      </c>
    </row>
    <row r="316">
      <c r="A316" t="inlineStr">
        <is>
          <t>Will Mexico win the 2026 FIFA World Cup?</t>
        </is>
      </c>
      <c r="B316" s="4" t="n">
        <v>46206</v>
      </c>
      <c r="C316" s="5" t="n">
        <v>46206.07400462963</v>
      </c>
      <c r="D316" t="inlineStr">
        <is>
          <t>BUY</t>
        </is>
      </c>
      <c r="E316" t="inlineStr">
        <is>
          <t>No</t>
        </is>
      </c>
      <c r="F316" s="2" t="n">
        <v>0.966</v>
      </c>
      <c r="G316" s="6" t="n">
        <v>3.1056</v>
      </c>
      <c r="H316" s="6">
        <f>F316*G316</f>
        <v/>
      </c>
      <c r="I316">
        <f>_xlfn.XLOOKUP(A316,MktTitle,MktCat,"n/a")</f>
        <v/>
      </c>
      <c r="J316" s="3">
        <f>_xlfn.XLOOKUP(A316,MktTitle,MktTotVol,0)</f>
        <v/>
      </c>
      <c r="K316">
        <f>IF(H316&gt;WhaleThreshold,"WHALE","")</f>
        <v/>
      </c>
    </row>
    <row r="317">
      <c r="A317" t="inlineStr">
        <is>
          <t>Will Mexico win the 2026 FIFA World Cup?</t>
        </is>
      </c>
      <c r="B317" s="4" t="n">
        <v>46206</v>
      </c>
      <c r="C317" s="5" t="n">
        <v>46206.07342592593</v>
      </c>
      <c r="D317" t="inlineStr">
        <is>
          <t>BUY</t>
        </is>
      </c>
      <c r="E317" t="inlineStr">
        <is>
          <t>Yes</t>
        </is>
      </c>
      <c r="F317" s="2" t="n">
        <v>0.033</v>
      </c>
      <c r="G317" s="6" t="n">
        <v>732.7273</v>
      </c>
      <c r="H317" s="6">
        <f>F317*G317</f>
        <v/>
      </c>
      <c r="I317">
        <f>_xlfn.XLOOKUP(A317,MktTitle,MktCat,"n/a")</f>
        <v/>
      </c>
      <c r="J317" s="3">
        <f>_xlfn.XLOOKUP(A317,MktTitle,MktTotVol,0)</f>
        <v/>
      </c>
      <c r="K317">
        <f>IF(H317&gt;WhaleThreshold,"WHALE","")</f>
        <v/>
      </c>
    </row>
    <row r="318">
      <c r="A318" t="inlineStr">
        <is>
          <t>Will Mexico win the 2026 FIFA World Cup?</t>
        </is>
      </c>
      <c r="B318" s="4" t="n">
        <v>46206</v>
      </c>
      <c r="C318" s="5" t="n">
        <v>46206.07233796296</v>
      </c>
      <c r="D318" t="inlineStr">
        <is>
          <t>SELL</t>
        </is>
      </c>
      <c r="E318" t="inlineStr">
        <is>
          <t>No</t>
        </is>
      </c>
      <c r="F318" s="2" t="n">
        <v>0.966</v>
      </c>
      <c r="G318" s="6" t="n">
        <v>14.5</v>
      </c>
      <c r="H318" s="6">
        <f>F318*G318</f>
        <v/>
      </c>
      <c r="I318">
        <f>_xlfn.XLOOKUP(A318,MktTitle,MktCat,"n/a")</f>
        <v/>
      </c>
      <c r="J318" s="3">
        <f>_xlfn.XLOOKUP(A318,MktTitle,MktTotVol,0)</f>
        <v/>
      </c>
      <c r="K318">
        <f>IF(H318&gt;WhaleThreshold,"WHALE","")</f>
        <v/>
      </c>
    </row>
    <row r="319">
      <c r="A319" t="inlineStr">
        <is>
          <t>Will Mexico win the 2026 FIFA World Cup?</t>
        </is>
      </c>
      <c r="B319" s="4" t="n">
        <v>46206</v>
      </c>
      <c r="C319" s="5" t="n">
        <v>46206.07185185186</v>
      </c>
      <c r="D319" t="inlineStr">
        <is>
          <t>BUY</t>
        </is>
      </c>
      <c r="E319" t="inlineStr">
        <is>
          <t>Yes</t>
        </is>
      </c>
      <c r="F319" s="2" t="n">
        <v>0.034</v>
      </c>
      <c r="G319" s="6" t="n">
        <v>202.9412</v>
      </c>
      <c r="H319" s="6">
        <f>F319*G319</f>
        <v/>
      </c>
      <c r="I319">
        <f>_xlfn.XLOOKUP(A319,MktTitle,MktCat,"n/a")</f>
        <v/>
      </c>
      <c r="J319" s="3">
        <f>_xlfn.XLOOKUP(A319,MktTitle,MktTotVol,0)</f>
        <v/>
      </c>
      <c r="K319">
        <f>IF(H319&gt;WhaleThreshold,"WHALE","")</f>
        <v/>
      </c>
    </row>
    <row r="320">
      <c r="A320" t="inlineStr">
        <is>
          <t>Will Mexico win the 2026 FIFA World Cup?</t>
        </is>
      </c>
      <c r="B320" s="4" t="n">
        <v>46206</v>
      </c>
      <c r="C320" s="5" t="n">
        <v>46206.07164351852</v>
      </c>
      <c r="D320" t="inlineStr">
        <is>
          <t>SELL</t>
        </is>
      </c>
      <c r="E320" t="inlineStr">
        <is>
          <t>Yes</t>
        </is>
      </c>
      <c r="F320" s="2" t="n">
        <v>0.032</v>
      </c>
      <c r="G320" s="6" t="n">
        <v>1294</v>
      </c>
      <c r="H320" s="6">
        <f>F320*G320</f>
        <v/>
      </c>
      <c r="I320">
        <f>_xlfn.XLOOKUP(A320,MktTitle,MktCat,"n/a")</f>
        <v/>
      </c>
      <c r="J320" s="3">
        <f>_xlfn.XLOOKUP(A320,MktTitle,MktTotVol,0)</f>
        <v/>
      </c>
      <c r="K320">
        <f>IF(H320&gt;WhaleThreshold,"WHALE","")</f>
        <v/>
      </c>
    </row>
    <row r="321">
      <c r="A321" t="inlineStr">
        <is>
          <t>Will Mexico win the 2026 FIFA World Cup?</t>
        </is>
      </c>
      <c r="B321" s="4" t="n">
        <v>46206</v>
      </c>
      <c r="C321" s="5" t="n">
        <v>46206.06991898148</v>
      </c>
      <c r="D321" t="inlineStr">
        <is>
          <t>BUY</t>
        </is>
      </c>
      <c r="E321" t="inlineStr">
        <is>
          <t>Yes</t>
        </is>
      </c>
      <c r="F321" s="2" t="n">
        <v>0.0334</v>
      </c>
      <c r="G321" s="6" t="n">
        <v>11973.8077</v>
      </c>
      <c r="H321" s="6">
        <f>F321*G321</f>
        <v/>
      </c>
      <c r="I321">
        <f>_xlfn.XLOOKUP(A321,MktTitle,MktCat,"n/a")</f>
        <v/>
      </c>
      <c r="J321" s="3">
        <f>_xlfn.XLOOKUP(A321,MktTitle,MktTotVol,0)</f>
        <v/>
      </c>
      <c r="K321">
        <f>IF(H321&gt;WhaleThreshold,"WHALE","")</f>
        <v/>
      </c>
    </row>
    <row r="322">
      <c r="A322" t="inlineStr">
        <is>
          <t>Will Mexico win the 2026 FIFA World Cup?</t>
        </is>
      </c>
      <c r="B322" s="4" t="n">
        <v>46206</v>
      </c>
      <c r="C322" s="5" t="n">
        <v>46206.06987268518</v>
      </c>
      <c r="D322" t="inlineStr">
        <is>
          <t>BUY</t>
        </is>
      </c>
      <c r="E322" t="inlineStr">
        <is>
          <t>Yes</t>
        </is>
      </c>
      <c r="F322" s="2" t="n">
        <v>0.033</v>
      </c>
      <c r="G322" s="6" t="n">
        <v>151.5152</v>
      </c>
      <c r="H322" s="6">
        <f>F322*G322</f>
        <v/>
      </c>
      <c r="I322">
        <f>_xlfn.XLOOKUP(A322,MktTitle,MktCat,"n/a")</f>
        <v/>
      </c>
      <c r="J322" s="3">
        <f>_xlfn.XLOOKUP(A322,MktTitle,MktTotVol,0)</f>
        <v/>
      </c>
      <c r="K322">
        <f>IF(H322&gt;WhaleThreshold,"WHALE","")</f>
        <v/>
      </c>
    </row>
    <row r="323">
      <c r="A323" t="inlineStr">
        <is>
          <t>Will Mexico win the 2026 FIFA World Cup?</t>
        </is>
      </c>
      <c r="B323" s="4" t="n">
        <v>46206</v>
      </c>
      <c r="C323" s="5" t="n">
        <v>46206.06846064814</v>
      </c>
      <c r="D323" t="inlineStr">
        <is>
          <t>SELL</t>
        </is>
      </c>
      <c r="E323" t="inlineStr">
        <is>
          <t>No</t>
        </is>
      </c>
      <c r="F323" s="2" t="n">
        <v>0.967</v>
      </c>
      <c r="G323" s="6" t="n">
        <v>55.86</v>
      </c>
      <c r="H323" s="6">
        <f>F323*G323</f>
        <v/>
      </c>
      <c r="I323">
        <f>_xlfn.XLOOKUP(A323,MktTitle,MktCat,"n/a")</f>
        <v/>
      </c>
      <c r="J323" s="3">
        <f>_xlfn.XLOOKUP(A323,MktTitle,MktTotVol,0)</f>
        <v/>
      </c>
      <c r="K323">
        <f>IF(H323&gt;WhaleThreshold,"WHALE","")</f>
        <v/>
      </c>
    </row>
    <row r="324">
      <c r="A324" t="inlineStr">
        <is>
          <t>Will Mexico win the 2026 FIFA World Cup?</t>
        </is>
      </c>
      <c r="B324" s="4" t="n">
        <v>46206</v>
      </c>
      <c r="C324" s="5" t="n">
        <v>46206.06839120371</v>
      </c>
      <c r="D324" t="inlineStr">
        <is>
          <t>SELL</t>
        </is>
      </c>
      <c r="E324" t="inlineStr">
        <is>
          <t>Yes</t>
        </is>
      </c>
      <c r="F324" s="2" t="n">
        <v>0.032</v>
      </c>
      <c r="G324" s="6" t="n">
        <v>62.5</v>
      </c>
      <c r="H324" s="6">
        <f>F324*G324</f>
        <v/>
      </c>
      <c r="I324">
        <f>_xlfn.XLOOKUP(A324,MktTitle,MktCat,"n/a")</f>
        <v/>
      </c>
      <c r="J324" s="3">
        <f>_xlfn.XLOOKUP(A324,MktTitle,MktTotVol,0)</f>
        <v/>
      </c>
      <c r="K324">
        <f>IF(H324&gt;WhaleThreshold,"WHALE","")</f>
        <v/>
      </c>
    </row>
    <row r="325">
      <c r="A325" t="inlineStr">
        <is>
          <t>Will Mexico win the 2026 FIFA World Cup?</t>
        </is>
      </c>
      <c r="B325" s="4" t="n">
        <v>46206</v>
      </c>
      <c r="C325" s="5" t="n">
        <v>46206.06799768518</v>
      </c>
      <c r="D325" t="inlineStr">
        <is>
          <t>BUY</t>
        </is>
      </c>
      <c r="E325" t="inlineStr">
        <is>
          <t>Yes</t>
        </is>
      </c>
      <c r="F325" s="2" t="n">
        <v>0.034</v>
      </c>
      <c r="G325" s="6" t="n">
        <v>50</v>
      </c>
      <c r="H325" s="6">
        <f>F325*G325</f>
        <v/>
      </c>
      <c r="I325">
        <f>_xlfn.XLOOKUP(A325,MktTitle,MktCat,"n/a")</f>
        <v/>
      </c>
      <c r="J325" s="3">
        <f>_xlfn.XLOOKUP(A325,MktTitle,MktTotVol,0)</f>
        <v/>
      </c>
      <c r="K325">
        <f>IF(H325&gt;WhaleThreshold,"WHALE","")</f>
        <v/>
      </c>
    </row>
    <row r="326">
      <c r="A326" t="inlineStr">
        <is>
          <t>Will Mexico win the 2026 FIFA World Cup?</t>
        </is>
      </c>
      <c r="B326" s="4" t="n">
        <v>46206</v>
      </c>
      <c r="C326" s="5" t="n">
        <v>46206.0667824074</v>
      </c>
      <c r="D326" t="inlineStr">
        <is>
          <t>SELL</t>
        </is>
      </c>
      <c r="E326" t="inlineStr">
        <is>
          <t>Yes</t>
        </is>
      </c>
      <c r="F326" s="2" t="n">
        <v>0.032</v>
      </c>
      <c r="G326" s="6" t="n">
        <v>111.11</v>
      </c>
      <c r="H326" s="6">
        <f>F326*G326</f>
        <v/>
      </c>
      <c r="I326">
        <f>_xlfn.XLOOKUP(A326,MktTitle,MktCat,"n/a")</f>
        <v/>
      </c>
      <c r="J326" s="3">
        <f>_xlfn.XLOOKUP(A326,MktTitle,MktTotVol,0)</f>
        <v/>
      </c>
      <c r="K326">
        <f>IF(H326&gt;WhaleThreshold,"WHALE","")</f>
        <v/>
      </c>
    </row>
    <row r="327">
      <c r="A327" t="inlineStr">
        <is>
          <t>Will Mexico win the 2026 FIFA World Cup?</t>
        </is>
      </c>
      <c r="B327" s="4" t="n">
        <v>46206</v>
      </c>
      <c r="C327" s="5" t="n">
        <v>46206.06668981481</v>
      </c>
      <c r="D327" t="inlineStr">
        <is>
          <t>BUY</t>
        </is>
      </c>
      <c r="E327" t="inlineStr">
        <is>
          <t>Yes</t>
        </is>
      </c>
      <c r="F327" s="2" t="n">
        <v>0.0333</v>
      </c>
      <c r="G327" s="6" t="n">
        <v>89983.2341</v>
      </c>
      <c r="H327" s="6">
        <f>F327*G327</f>
        <v/>
      </c>
      <c r="I327">
        <f>_xlfn.XLOOKUP(A327,MktTitle,MktCat,"n/a")</f>
        <v/>
      </c>
      <c r="J327" s="3">
        <f>_xlfn.XLOOKUP(A327,MktTitle,MktTotVol,0)</f>
        <v/>
      </c>
      <c r="K327">
        <f>IF(H327&gt;WhaleThreshold,"WHALE","")</f>
        <v/>
      </c>
    </row>
    <row r="328">
      <c r="A328" t="inlineStr">
        <is>
          <t>Will Mexico win the 2026 FIFA World Cup?</t>
        </is>
      </c>
      <c r="B328" s="4" t="n">
        <v>46206</v>
      </c>
      <c r="C328" s="5" t="n">
        <v>46206.0666087963</v>
      </c>
      <c r="D328" t="inlineStr">
        <is>
          <t>BUY</t>
        </is>
      </c>
      <c r="E328" t="inlineStr">
        <is>
          <t>Yes</t>
        </is>
      </c>
      <c r="F328" s="2" t="n">
        <v>0.033</v>
      </c>
      <c r="G328" s="6" t="n">
        <v>2000</v>
      </c>
      <c r="H328" s="6">
        <f>F328*G328</f>
        <v/>
      </c>
      <c r="I328">
        <f>_xlfn.XLOOKUP(A328,MktTitle,MktCat,"n/a")</f>
        <v/>
      </c>
      <c r="J328" s="3">
        <f>_xlfn.XLOOKUP(A328,MktTitle,MktTotVol,0)</f>
        <v/>
      </c>
      <c r="K328">
        <f>IF(H328&gt;WhaleThreshold,"WHALE","")</f>
        <v/>
      </c>
    </row>
    <row r="329">
      <c r="A329" t="inlineStr">
        <is>
          <t>Will Mexico win the 2026 FIFA World Cup?</t>
        </is>
      </c>
      <c r="B329" s="4" t="n">
        <v>46206</v>
      </c>
      <c r="C329" s="5" t="n">
        <v>46206.06619212963</v>
      </c>
      <c r="D329" t="inlineStr">
        <is>
          <t>BUY</t>
        </is>
      </c>
      <c r="E329" t="inlineStr">
        <is>
          <t>Yes</t>
        </is>
      </c>
      <c r="F329" s="2" t="n">
        <v>0.033</v>
      </c>
      <c r="G329" s="6" t="n">
        <v>303030.303</v>
      </c>
      <c r="H329" s="6">
        <f>F329*G329</f>
        <v/>
      </c>
      <c r="I329">
        <f>_xlfn.XLOOKUP(A329,MktTitle,MktCat,"n/a")</f>
        <v/>
      </c>
      <c r="J329" s="3">
        <f>_xlfn.XLOOKUP(A329,MktTitle,MktTotVol,0)</f>
        <v/>
      </c>
      <c r="K329">
        <f>IF(H329&gt;WhaleThreshold,"WHALE","")</f>
        <v/>
      </c>
    </row>
    <row r="330">
      <c r="A330" t="inlineStr">
        <is>
          <t>Will Mexico win the 2026 FIFA World Cup?</t>
        </is>
      </c>
      <c r="B330" s="4" t="n">
        <v>46206</v>
      </c>
      <c r="C330" s="5" t="n">
        <v>46206.06525462963</v>
      </c>
      <c r="D330" t="inlineStr">
        <is>
          <t>BUY</t>
        </is>
      </c>
      <c r="E330" t="inlineStr">
        <is>
          <t>Yes</t>
        </is>
      </c>
      <c r="F330" s="2" t="n">
        <v>0.033</v>
      </c>
      <c r="G330" s="6" t="n">
        <v>5000</v>
      </c>
      <c r="H330" s="6">
        <f>F330*G330</f>
        <v/>
      </c>
      <c r="I330">
        <f>_xlfn.XLOOKUP(A330,MktTitle,MktCat,"n/a")</f>
        <v/>
      </c>
      <c r="J330" s="3">
        <f>_xlfn.XLOOKUP(A330,MktTitle,MktTotVol,0)</f>
        <v/>
      </c>
      <c r="K330">
        <f>IF(H330&gt;WhaleThreshold,"WHALE","")</f>
        <v/>
      </c>
    </row>
    <row r="331">
      <c r="A331" t="inlineStr">
        <is>
          <t>Will Mexico win the 2026 FIFA World Cup?</t>
        </is>
      </c>
      <c r="B331" s="4" t="n">
        <v>46206</v>
      </c>
      <c r="C331" s="5" t="n">
        <v>46206.06501157407</v>
      </c>
      <c r="D331" t="inlineStr">
        <is>
          <t>BUY</t>
        </is>
      </c>
      <c r="E331" t="inlineStr">
        <is>
          <t>Yes</t>
        </is>
      </c>
      <c r="F331" s="2" t="n">
        <v>0.033</v>
      </c>
      <c r="G331" s="6" t="n">
        <v>25000</v>
      </c>
      <c r="H331" s="6">
        <f>F331*G331</f>
        <v/>
      </c>
      <c r="I331">
        <f>_xlfn.XLOOKUP(A331,MktTitle,MktCat,"n/a")</f>
        <v/>
      </c>
      <c r="J331" s="3">
        <f>_xlfn.XLOOKUP(A331,MktTitle,MktTotVol,0)</f>
        <v/>
      </c>
      <c r="K331">
        <f>IF(H331&gt;WhaleThreshold,"WHALE","")</f>
        <v/>
      </c>
    </row>
    <row r="332">
      <c r="A332" t="inlineStr">
        <is>
          <t>Will Mexico win the 2026 FIFA World Cup?</t>
        </is>
      </c>
      <c r="B332" s="4" t="n">
        <v>46206</v>
      </c>
      <c r="C332" s="5" t="n">
        <v>46206.06337962963</v>
      </c>
      <c r="D332" t="inlineStr">
        <is>
          <t>BUY</t>
        </is>
      </c>
      <c r="E332" t="inlineStr">
        <is>
          <t>Yes</t>
        </is>
      </c>
      <c r="F332" s="2" t="n">
        <v>0.033</v>
      </c>
      <c r="G332" s="6" t="n">
        <v>31</v>
      </c>
      <c r="H332" s="6">
        <f>F332*G332</f>
        <v/>
      </c>
      <c r="I332">
        <f>_xlfn.XLOOKUP(A332,MktTitle,MktCat,"n/a")</f>
        <v/>
      </c>
      <c r="J332" s="3">
        <f>_xlfn.XLOOKUP(A332,MktTitle,MktTotVol,0)</f>
        <v/>
      </c>
      <c r="K332">
        <f>IF(H332&gt;WhaleThreshold,"WHALE","")</f>
        <v/>
      </c>
    </row>
    <row r="333">
      <c r="A333" t="inlineStr">
        <is>
          <t>Will Mexico win the 2026 FIFA World Cup?</t>
        </is>
      </c>
      <c r="B333" s="4" t="n">
        <v>46206</v>
      </c>
      <c r="C333" s="5" t="n">
        <v>46206.06337962963</v>
      </c>
      <c r="D333" t="inlineStr">
        <is>
          <t>BUY</t>
        </is>
      </c>
      <c r="E333" t="inlineStr">
        <is>
          <t>Yes</t>
        </is>
      </c>
      <c r="F333" s="2" t="n">
        <v>0.033</v>
      </c>
      <c r="G333" s="6" t="n">
        <v>31</v>
      </c>
      <c r="H333" s="6">
        <f>F333*G333</f>
        <v/>
      </c>
      <c r="I333">
        <f>_xlfn.XLOOKUP(A333,MktTitle,MktCat,"n/a")</f>
        <v/>
      </c>
      <c r="J333" s="3">
        <f>_xlfn.XLOOKUP(A333,MktTitle,MktTotVol,0)</f>
        <v/>
      </c>
      <c r="K333">
        <f>IF(H333&gt;WhaleThreshold,"WHALE","")</f>
        <v/>
      </c>
    </row>
    <row r="334">
      <c r="A334" t="inlineStr">
        <is>
          <t>Will Mexico win the 2026 FIFA World Cup?</t>
        </is>
      </c>
      <c r="B334" s="4" t="n">
        <v>46206</v>
      </c>
      <c r="C334" s="5" t="n">
        <v>46206.06337962963</v>
      </c>
      <c r="D334" t="inlineStr">
        <is>
          <t>BUY</t>
        </is>
      </c>
      <c r="E334" t="inlineStr">
        <is>
          <t>Yes</t>
        </is>
      </c>
      <c r="F334" s="2" t="n">
        <v>0.033</v>
      </c>
      <c r="G334" s="6" t="n">
        <v>31</v>
      </c>
      <c r="H334" s="6">
        <f>F334*G334</f>
        <v/>
      </c>
      <c r="I334">
        <f>_xlfn.XLOOKUP(A334,MktTitle,MktCat,"n/a")</f>
        <v/>
      </c>
      <c r="J334" s="3">
        <f>_xlfn.XLOOKUP(A334,MktTitle,MktTotVol,0)</f>
        <v/>
      </c>
      <c r="K334">
        <f>IF(H334&gt;WhaleThreshold,"WHALE","")</f>
        <v/>
      </c>
    </row>
    <row r="335">
      <c r="A335" t="inlineStr">
        <is>
          <t>Will Mexico win the 2026 FIFA World Cup?</t>
        </is>
      </c>
      <c r="B335" s="4" t="n">
        <v>46206</v>
      </c>
      <c r="C335" s="5" t="n">
        <v>46206.06337962963</v>
      </c>
      <c r="D335" t="inlineStr">
        <is>
          <t>BUY</t>
        </is>
      </c>
      <c r="E335" t="inlineStr">
        <is>
          <t>Yes</t>
        </is>
      </c>
      <c r="F335" s="2" t="n">
        <v>0.033</v>
      </c>
      <c r="G335" s="6" t="n">
        <v>31</v>
      </c>
      <c r="H335" s="6">
        <f>F335*G335</f>
        <v/>
      </c>
      <c r="I335">
        <f>_xlfn.XLOOKUP(A335,MktTitle,MktCat,"n/a")</f>
        <v/>
      </c>
      <c r="J335" s="3">
        <f>_xlfn.XLOOKUP(A335,MktTitle,MktTotVol,0)</f>
        <v/>
      </c>
      <c r="K335">
        <f>IF(H335&gt;WhaleThreshold,"WHALE","")</f>
        <v/>
      </c>
    </row>
    <row r="336">
      <c r="A336" t="inlineStr">
        <is>
          <t>Will Mexico win the 2026 FIFA World Cup?</t>
        </is>
      </c>
      <c r="B336" s="4" t="n">
        <v>46206</v>
      </c>
      <c r="C336" s="5" t="n">
        <v>46206.06337962963</v>
      </c>
      <c r="D336" t="inlineStr">
        <is>
          <t>BUY</t>
        </is>
      </c>
      <c r="E336" t="inlineStr">
        <is>
          <t>Yes</t>
        </is>
      </c>
      <c r="F336" s="2" t="n">
        <v>0.033</v>
      </c>
      <c r="G336" s="6" t="n">
        <v>31</v>
      </c>
      <c r="H336" s="6">
        <f>F336*G336</f>
        <v/>
      </c>
      <c r="I336">
        <f>_xlfn.XLOOKUP(A336,MktTitle,MktCat,"n/a")</f>
        <v/>
      </c>
      <c r="J336" s="3">
        <f>_xlfn.XLOOKUP(A336,MktTitle,MktTotVol,0)</f>
        <v/>
      </c>
      <c r="K336">
        <f>IF(H336&gt;WhaleThreshold,"WHALE","")</f>
        <v/>
      </c>
    </row>
    <row r="337">
      <c r="A337" t="inlineStr">
        <is>
          <t>Will Mexico win the 2026 FIFA World Cup?</t>
        </is>
      </c>
      <c r="B337" s="4" t="n">
        <v>46206</v>
      </c>
      <c r="C337" s="5" t="n">
        <v>46206.06337962963</v>
      </c>
      <c r="D337" t="inlineStr">
        <is>
          <t>BUY</t>
        </is>
      </c>
      <c r="E337" t="inlineStr">
        <is>
          <t>Yes</t>
        </is>
      </c>
      <c r="F337" s="2" t="n">
        <v>0.033</v>
      </c>
      <c r="G337" s="6" t="n">
        <v>31</v>
      </c>
      <c r="H337" s="6">
        <f>F337*G337</f>
        <v/>
      </c>
      <c r="I337">
        <f>_xlfn.XLOOKUP(A337,MktTitle,MktCat,"n/a")</f>
        <v/>
      </c>
      <c r="J337" s="3">
        <f>_xlfn.XLOOKUP(A337,MktTitle,MktTotVol,0)</f>
        <v/>
      </c>
      <c r="K337">
        <f>IF(H337&gt;WhaleThreshold,"WHALE","")</f>
        <v/>
      </c>
    </row>
    <row r="338">
      <c r="A338" t="inlineStr">
        <is>
          <t>Will Mexico win the 2026 FIFA World Cup?</t>
        </is>
      </c>
      <c r="B338" s="4" t="n">
        <v>46206</v>
      </c>
      <c r="C338" s="5" t="n">
        <v>46206.06335648148</v>
      </c>
      <c r="D338" t="inlineStr">
        <is>
          <t>BUY</t>
        </is>
      </c>
      <c r="E338" t="inlineStr">
        <is>
          <t>Yes</t>
        </is>
      </c>
      <c r="F338" s="2" t="n">
        <v>0.033</v>
      </c>
      <c r="G338" s="6" t="n">
        <v>31</v>
      </c>
      <c r="H338" s="6">
        <f>F338*G338</f>
        <v/>
      </c>
      <c r="I338">
        <f>_xlfn.XLOOKUP(A338,MktTitle,MktCat,"n/a")</f>
        <v/>
      </c>
      <c r="J338" s="3">
        <f>_xlfn.XLOOKUP(A338,MktTitle,MktTotVol,0)</f>
        <v/>
      </c>
      <c r="K338">
        <f>IF(H338&gt;WhaleThreshold,"WHALE","")</f>
        <v/>
      </c>
    </row>
    <row r="339">
      <c r="A339" t="inlineStr">
        <is>
          <t>Will Mexico win the 2026 FIFA World Cup?</t>
        </is>
      </c>
      <c r="B339" s="4" t="n">
        <v>46206</v>
      </c>
      <c r="C339" s="5" t="n">
        <v>46206.06335648148</v>
      </c>
      <c r="D339" t="inlineStr">
        <is>
          <t>BUY</t>
        </is>
      </c>
      <c r="E339" t="inlineStr">
        <is>
          <t>Yes</t>
        </is>
      </c>
      <c r="F339" s="2" t="n">
        <v>0.033</v>
      </c>
      <c r="G339" s="6" t="n">
        <v>31</v>
      </c>
      <c r="H339" s="6">
        <f>F339*G339</f>
        <v/>
      </c>
      <c r="I339">
        <f>_xlfn.XLOOKUP(A339,MktTitle,MktCat,"n/a")</f>
        <v/>
      </c>
      <c r="J339" s="3">
        <f>_xlfn.XLOOKUP(A339,MktTitle,MktTotVol,0)</f>
        <v/>
      </c>
      <c r="K339">
        <f>IF(H339&gt;WhaleThreshold,"WHALE","")</f>
        <v/>
      </c>
    </row>
    <row r="340">
      <c r="A340" t="inlineStr">
        <is>
          <t>Will Mexico win the 2026 FIFA World Cup?</t>
        </is>
      </c>
      <c r="B340" s="4" t="n">
        <v>46206</v>
      </c>
      <c r="C340" s="5" t="n">
        <v>46206.06335648148</v>
      </c>
      <c r="D340" t="inlineStr">
        <is>
          <t>BUY</t>
        </is>
      </c>
      <c r="E340" t="inlineStr">
        <is>
          <t>Yes</t>
        </is>
      </c>
      <c r="F340" s="2" t="n">
        <v>0.033</v>
      </c>
      <c r="G340" s="6" t="n">
        <v>31</v>
      </c>
      <c r="H340" s="6">
        <f>F340*G340</f>
        <v/>
      </c>
      <c r="I340">
        <f>_xlfn.XLOOKUP(A340,MktTitle,MktCat,"n/a")</f>
        <v/>
      </c>
      <c r="J340" s="3">
        <f>_xlfn.XLOOKUP(A340,MktTitle,MktTotVol,0)</f>
        <v/>
      </c>
      <c r="K340">
        <f>IF(H340&gt;WhaleThreshold,"WHALE","")</f>
        <v/>
      </c>
    </row>
    <row r="341">
      <c r="A341" t="inlineStr">
        <is>
          <t>Will Mexico win the 2026 FIFA World Cup?</t>
        </is>
      </c>
      <c r="B341" s="4" t="n">
        <v>46206</v>
      </c>
      <c r="C341" s="5" t="n">
        <v>46206.06335648148</v>
      </c>
      <c r="D341" t="inlineStr">
        <is>
          <t>BUY</t>
        </is>
      </c>
      <c r="E341" t="inlineStr">
        <is>
          <t>Yes</t>
        </is>
      </c>
      <c r="F341" s="2" t="n">
        <v>0.033</v>
      </c>
      <c r="G341" s="6" t="n">
        <v>31</v>
      </c>
      <c r="H341" s="6">
        <f>F341*G341</f>
        <v/>
      </c>
      <c r="I341">
        <f>_xlfn.XLOOKUP(A341,MktTitle,MktCat,"n/a")</f>
        <v/>
      </c>
      <c r="J341" s="3">
        <f>_xlfn.XLOOKUP(A341,MktTitle,MktTotVol,0)</f>
        <v/>
      </c>
      <c r="K341">
        <f>IF(H341&gt;WhaleThreshold,"WHALE","")</f>
        <v/>
      </c>
    </row>
    <row r="342">
      <c r="A342" t="inlineStr">
        <is>
          <t>Will Mexico win the 2026 FIFA World Cup?</t>
        </is>
      </c>
      <c r="B342" s="4" t="n">
        <v>46206</v>
      </c>
      <c r="C342" s="5" t="n">
        <v>46206.06327546296</v>
      </c>
      <c r="D342" t="inlineStr">
        <is>
          <t>BUY</t>
        </is>
      </c>
      <c r="E342" t="inlineStr">
        <is>
          <t>Yes</t>
        </is>
      </c>
      <c r="F342" s="2" t="n">
        <v>0.033</v>
      </c>
      <c r="G342" s="6" t="n">
        <v>11</v>
      </c>
      <c r="H342" s="6">
        <f>F342*G342</f>
        <v/>
      </c>
      <c r="I342">
        <f>_xlfn.XLOOKUP(A342,MktTitle,MktCat,"n/a")</f>
        <v/>
      </c>
      <c r="J342" s="3">
        <f>_xlfn.XLOOKUP(A342,MktTitle,MktTotVol,0)</f>
        <v/>
      </c>
      <c r="K342">
        <f>IF(H342&gt;WhaleThreshold,"WHALE","")</f>
        <v/>
      </c>
    </row>
    <row r="343">
      <c r="A343" t="inlineStr">
        <is>
          <t>Will Mexico win the 2026 FIFA World Cup?</t>
        </is>
      </c>
      <c r="B343" s="4" t="n">
        <v>46206</v>
      </c>
      <c r="C343" s="5" t="n">
        <v>46206.06293981482</v>
      </c>
      <c r="D343" t="inlineStr">
        <is>
          <t>SELL</t>
        </is>
      </c>
      <c r="E343" t="inlineStr">
        <is>
          <t>No</t>
        </is>
      </c>
      <c r="F343" s="2" t="n">
        <v>0.967</v>
      </c>
      <c r="G343" s="6" t="n">
        <v>16.8</v>
      </c>
      <c r="H343" s="6">
        <f>F343*G343</f>
        <v/>
      </c>
      <c r="I343">
        <f>_xlfn.XLOOKUP(A343,MktTitle,MktCat,"n/a")</f>
        <v/>
      </c>
      <c r="J343" s="3">
        <f>_xlfn.XLOOKUP(A343,MktTitle,MktTotVol,0)</f>
        <v/>
      </c>
      <c r="K343">
        <f>IF(H343&gt;WhaleThreshold,"WHALE","")</f>
        <v/>
      </c>
    </row>
    <row r="344">
      <c r="A344" t="inlineStr">
        <is>
          <t>Will Mexico win the 2026 FIFA World Cup?</t>
        </is>
      </c>
      <c r="B344" s="4" t="n">
        <v>46206</v>
      </c>
      <c r="C344" s="5" t="n">
        <v>46206.06189814815</v>
      </c>
      <c r="D344" t="inlineStr">
        <is>
          <t>BUY</t>
        </is>
      </c>
      <c r="E344" t="inlineStr">
        <is>
          <t>Yes</t>
        </is>
      </c>
      <c r="F344" s="2" t="n">
        <v>0.033</v>
      </c>
      <c r="G344" s="6" t="n">
        <v>303.0303</v>
      </c>
      <c r="H344" s="6">
        <f>F344*G344</f>
        <v/>
      </c>
      <c r="I344">
        <f>_xlfn.XLOOKUP(A344,MktTitle,MktCat,"n/a")</f>
        <v/>
      </c>
      <c r="J344" s="3">
        <f>_xlfn.XLOOKUP(A344,MktTitle,MktTotVol,0)</f>
        <v/>
      </c>
      <c r="K344">
        <f>IF(H344&gt;WhaleThreshold,"WHALE","")</f>
        <v/>
      </c>
    </row>
    <row r="345">
      <c r="A345" t="inlineStr">
        <is>
          <t>Will Mexico win the 2026 FIFA World Cup?</t>
        </is>
      </c>
      <c r="B345" s="4" t="n">
        <v>46206</v>
      </c>
      <c r="C345" s="5" t="n">
        <v>46206.06137731481</v>
      </c>
      <c r="D345" t="inlineStr">
        <is>
          <t>BUY</t>
        </is>
      </c>
      <c r="E345" t="inlineStr">
        <is>
          <t>Yes</t>
        </is>
      </c>
      <c r="F345" s="2" t="n">
        <v>0.033</v>
      </c>
      <c r="G345" s="6" t="n">
        <v>30.303</v>
      </c>
      <c r="H345" s="6">
        <f>F345*G345</f>
        <v/>
      </c>
      <c r="I345">
        <f>_xlfn.XLOOKUP(A345,MktTitle,MktCat,"n/a")</f>
        <v/>
      </c>
      <c r="J345" s="3">
        <f>_xlfn.XLOOKUP(A345,MktTitle,MktTotVol,0)</f>
        <v/>
      </c>
      <c r="K345">
        <f>IF(H345&gt;WhaleThreshold,"WHALE","")</f>
        <v/>
      </c>
    </row>
    <row r="346">
      <c r="A346" t="inlineStr">
        <is>
          <t>Will Mexico win the 2026 FIFA World Cup?</t>
        </is>
      </c>
      <c r="B346" s="4" t="n">
        <v>46206</v>
      </c>
      <c r="C346" s="5" t="n">
        <v>46206.06120370371</v>
      </c>
      <c r="D346" t="inlineStr">
        <is>
          <t>BUY</t>
        </is>
      </c>
      <c r="E346" t="inlineStr">
        <is>
          <t>Yes</t>
        </is>
      </c>
      <c r="F346" s="2" t="n">
        <v>0.033</v>
      </c>
      <c r="G346" s="6" t="n">
        <v>6060.6061</v>
      </c>
      <c r="H346" s="6">
        <f>F346*G346</f>
        <v/>
      </c>
      <c r="I346">
        <f>_xlfn.XLOOKUP(A346,MktTitle,MktCat,"n/a")</f>
        <v/>
      </c>
      <c r="J346" s="3">
        <f>_xlfn.XLOOKUP(A346,MktTitle,MktTotVol,0)</f>
        <v/>
      </c>
      <c r="K346">
        <f>IF(H346&gt;WhaleThreshold,"WHALE","")</f>
        <v/>
      </c>
    </row>
    <row r="347">
      <c r="A347" t="inlineStr">
        <is>
          <t>Will Mexico win the 2026 FIFA World Cup?</t>
        </is>
      </c>
      <c r="B347" s="4" t="n">
        <v>46206</v>
      </c>
      <c r="C347" s="5" t="n">
        <v>46206.06096064814</v>
      </c>
      <c r="D347" t="inlineStr">
        <is>
          <t>BUY</t>
        </is>
      </c>
      <c r="E347" t="inlineStr">
        <is>
          <t>No</t>
        </is>
      </c>
      <c r="F347" s="2" t="n">
        <v>0.968</v>
      </c>
      <c r="G347" s="6" t="n">
        <v>17</v>
      </c>
      <c r="H347" s="6">
        <f>F347*G347</f>
        <v/>
      </c>
      <c r="I347">
        <f>_xlfn.XLOOKUP(A347,MktTitle,MktCat,"n/a")</f>
        <v/>
      </c>
      <c r="J347" s="3">
        <f>_xlfn.XLOOKUP(A347,MktTitle,MktTotVol,0)</f>
        <v/>
      </c>
      <c r="K347">
        <f>IF(H347&gt;WhaleThreshold,"WHALE","")</f>
        <v/>
      </c>
    </row>
    <row r="348">
      <c r="A348" t="inlineStr">
        <is>
          <t>Will Mexico win the 2026 FIFA World Cup?</t>
        </is>
      </c>
      <c r="B348" s="4" t="n">
        <v>46206</v>
      </c>
      <c r="C348" s="5" t="n">
        <v>46206.06019675926</v>
      </c>
      <c r="D348" t="inlineStr">
        <is>
          <t>SELL</t>
        </is>
      </c>
      <c r="E348" t="inlineStr">
        <is>
          <t>No</t>
        </is>
      </c>
      <c r="F348" s="2" t="n">
        <v>0.967</v>
      </c>
      <c r="G348" s="6" t="n">
        <v>38.3</v>
      </c>
      <c r="H348" s="6">
        <f>F348*G348</f>
        <v/>
      </c>
      <c r="I348">
        <f>_xlfn.XLOOKUP(A348,MktTitle,MktCat,"n/a")</f>
        <v/>
      </c>
      <c r="J348" s="3">
        <f>_xlfn.XLOOKUP(A348,MktTitle,MktTotVol,0)</f>
        <v/>
      </c>
      <c r="K348">
        <f>IF(H348&gt;WhaleThreshold,"WHALE","")</f>
        <v/>
      </c>
    </row>
    <row r="349">
      <c r="A349" t="inlineStr">
        <is>
          <t>Will Mexico win the 2026 FIFA World Cup?</t>
        </is>
      </c>
      <c r="B349" s="4" t="n">
        <v>46206</v>
      </c>
      <c r="C349" s="5" t="n">
        <v>46206.06002314815</v>
      </c>
      <c r="D349" t="inlineStr">
        <is>
          <t>BUY</t>
        </is>
      </c>
      <c r="E349" t="inlineStr">
        <is>
          <t>Yes</t>
        </is>
      </c>
      <c r="F349" s="2" t="n">
        <v>0.033</v>
      </c>
      <c r="G349" s="6" t="n">
        <v>25000</v>
      </c>
      <c r="H349" s="6">
        <f>F349*G349</f>
        <v/>
      </c>
      <c r="I349">
        <f>_xlfn.XLOOKUP(A349,MktTitle,MktCat,"n/a")</f>
        <v/>
      </c>
      <c r="J349" s="3">
        <f>_xlfn.XLOOKUP(A349,MktTitle,MktTotVol,0)</f>
        <v/>
      </c>
      <c r="K349">
        <f>IF(H349&gt;WhaleThreshold,"WHALE","")</f>
        <v/>
      </c>
    </row>
    <row r="350">
      <c r="A350" t="inlineStr">
        <is>
          <t>Will Mexico win the 2026 FIFA World Cup?</t>
        </is>
      </c>
      <c r="B350" s="4" t="n">
        <v>46206</v>
      </c>
      <c r="C350" s="5" t="n">
        <v>46206.05945601852</v>
      </c>
      <c r="D350" t="inlineStr">
        <is>
          <t>BUY</t>
        </is>
      </c>
      <c r="E350" t="inlineStr">
        <is>
          <t>Yes</t>
        </is>
      </c>
      <c r="F350" s="2" t="n">
        <v>0.033</v>
      </c>
      <c r="G350" s="6" t="n">
        <v>1441.82</v>
      </c>
      <c r="H350" s="6">
        <f>F350*G350</f>
        <v/>
      </c>
      <c r="I350">
        <f>_xlfn.XLOOKUP(A350,MktTitle,MktCat,"n/a")</f>
        <v/>
      </c>
      <c r="J350" s="3">
        <f>_xlfn.XLOOKUP(A350,MktTitle,MktTotVol,0)</f>
        <v/>
      </c>
      <c r="K350">
        <f>IF(H350&gt;WhaleThreshold,"WHALE","")</f>
        <v/>
      </c>
    </row>
    <row r="351">
      <c r="A351" t="inlineStr">
        <is>
          <t>Will Mexico win the 2026 FIFA World Cup?</t>
        </is>
      </c>
      <c r="B351" s="4" t="n">
        <v>46206</v>
      </c>
      <c r="C351" s="5" t="n">
        <v>46206.05914351852</v>
      </c>
      <c r="D351" t="inlineStr">
        <is>
          <t>SELL</t>
        </is>
      </c>
      <c r="E351" t="inlineStr">
        <is>
          <t>No</t>
        </is>
      </c>
      <c r="F351" s="2" t="n">
        <v>0.967</v>
      </c>
      <c r="G351" s="6" t="n">
        <v>50.15</v>
      </c>
      <c r="H351" s="6">
        <f>F351*G351</f>
        <v/>
      </c>
      <c r="I351">
        <f>_xlfn.XLOOKUP(A351,MktTitle,MktCat,"n/a")</f>
        <v/>
      </c>
      <c r="J351" s="3">
        <f>_xlfn.XLOOKUP(A351,MktTitle,MktTotVol,0)</f>
        <v/>
      </c>
      <c r="K351">
        <f>IF(H351&gt;WhaleThreshold,"WHALE","")</f>
        <v/>
      </c>
    </row>
    <row r="352">
      <c r="A352" t="inlineStr">
        <is>
          <t>Will Mexico win the 2026 FIFA World Cup?</t>
        </is>
      </c>
      <c r="B352" s="4" t="n">
        <v>46206</v>
      </c>
      <c r="C352" s="5" t="n">
        <v>46206.0590162037</v>
      </c>
      <c r="D352" t="inlineStr">
        <is>
          <t>BUY</t>
        </is>
      </c>
      <c r="E352" t="inlineStr">
        <is>
          <t>No</t>
        </is>
      </c>
      <c r="F352" s="2" t="n">
        <v>0.968</v>
      </c>
      <c r="G352" s="6" t="n">
        <v>38.99</v>
      </c>
      <c r="H352" s="6">
        <f>F352*G352</f>
        <v/>
      </c>
      <c r="I352">
        <f>_xlfn.XLOOKUP(A352,MktTitle,MktCat,"n/a")</f>
        <v/>
      </c>
      <c r="J352" s="3">
        <f>_xlfn.XLOOKUP(A352,MktTitle,MktTotVol,0)</f>
        <v/>
      </c>
      <c r="K352">
        <f>IF(H352&gt;WhaleThreshold,"WHALE","")</f>
        <v/>
      </c>
    </row>
    <row r="353">
      <c r="A353" t="inlineStr">
        <is>
          <t>Will Mexico win the 2026 FIFA World Cup?</t>
        </is>
      </c>
      <c r="B353" s="4" t="n">
        <v>46206</v>
      </c>
      <c r="C353" s="5" t="n">
        <v>46206.05849537037</v>
      </c>
      <c r="D353" t="inlineStr">
        <is>
          <t>BUY</t>
        </is>
      </c>
      <c r="E353" t="inlineStr">
        <is>
          <t>Yes</t>
        </is>
      </c>
      <c r="F353" s="2" t="n">
        <v>0.033</v>
      </c>
      <c r="G353" s="6" t="n">
        <v>90.9091</v>
      </c>
      <c r="H353" s="6">
        <f>F353*G353</f>
        <v/>
      </c>
      <c r="I353">
        <f>_xlfn.XLOOKUP(A353,MktTitle,MktCat,"n/a")</f>
        <v/>
      </c>
      <c r="J353" s="3">
        <f>_xlfn.XLOOKUP(A353,MktTitle,MktTotVol,0)</f>
        <v/>
      </c>
      <c r="K353">
        <f>IF(H353&gt;WhaleThreshold,"WHALE","")</f>
        <v/>
      </c>
    </row>
    <row r="354">
      <c r="A354" t="inlineStr">
        <is>
          <t>Will Mexico win the 2026 FIFA World Cup?</t>
        </is>
      </c>
      <c r="B354" s="4" t="n">
        <v>46206</v>
      </c>
      <c r="C354" s="5" t="n">
        <v>46206.05814814815</v>
      </c>
      <c r="D354" t="inlineStr">
        <is>
          <t>SELL</t>
        </is>
      </c>
      <c r="E354" t="inlineStr">
        <is>
          <t>Yes</t>
        </is>
      </c>
      <c r="F354" s="2" t="n">
        <v>0.032</v>
      </c>
      <c r="G354" s="6" t="n">
        <v>666.66</v>
      </c>
      <c r="H354" s="6">
        <f>F354*G354</f>
        <v/>
      </c>
      <c r="I354">
        <f>_xlfn.XLOOKUP(A354,MktTitle,MktCat,"n/a")</f>
        <v/>
      </c>
      <c r="J354" s="3">
        <f>_xlfn.XLOOKUP(A354,MktTitle,MktTotVol,0)</f>
        <v/>
      </c>
      <c r="K354">
        <f>IF(H354&gt;WhaleThreshold,"WHALE","")</f>
        <v/>
      </c>
    </row>
    <row r="355">
      <c r="A355" t="inlineStr">
        <is>
          <t>Will Mexico win the 2026 FIFA World Cup?</t>
        </is>
      </c>
      <c r="B355" s="4" t="n">
        <v>46206</v>
      </c>
      <c r="C355" s="5" t="n">
        <v>46206.05752314815</v>
      </c>
      <c r="D355" t="inlineStr">
        <is>
          <t>SELL</t>
        </is>
      </c>
      <c r="E355" t="inlineStr">
        <is>
          <t>No</t>
        </is>
      </c>
      <c r="F355" s="2" t="n">
        <v>0.967</v>
      </c>
      <c r="G355" s="6" t="n">
        <v>55.82</v>
      </c>
      <c r="H355" s="6">
        <f>F355*G355</f>
        <v/>
      </c>
      <c r="I355">
        <f>_xlfn.XLOOKUP(A355,MktTitle,MktCat,"n/a")</f>
        <v/>
      </c>
      <c r="J355" s="3">
        <f>_xlfn.XLOOKUP(A355,MktTitle,MktTotVol,0)</f>
        <v/>
      </c>
      <c r="K355">
        <f>IF(H355&gt;WhaleThreshold,"WHALE","")</f>
        <v/>
      </c>
    </row>
    <row r="356">
      <c r="A356" t="inlineStr">
        <is>
          <t>Will Mexico win the 2026 FIFA World Cup?</t>
        </is>
      </c>
      <c r="B356" s="4" t="n">
        <v>46206</v>
      </c>
      <c r="C356" s="5" t="n">
        <v>46206.05667824074</v>
      </c>
      <c r="D356" t="inlineStr">
        <is>
          <t>BUY</t>
        </is>
      </c>
      <c r="E356" t="inlineStr">
        <is>
          <t>Yes</t>
        </is>
      </c>
      <c r="F356" s="2" t="n">
        <v>0.033</v>
      </c>
      <c r="G356" s="6" t="n">
        <v>151.5152</v>
      </c>
      <c r="H356" s="6">
        <f>F356*G356</f>
        <v/>
      </c>
      <c r="I356">
        <f>_xlfn.XLOOKUP(A356,MktTitle,MktCat,"n/a")</f>
        <v/>
      </c>
      <c r="J356" s="3">
        <f>_xlfn.XLOOKUP(A356,MktTitle,MktTotVol,0)</f>
        <v/>
      </c>
      <c r="K356">
        <f>IF(H356&gt;WhaleThreshold,"WHALE","")</f>
        <v/>
      </c>
    </row>
    <row r="357">
      <c r="A357" t="inlineStr">
        <is>
          <t>Will Mexico win the 2026 FIFA World Cup?</t>
        </is>
      </c>
      <c r="B357" s="4" t="n">
        <v>46206</v>
      </c>
      <c r="C357" s="5" t="n">
        <v>46206.0565162037</v>
      </c>
      <c r="D357" t="inlineStr">
        <is>
          <t>BUY</t>
        </is>
      </c>
      <c r="E357" t="inlineStr">
        <is>
          <t>Yes</t>
        </is>
      </c>
      <c r="F357" s="2" t="n">
        <v>0.033</v>
      </c>
      <c r="G357" s="6" t="n">
        <v>363.6364</v>
      </c>
      <c r="H357" s="6">
        <f>F357*G357</f>
        <v/>
      </c>
      <c r="I357">
        <f>_xlfn.XLOOKUP(A357,MktTitle,MktCat,"n/a")</f>
        <v/>
      </c>
      <c r="J357" s="3">
        <f>_xlfn.XLOOKUP(A357,MktTitle,MktTotVol,0)</f>
        <v/>
      </c>
      <c r="K357">
        <f>IF(H357&gt;WhaleThreshold,"WHALE","")</f>
        <v/>
      </c>
    </row>
    <row r="358">
      <c r="A358" t="inlineStr">
        <is>
          <t>Will Mexico win the 2026 FIFA World Cup?</t>
        </is>
      </c>
      <c r="B358" s="4" t="n">
        <v>46206</v>
      </c>
      <c r="C358" s="5" t="n">
        <v>46206.05629629629</v>
      </c>
      <c r="D358" t="inlineStr">
        <is>
          <t>BUY</t>
        </is>
      </c>
      <c r="E358" t="inlineStr">
        <is>
          <t>Yes</t>
        </is>
      </c>
      <c r="F358" s="2" t="n">
        <v>0.033</v>
      </c>
      <c r="G358" s="6" t="n">
        <v>6000</v>
      </c>
      <c r="H358" s="6">
        <f>F358*G358</f>
        <v/>
      </c>
      <c r="I358">
        <f>_xlfn.XLOOKUP(A358,MktTitle,MktCat,"n/a")</f>
        <v/>
      </c>
      <c r="J358" s="3">
        <f>_xlfn.XLOOKUP(A358,MktTitle,MktTotVol,0)</f>
        <v/>
      </c>
      <c r="K358">
        <f>IF(H358&gt;WhaleThreshold,"WHALE","")</f>
        <v/>
      </c>
    </row>
    <row r="359">
      <c r="A359" t="inlineStr">
        <is>
          <t>Will Mexico win the 2026 FIFA World Cup?</t>
        </is>
      </c>
      <c r="B359" s="4" t="n">
        <v>46206</v>
      </c>
      <c r="C359" s="5" t="n">
        <v>46206.05622685186</v>
      </c>
      <c r="D359" t="inlineStr">
        <is>
          <t>BUY</t>
        </is>
      </c>
      <c r="E359" t="inlineStr">
        <is>
          <t>Yes</t>
        </is>
      </c>
      <c r="F359" s="2" t="n">
        <v>0.033</v>
      </c>
      <c r="G359" s="6" t="n">
        <v>150</v>
      </c>
      <c r="H359" s="6">
        <f>F359*G359</f>
        <v/>
      </c>
      <c r="I359">
        <f>_xlfn.XLOOKUP(A359,MktTitle,MktCat,"n/a")</f>
        <v/>
      </c>
      <c r="J359" s="3">
        <f>_xlfn.XLOOKUP(A359,MktTitle,MktTotVol,0)</f>
        <v/>
      </c>
      <c r="K359">
        <f>IF(H359&gt;WhaleThreshold,"WHALE","")</f>
        <v/>
      </c>
    </row>
    <row r="360">
      <c r="A360" t="inlineStr">
        <is>
          <t>Will Mexico win the 2026 FIFA World Cup?</t>
        </is>
      </c>
      <c r="B360" s="4" t="n">
        <v>46206</v>
      </c>
      <c r="C360" s="5" t="n">
        <v>46206.05478009259</v>
      </c>
      <c r="D360" t="inlineStr">
        <is>
          <t>BUY</t>
        </is>
      </c>
      <c r="E360" t="inlineStr">
        <is>
          <t>No</t>
        </is>
      </c>
      <c r="F360" s="2" t="n">
        <v>0.968</v>
      </c>
      <c r="G360" s="6" t="n">
        <v>5.1653</v>
      </c>
      <c r="H360" s="6">
        <f>F360*G360</f>
        <v/>
      </c>
      <c r="I360">
        <f>_xlfn.XLOOKUP(A360,MktTitle,MktCat,"n/a")</f>
        <v/>
      </c>
      <c r="J360" s="3">
        <f>_xlfn.XLOOKUP(A360,MktTitle,MktTotVol,0)</f>
        <v/>
      </c>
      <c r="K360">
        <f>IF(H360&gt;WhaleThreshold,"WHALE","")</f>
        <v/>
      </c>
    </row>
    <row r="361">
      <c r="A361" t="inlineStr">
        <is>
          <t>Will Mexico win the 2026 FIFA World Cup?</t>
        </is>
      </c>
      <c r="B361" s="4" t="n">
        <v>46206</v>
      </c>
      <c r="C361" s="5" t="n">
        <v>46206.05424768518</v>
      </c>
      <c r="D361" t="inlineStr">
        <is>
          <t>BUY</t>
        </is>
      </c>
      <c r="E361" t="inlineStr">
        <is>
          <t>Yes</t>
        </is>
      </c>
      <c r="F361" s="2" t="n">
        <v>0.033</v>
      </c>
      <c r="G361" s="6" t="n">
        <v>30.303</v>
      </c>
      <c r="H361" s="6">
        <f>F361*G361</f>
        <v/>
      </c>
      <c r="I361">
        <f>_xlfn.XLOOKUP(A361,MktTitle,MktCat,"n/a")</f>
        <v/>
      </c>
      <c r="J361" s="3">
        <f>_xlfn.XLOOKUP(A361,MktTitle,MktTotVol,0)</f>
        <v/>
      </c>
      <c r="K361">
        <f>IF(H361&gt;WhaleThreshold,"WHALE","")</f>
        <v/>
      </c>
    </row>
    <row r="362">
      <c r="A362" t="inlineStr">
        <is>
          <t>Will Mexico win the 2026 FIFA World Cup?</t>
        </is>
      </c>
      <c r="B362" s="4" t="n">
        <v>46206</v>
      </c>
      <c r="C362" s="5" t="n">
        <v>46206.05417824074</v>
      </c>
      <c r="D362" t="inlineStr">
        <is>
          <t>BUY</t>
        </is>
      </c>
      <c r="E362" t="inlineStr">
        <is>
          <t>Yes</t>
        </is>
      </c>
      <c r="F362" s="2" t="n">
        <v>0.033</v>
      </c>
      <c r="G362" s="6" t="n">
        <v>9090.909100000001</v>
      </c>
      <c r="H362" s="6">
        <f>F362*G362</f>
        <v/>
      </c>
      <c r="I362">
        <f>_xlfn.XLOOKUP(A362,MktTitle,MktCat,"n/a")</f>
        <v/>
      </c>
      <c r="J362" s="3">
        <f>_xlfn.XLOOKUP(A362,MktTitle,MktTotVol,0)</f>
        <v/>
      </c>
      <c r="K362">
        <f>IF(H362&gt;WhaleThreshold,"WHALE","")</f>
        <v/>
      </c>
    </row>
    <row r="363">
      <c r="A363" t="inlineStr">
        <is>
          <t>Will Mexico win the 2026 FIFA World Cup?</t>
        </is>
      </c>
      <c r="B363" s="4" t="n">
        <v>46206</v>
      </c>
      <c r="C363" s="5" t="n">
        <v>46206.05414351852</v>
      </c>
      <c r="D363" t="inlineStr">
        <is>
          <t>SELL</t>
        </is>
      </c>
      <c r="E363" t="inlineStr">
        <is>
          <t>Yes</t>
        </is>
      </c>
      <c r="F363" s="2" t="n">
        <v>0.032</v>
      </c>
      <c r="G363" s="6" t="n">
        <v>3571.42</v>
      </c>
      <c r="H363" s="6">
        <f>F363*G363</f>
        <v/>
      </c>
      <c r="I363">
        <f>_xlfn.XLOOKUP(A363,MktTitle,MktCat,"n/a")</f>
        <v/>
      </c>
      <c r="J363" s="3">
        <f>_xlfn.XLOOKUP(A363,MktTitle,MktTotVol,0)</f>
        <v/>
      </c>
      <c r="K363">
        <f>IF(H363&gt;WhaleThreshold,"WHALE","")</f>
        <v/>
      </c>
    </row>
    <row r="364">
      <c r="A364" t="inlineStr">
        <is>
          <t>Will Mexico win the 2026 FIFA World Cup?</t>
        </is>
      </c>
      <c r="B364" s="4" t="n">
        <v>46206</v>
      </c>
      <c r="C364" s="5" t="n">
        <v>46206.0541087963</v>
      </c>
      <c r="D364" t="inlineStr">
        <is>
          <t>SELL</t>
        </is>
      </c>
      <c r="E364" t="inlineStr">
        <is>
          <t>Yes</t>
        </is>
      </c>
      <c r="F364" s="2" t="n">
        <v>0.032</v>
      </c>
      <c r="G364" s="6" t="n">
        <v>606.0599999999999</v>
      </c>
      <c r="H364" s="6">
        <f>F364*G364</f>
        <v/>
      </c>
      <c r="I364">
        <f>_xlfn.XLOOKUP(A364,MktTitle,MktCat,"n/a")</f>
        <v/>
      </c>
      <c r="J364" s="3">
        <f>_xlfn.XLOOKUP(A364,MktTitle,MktTotVol,0)</f>
        <v/>
      </c>
      <c r="K364">
        <f>IF(H364&gt;WhaleThreshold,"WHALE","")</f>
        <v/>
      </c>
    </row>
    <row r="365">
      <c r="A365" t="inlineStr">
        <is>
          <t>Will Mexico win the 2026 FIFA World Cup?</t>
        </is>
      </c>
      <c r="B365" s="4" t="n">
        <v>46206</v>
      </c>
      <c r="C365" s="5" t="n">
        <v>46206.05342592593</v>
      </c>
      <c r="D365" t="inlineStr">
        <is>
          <t>BUY</t>
        </is>
      </c>
      <c r="E365" t="inlineStr">
        <is>
          <t>No</t>
        </is>
      </c>
      <c r="F365" s="2" t="n">
        <v>0.968</v>
      </c>
      <c r="G365" s="6" t="n">
        <v>104</v>
      </c>
      <c r="H365" s="6">
        <f>F365*G365</f>
        <v/>
      </c>
      <c r="I365">
        <f>_xlfn.XLOOKUP(A365,MktTitle,MktCat,"n/a")</f>
        <v/>
      </c>
      <c r="J365" s="3">
        <f>_xlfn.XLOOKUP(A365,MktTitle,MktTotVol,0)</f>
        <v/>
      </c>
      <c r="K365">
        <f>IF(H365&gt;WhaleThreshold,"WHALE","")</f>
        <v/>
      </c>
    </row>
    <row r="366">
      <c r="A366" t="inlineStr">
        <is>
          <t>Will Mexico win the 2026 FIFA World Cup?</t>
        </is>
      </c>
      <c r="B366" s="4" t="n">
        <v>46206</v>
      </c>
      <c r="C366" s="5" t="n">
        <v>46206.05341435185</v>
      </c>
      <c r="D366" t="inlineStr">
        <is>
          <t>SELL</t>
        </is>
      </c>
      <c r="E366" t="inlineStr">
        <is>
          <t>Yes</t>
        </is>
      </c>
      <c r="F366" s="2" t="n">
        <v>0.032</v>
      </c>
      <c r="G366" s="6" t="n">
        <v>165.24</v>
      </c>
      <c r="H366" s="6">
        <f>F366*G366</f>
        <v/>
      </c>
      <c r="I366">
        <f>_xlfn.XLOOKUP(A366,MktTitle,MktCat,"n/a")</f>
        <v/>
      </c>
      <c r="J366" s="3">
        <f>_xlfn.XLOOKUP(A366,MktTitle,MktTotVol,0)</f>
        <v/>
      </c>
      <c r="K366">
        <f>IF(H366&gt;WhaleThreshold,"WHALE","")</f>
        <v/>
      </c>
    </row>
    <row r="367">
      <c r="A367" t="inlineStr">
        <is>
          <t>Will Mexico win the 2026 FIFA World Cup?</t>
        </is>
      </c>
      <c r="B367" s="4" t="n">
        <v>46206</v>
      </c>
      <c r="C367" s="5" t="n">
        <v>46206.05273148148</v>
      </c>
      <c r="D367" t="inlineStr">
        <is>
          <t>BUY</t>
        </is>
      </c>
      <c r="E367" t="inlineStr">
        <is>
          <t>Yes</t>
        </is>
      </c>
      <c r="F367" s="2" t="n">
        <v>0.033</v>
      </c>
      <c r="G367" s="6" t="n">
        <v>151.5152</v>
      </c>
      <c r="H367" s="6">
        <f>F367*G367</f>
        <v/>
      </c>
      <c r="I367">
        <f>_xlfn.XLOOKUP(A367,MktTitle,MktCat,"n/a")</f>
        <v/>
      </c>
      <c r="J367" s="3">
        <f>_xlfn.XLOOKUP(A367,MktTitle,MktTotVol,0)</f>
        <v/>
      </c>
      <c r="K367">
        <f>IF(H367&gt;WhaleThreshold,"WHALE","")</f>
        <v/>
      </c>
    </row>
    <row r="368">
      <c r="A368" t="inlineStr">
        <is>
          <t>Will Mexico win the 2026 FIFA World Cup?</t>
        </is>
      </c>
      <c r="B368" s="4" t="n">
        <v>46206</v>
      </c>
      <c r="C368" s="5" t="n">
        <v>46206.05266203704</v>
      </c>
      <c r="D368" t="inlineStr">
        <is>
          <t>SELL</t>
        </is>
      </c>
      <c r="E368" t="inlineStr">
        <is>
          <t>No</t>
        </is>
      </c>
      <c r="F368" s="2" t="n">
        <v>0.967</v>
      </c>
      <c r="G368" s="6" t="n">
        <v>57.24</v>
      </c>
      <c r="H368" s="6">
        <f>F368*G368</f>
        <v/>
      </c>
      <c r="I368">
        <f>_xlfn.XLOOKUP(A368,MktTitle,MktCat,"n/a")</f>
        <v/>
      </c>
      <c r="J368" s="3">
        <f>_xlfn.XLOOKUP(A368,MktTitle,MktTotVol,0)</f>
        <v/>
      </c>
      <c r="K368">
        <f>IF(H368&gt;WhaleThreshold,"WHALE","")</f>
        <v/>
      </c>
    </row>
    <row r="369">
      <c r="A369" t="inlineStr">
        <is>
          <t>Will Mexico win the 2026 FIFA World Cup?</t>
        </is>
      </c>
      <c r="B369" s="4" t="n">
        <v>46206</v>
      </c>
      <c r="C369" s="5" t="n">
        <v>46206.05258101852</v>
      </c>
      <c r="D369" t="inlineStr">
        <is>
          <t>SELL</t>
        </is>
      </c>
      <c r="E369" t="inlineStr">
        <is>
          <t>No</t>
        </is>
      </c>
      <c r="F369" s="2" t="n">
        <v>0.967</v>
      </c>
      <c r="G369" s="6" t="n">
        <v>10.35</v>
      </c>
      <c r="H369" s="6">
        <f>F369*G369</f>
        <v/>
      </c>
      <c r="I369">
        <f>_xlfn.XLOOKUP(A369,MktTitle,MktCat,"n/a")</f>
        <v/>
      </c>
      <c r="J369" s="3">
        <f>_xlfn.XLOOKUP(A369,MktTitle,MktTotVol,0)</f>
        <v/>
      </c>
      <c r="K369">
        <f>IF(H369&gt;WhaleThreshold,"WHALE","")</f>
        <v/>
      </c>
    </row>
    <row r="370">
      <c r="A370" t="inlineStr">
        <is>
          <t>Will Mexico win the 2026 FIFA World Cup?</t>
        </is>
      </c>
      <c r="B370" s="4" t="n">
        <v>46206</v>
      </c>
      <c r="C370" s="5" t="n">
        <v>46206.05228009259</v>
      </c>
      <c r="D370" t="inlineStr">
        <is>
          <t>BUY</t>
        </is>
      </c>
      <c r="E370" t="inlineStr">
        <is>
          <t>No</t>
        </is>
      </c>
      <c r="F370" s="2" t="n">
        <v>0.968</v>
      </c>
      <c r="G370" s="6" t="n">
        <v>10.35</v>
      </c>
      <c r="H370" s="6">
        <f>F370*G370</f>
        <v/>
      </c>
      <c r="I370">
        <f>_xlfn.XLOOKUP(A370,MktTitle,MktCat,"n/a")</f>
        <v/>
      </c>
      <c r="J370" s="3">
        <f>_xlfn.XLOOKUP(A370,MktTitle,MktTotVol,0)</f>
        <v/>
      </c>
      <c r="K370">
        <f>IF(H370&gt;WhaleThreshold,"WHALE","")</f>
        <v/>
      </c>
    </row>
    <row r="371">
      <c r="A371" t="inlineStr">
        <is>
          <t>Will Mexico win the 2026 FIFA World Cup?</t>
        </is>
      </c>
      <c r="B371" s="4" t="n">
        <v>46206</v>
      </c>
      <c r="C371" s="5" t="n">
        <v>46206.05216435185</v>
      </c>
      <c r="D371" t="inlineStr">
        <is>
          <t>BUY</t>
        </is>
      </c>
      <c r="E371" t="inlineStr">
        <is>
          <t>Yes</t>
        </is>
      </c>
      <c r="F371" s="2" t="n">
        <v>0.033</v>
      </c>
      <c r="G371" s="6" t="n">
        <v>10564.53</v>
      </c>
      <c r="H371" s="6">
        <f>F371*G371</f>
        <v/>
      </c>
      <c r="I371">
        <f>_xlfn.XLOOKUP(A371,MktTitle,MktCat,"n/a")</f>
        <v/>
      </c>
      <c r="J371" s="3">
        <f>_xlfn.XLOOKUP(A371,MktTitle,MktTotVol,0)</f>
        <v/>
      </c>
      <c r="K371">
        <f>IF(H371&gt;WhaleThreshold,"WHALE","")</f>
        <v/>
      </c>
    </row>
    <row r="372">
      <c r="A372" t="inlineStr">
        <is>
          <t>Will Mexico win the 2026 FIFA World Cup?</t>
        </is>
      </c>
      <c r="B372" s="4" t="n">
        <v>46206</v>
      </c>
      <c r="C372" s="5" t="n">
        <v>46206.05105324074</v>
      </c>
      <c r="D372" t="inlineStr">
        <is>
          <t>BUY</t>
        </is>
      </c>
      <c r="E372" t="inlineStr">
        <is>
          <t>Yes</t>
        </is>
      </c>
      <c r="F372" s="2" t="n">
        <v>0.033</v>
      </c>
      <c r="G372" s="6" t="n">
        <v>3630</v>
      </c>
      <c r="H372" s="6">
        <f>F372*G372</f>
        <v/>
      </c>
      <c r="I372">
        <f>_xlfn.XLOOKUP(A372,MktTitle,MktCat,"n/a")</f>
        <v/>
      </c>
      <c r="J372" s="3">
        <f>_xlfn.XLOOKUP(A372,MktTitle,MktTotVol,0)</f>
        <v/>
      </c>
      <c r="K372">
        <f>IF(H372&gt;WhaleThreshold,"WHALE","")</f>
        <v/>
      </c>
    </row>
    <row r="373">
      <c r="A373" t="inlineStr">
        <is>
          <t>Will Mexico win the 2026 FIFA World Cup?</t>
        </is>
      </c>
      <c r="B373" s="4" t="n">
        <v>46206</v>
      </c>
      <c r="C373" s="5" t="n">
        <v>46206.05050925926</v>
      </c>
      <c r="D373" t="inlineStr">
        <is>
          <t>BUY</t>
        </is>
      </c>
      <c r="E373" t="inlineStr">
        <is>
          <t>Yes</t>
        </is>
      </c>
      <c r="F373" s="2" t="n">
        <v>0.033</v>
      </c>
      <c r="G373" s="6" t="n">
        <v>90.9091</v>
      </c>
      <c r="H373" s="6">
        <f>F373*G373</f>
        <v/>
      </c>
      <c r="I373">
        <f>_xlfn.XLOOKUP(A373,MktTitle,MktCat,"n/a")</f>
        <v/>
      </c>
      <c r="J373" s="3">
        <f>_xlfn.XLOOKUP(A373,MktTitle,MktTotVol,0)</f>
        <v/>
      </c>
      <c r="K373">
        <f>IF(H373&gt;WhaleThreshold,"WHALE","")</f>
        <v/>
      </c>
    </row>
    <row r="374">
      <c r="A374" t="inlineStr">
        <is>
          <t>Will Mexico win the 2026 FIFA World Cup?</t>
        </is>
      </c>
      <c r="B374" s="4" t="n">
        <v>46206</v>
      </c>
      <c r="C374" s="5" t="n">
        <v>46206.05002314815</v>
      </c>
      <c r="D374" t="inlineStr">
        <is>
          <t>BUY</t>
        </is>
      </c>
      <c r="E374" t="inlineStr">
        <is>
          <t>Yes</t>
        </is>
      </c>
      <c r="F374" s="2" t="n">
        <v>0.033</v>
      </c>
      <c r="G374" s="6" t="n">
        <v>9393.939399999999</v>
      </c>
      <c r="H374" s="6">
        <f>F374*G374</f>
        <v/>
      </c>
      <c r="I374">
        <f>_xlfn.XLOOKUP(A374,MktTitle,MktCat,"n/a")</f>
        <v/>
      </c>
      <c r="J374" s="3">
        <f>_xlfn.XLOOKUP(A374,MktTitle,MktTotVol,0)</f>
        <v/>
      </c>
      <c r="K374">
        <f>IF(H374&gt;WhaleThreshold,"WHALE","")</f>
        <v/>
      </c>
    </row>
    <row r="375">
      <c r="A375" t="inlineStr">
        <is>
          <t>Will Mexico win the 2026 FIFA World Cup?</t>
        </is>
      </c>
      <c r="B375" s="4" t="n">
        <v>46206</v>
      </c>
      <c r="C375" s="5" t="n">
        <v>46206.0499537037</v>
      </c>
      <c r="D375" t="inlineStr">
        <is>
          <t>BUY</t>
        </is>
      </c>
      <c r="E375" t="inlineStr">
        <is>
          <t>Yes</t>
        </is>
      </c>
      <c r="F375" s="2" t="n">
        <v>0.033</v>
      </c>
      <c r="G375" s="6" t="n">
        <v>606.0606</v>
      </c>
      <c r="H375" s="6">
        <f>F375*G375</f>
        <v/>
      </c>
      <c r="I375">
        <f>_xlfn.XLOOKUP(A375,MktTitle,MktCat,"n/a")</f>
        <v/>
      </c>
      <c r="J375" s="3">
        <f>_xlfn.XLOOKUP(A375,MktTitle,MktTotVol,0)</f>
        <v/>
      </c>
      <c r="K375">
        <f>IF(H375&gt;WhaleThreshold,"WHALE","")</f>
        <v/>
      </c>
    </row>
    <row r="376">
      <c r="A376" t="inlineStr">
        <is>
          <t>Will Mexico win the 2026 FIFA World Cup?</t>
        </is>
      </c>
      <c r="B376" s="4" t="n">
        <v>46206</v>
      </c>
      <c r="C376" s="5" t="n">
        <v>46206.04728009259</v>
      </c>
      <c r="D376" t="inlineStr">
        <is>
          <t>SELL</t>
        </is>
      </c>
      <c r="E376" t="inlineStr">
        <is>
          <t>Yes</t>
        </is>
      </c>
      <c r="F376" s="2" t="n">
        <v>0.032</v>
      </c>
      <c r="G376" s="6" t="n">
        <v>33.42</v>
      </c>
      <c r="H376" s="6">
        <f>F376*G376</f>
        <v/>
      </c>
      <c r="I376">
        <f>_xlfn.XLOOKUP(A376,MktTitle,MktCat,"n/a")</f>
        <v/>
      </c>
      <c r="J376" s="3">
        <f>_xlfn.XLOOKUP(A376,MktTitle,MktTotVol,0)</f>
        <v/>
      </c>
      <c r="K376">
        <f>IF(H376&gt;WhaleThreshold,"WHALE","")</f>
        <v/>
      </c>
    </row>
    <row r="377">
      <c r="A377" t="inlineStr">
        <is>
          <t>Will Mexico win the 2026 FIFA World Cup?</t>
        </is>
      </c>
      <c r="B377" s="4" t="n">
        <v>46206</v>
      </c>
      <c r="C377" s="5" t="n">
        <v>46206.04696759259</v>
      </c>
      <c r="D377" t="inlineStr">
        <is>
          <t>BUY</t>
        </is>
      </c>
      <c r="E377" t="inlineStr">
        <is>
          <t>Yes</t>
        </is>
      </c>
      <c r="F377" s="2" t="n">
        <v>0.033</v>
      </c>
      <c r="G377" s="6" t="n">
        <v>151.5152</v>
      </c>
      <c r="H377" s="6">
        <f>F377*G377</f>
        <v/>
      </c>
      <c r="I377">
        <f>_xlfn.XLOOKUP(A377,MktTitle,MktCat,"n/a")</f>
        <v/>
      </c>
      <c r="J377" s="3">
        <f>_xlfn.XLOOKUP(A377,MktTitle,MktTotVol,0)</f>
        <v/>
      </c>
      <c r="K377">
        <f>IF(H377&gt;WhaleThreshold,"WHALE","")</f>
        <v/>
      </c>
    </row>
    <row r="378">
      <c r="A378" t="inlineStr">
        <is>
          <t>Will Mexico win the 2026 FIFA World Cup?</t>
        </is>
      </c>
      <c r="B378" s="4" t="n">
        <v>46206</v>
      </c>
      <c r="C378" s="5" t="n">
        <v>46206.0466087963</v>
      </c>
      <c r="D378" t="inlineStr">
        <is>
          <t>SELL</t>
        </is>
      </c>
      <c r="E378" t="inlineStr">
        <is>
          <t>Yes</t>
        </is>
      </c>
      <c r="F378" s="2" t="n">
        <v>0.032</v>
      </c>
      <c r="G378" s="6" t="n">
        <v>151.51</v>
      </c>
      <c r="H378" s="6">
        <f>F378*G378</f>
        <v/>
      </c>
      <c r="I378">
        <f>_xlfn.XLOOKUP(A378,MktTitle,MktCat,"n/a")</f>
        <v/>
      </c>
      <c r="J378" s="3">
        <f>_xlfn.XLOOKUP(A378,MktTitle,MktTotVol,0)</f>
        <v/>
      </c>
      <c r="K378">
        <f>IF(H378&gt;WhaleThreshold,"WHALE","")</f>
        <v/>
      </c>
    </row>
    <row r="379">
      <c r="A379" t="inlineStr">
        <is>
          <t>Will Mexico win the 2026 FIFA World Cup?</t>
        </is>
      </c>
      <c r="B379" s="4" t="n">
        <v>46206</v>
      </c>
      <c r="C379" s="5" t="n">
        <v>46206.04655092592</v>
      </c>
      <c r="D379" t="inlineStr">
        <is>
          <t>SELL</t>
        </is>
      </c>
      <c r="E379" t="inlineStr">
        <is>
          <t>No</t>
        </is>
      </c>
      <c r="F379" s="2" t="n">
        <v>0.967</v>
      </c>
      <c r="G379" s="6" t="n">
        <v>19.11</v>
      </c>
      <c r="H379" s="6">
        <f>F379*G379</f>
        <v/>
      </c>
      <c r="I379">
        <f>_xlfn.XLOOKUP(A379,MktTitle,MktCat,"n/a")</f>
        <v/>
      </c>
      <c r="J379" s="3">
        <f>_xlfn.XLOOKUP(A379,MktTitle,MktTotVol,0)</f>
        <v/>
      </c>
      <c r="K379">
        <f>IF(H379&gt;WhaleThreshold,"WHALE","")</f>
        <v/>
      </c>
    </row>
    <row r="380">
      <c r="A380" t="inlineStr">
        <is>
          <t>Will Mexico win the 2026 FIFA World Cup?</t>
        </is>
      </c>
      <c r="B380" s="4" t="n">
        <v>46206</v>
      </c>
      <c r="C380" s="5" t="n">
        <v>46206.04623842592</v>
      </c>
      <c r="D380" t="inlineStr">
        <is>
          <t>BUY</t>
        </is>
      </c>
      <c r="E380" t="inlineStr">
        <is>
          <t>No</t>
        </is>
      </c>
      <c r="F380" s="2" t="n">
        <v>0.968</v>
      </c>
      <c r="G380" s="6" t="n">
        <v>19.11</v>
      </c>
      <c r="H380" s="6">
        <f>F380*G380</f>
        <v/>
      </c>
      <c r="I380">
        <f>_xlfn.XLOOKUP(A380,MktTitle,MktCat,"n/a")</f>
        <v/>
      </c>
      <c r="J380" s="3">
        <f>_xlfn.XLOOKUP(A380,MktTitle,MktTotVol,0)</f>
        <v/>
      </c>
      <c r="K380">
        <f>IF(H380&gt;WhaleThreshold,"WHALE","")</f>
        <v/>
      </c>
    </row>
    <row r="381">
      <c r="A381" t="inlineStr">
        <is>
          <t>Will Mexico win the 2026 FIFA World Cup?</t>
        </is>
      </c>
      <c r="B381" s="4" t="n">
        <v>46206</v>
      </c>
      <c r="C381" s="5" t="n">
        <v>46206.0453587963</v>
      </c>
      <c r="D381" t="inlineStr">
        <is>
          <t>SELL</t>
        </is>
      </c>
      <c r="E381" t="inlineStr">
        <is>
          <t>Yes</t>
        </is>
      </c>
      <c r="F381" s="2" t="n">
        <v>0.032</v>
      </c>
      <c r="G381" s="6" t="n">
        <v>30.27</v>
      </c>
      <c r="H381" s="6">
        <f>F381*G381</f>
        <v/>
      </c>
      <c r="I381">
        <f>_xlfn.XLOOKUP(A381,MktTitle,MktCat,"n/a")</f>
        <v/>
      </c>
      <c r="J381" s="3">
        <f>_xlfn.XLOOKUP(A381,MktTitle,MktTotVol,0)</f>
        <v/>
      </c>
      <c r="K381">
        <f>IF(H381&gt;WhaleThreshold,"WHALE","")</f>
        <v/>
      </c>
    </row>
    <row r="382">
      <c r="A382" t="inlineStr">
        <is>
          <t>Will Mexico win the 2026 FIFA World Cup?</t>
        </is>
      </c>
      <c r="B382" s="4" t="n">
        <v>46206</v>
      </c>
      <c r="C382" s="5" t="n">
        <v>46206.04498842593</v>
      </c>
      <c r="D382" t="inlineStr">
        <is>
          <t>BUY</t>
        </is>
      </c>
      <c r="E382" t="inlineStr">
        <is>
          <t>No</t>
        </is>
      </c>
      <c r="F382" s="2" t="n">
        <v>0.968</v>
      </c>
      <c r="G382" s="6" t="n">
        <v>5</v>
      </c>
      <c r="H382" s="6">
        <f>F382*G382</f>
        <v/>
      </c>
      <c r="I382">
        <f>_xlfn.XLOOKUP(A382,MktTitle,MktCat,"n/a")</f>
        <v/>
      </c>
      <c r="J382" s="3">
        <f>_xlfn.XLOOKUP(A382,MktTitle,MktTotVol,0)</f>
        <v/>
      </c>
      <c r="K382">
        <f>IF(H382&gt;WhaleThreshold,"WHALE","")</f>
        <v/>
      </c>
    </row>
    <row r="383">
      <c r="A383" t="inlineStr">
        <is>
          <t>Will Mexico win the 2026 FIFA World Cup?</t>
        </is>
      </c>
      <c r="B383" s="4" t="n">
        <v>46206</v>
      </c>
      <c r="C383" s="5" t="n">
        <v>46206.04467592593</v>
      </c>
      <c r="D383" t="inlineStr">
        <is>
          <t>SELL</t>
        </is>
      </c>
      <c r="E383" t="inlineStr">
        <is>
          <t>No</t>
        </is>
      </c>
      <c r="F383" s="2" t="n">
        <v>0.967</v>
      </c>
      <c r="G383" s="6" t="n">
        <v>17.2</v>
      </c>
      <c r="H383" s="6">
        <f>F383*G383</f>
        <v/>
      </c>
      <c r="I383">
        <f>_xlfn.XLOOKUP(A383,MktTitle,MktCat,"n/a")</f>
        <v/>
      </c>
      <c r="J383" s="3">
        <f>_xlfn.XLOOKUP(A383,MktTitle,MktTotVol,0)</f>
        <v/>
      </c>
      <c r="K383">
        <f>IF(H383&gt;WhaleThreshold,"WHALE","")</f>
        <v/>
      </c>
    </row>
    <row r="384">
      <c r="A384" t="inlineStr">
        <is>
          <t>Will Mexico win the 2026 FIFA World Cup?</t>
        </is>
      </c>
      <c r="B384" s="4" t="n">
        <v>46206</v>
      </c>
      <c r="C384" s="5" t="n">
        <v>46206.04359953704</v>
      </c>
      <c r="D384" t="inlineStr">
        <is>
          <t>BUY</t>
        </is>
      </c>
      <c r="E384" t="inlineStr">
        <is>
          <t>Yes</t>
        </is>
      </c>
      <c r="F384" s="2" t="n">
        <v>0.033</v>
      </c>
      <c r="G384" s="6" t="n">
        <v>597.2727</v>
      </c>
      <c r="H384" s="6">
        <f>F384*G384</f>
        <v/>
      </c>
      <c r="I384">
        <f>_xlfn.XLOOKUP(A384,MktTitle,MktCat,"n/a")</f>
        <v/>
      </c>
      <c r="J384" s="3">
        <f>_xlfn.XLOOKUP(A384,MktTitle,MktTotVol,0)</f>
        <v/>
      </c>
      <c r="K384">
        <f>IF(H384&gt;WhaleThreshold,"WHALE","")</f>
        <v/>
      </c>
    </row>
    <row r="385">
      <c r="A385" t="inlineStr">
        <is>
          <t>Will Mexico win the 2026 FIFA World Cup?</t>
        </is>
      </c>
      <c r="B385" s="4" t="n">
        <v>46206</v>
      </c>
      <c r="C385" s="5" t="n">
        <v>46206.04359953704</v>
      </c>
      <c r="D385" t="inlineStr">
        <is>
          <t>SELL</t>
        </is>
      </c>
      <c r="E385" t="inlineStr">
        <is>
          <t>Yes</t>
        </is>
      </c>
      <c r="F385" s="2" t="n">
        <v>0.032</v>
      </c>
      <c r="G385" s="6" t="n">
        <v>67.5</v>
      </c>
      <c r="H385" s="6">
        <f>F385*G385</f>
        <v/>
      </c>
      <c r="I385">
        <f>_xlfn.XLOOKUP(A385,MktTitle,MktCat,"n/a")</f>
        <v/>
      </c>
      <c r="J385" s="3">
        <f>_xlfn.XLOOKUP(A385,MktTitle,MktTotVol,0)</f>
        <v/>
      </c>
      <c r="K385">
        <f>IF(H385&gt;WhaleThreshold,"WHALE","")</f>
        <v/>
      </c>
    </row>
    <row r="386">
      <c r="A386" t="inlineStr">
        <is>
          <t>Will Mexico win the 2026 FIFA World Cup?</t>
        </is>
      </c>
      <c r="B386" s="4" t="n">
        <v>46206</v>
      </c>
      <c r="C386" s="5" t="n">
        <v>46206.04335648148</v>
      </c>
      <c r="D386" t="inlineStr">
        <is>
          <t>BUY</t>
        </is>
      </c>
      <c r="E386" t="inlineStr">
        <is>
          <t>No</t>
        </is>
      </c>
      <c r="F386" s="2" t="n">
        <v>0.968</v>
      </c>
      <c r="G386" s="6" t="n">
        <v>17.49</v>
      </c>
      <c r="H386" s="6">
        <f>F386*G386</f>
        <v/>
      </c>
      <c r="I386">
        <f>_xlfn.XLOOKUP(A386,MktTitle,MktCat,"n/a")</f>
        <v/>
      </c>
      <c r="J386" s="3">
        <f>_xlfn.XLOOKUP(A386,MktTitle,MktTotVol,0)</f>
        <v/>
      </c>
      <c r="K386">
        <f>IF(H386&gt;WhaleThreshold,"WHALE","")</f>
        <v/>
      </c>
    </row>
    <row r="387">
      <c r="A387" t="inlineStr">
        <is>
          <t>Will Mexico win the 2026 FIFA World Cup?</t>
        </is>
      </c>
      <c r="B387" s="4" t="n">
        <v>46206</v>
      </c>
      <c r="C387" s="5" t="n">
        <v>46206.04292824074</v>
      </c>
      <c r="D387" t="inlineStr">
        <is>
          <t>BUY</t>
        </is>
      </c>
      <c r="E387" t="inlineStr">
        <is>
          <t>Yes</t>
        </is>
      </c>
      <c r="F387" s="2" t="n">
        <v>0.033</v>
      </c>
      <c r="G387" s="6" t="n">
        <v>454.5455</v>
      </c>
      <c r="H387" s="6">
        <f>F387*G387</f>
        <v/>
      </c>
      <c r="I387">
        <f>_xlfn.XLOOKUP(A387,MktTitle,MktCat,"n/a")</f>
        <v/>
      </c>
      <c r="J387" s="3">
        <f>_xlfn.XLOOKUP(A387,MktTitle,MktTotVol,0)</f>
        <v/>
      </c>
      <c r="K387">
        <f>IF(H387&gt;WhaleThreshold,"WHALE","")</f>
        <v/>
      </c>
    </row>
    <row r="388">
      <c r="A388" t="inlineStr">
        <is>
          <t>Will Mexico win the 2026 FIFA World Cup?</t>
        </is>
      </c>
      <c r="B388" s="4" t="n">
        <v>46206</v>
      </c>
      <c r="C388" s="5" t="n">
        <v>46206.04241898148</v>
      </c>
      <c r="D388" t="inlineStr">
        <is>
          <t>SELL</t>
        </is>
      </c>
      <c r="E388" t="inlineStr">
        <is>
          <t>Yes</t>
        </is>
      </c>
      <c r="F388" s="2" t="n">
        <v>0.032</v>
      </c>
      <c r="G388" s="6" t="n">
        <v>310</v>
      </c>
      <c r="H388" s="6">
        <f>F388*G388</f>
        <v/>
      </c>
      <c r="I388">
        <f>_xlfn.XLOOKUP(A388,MktTitle,MktCat,"n/a")</f>
        <v/>
      </c>
      <c r="J388" s="3">
        <f>_xlfn.XLOOKUP(A388,MktTitle,MktTotVol,0)</f>
        <v/>
      </c>
      <c r="K388">
        <f>IF(H388&gt;WhaleThreshold,"WHALE","")</f>
        <v/>
      </c>
    </row>
    <row r="389">
      <c r="A389" t="inlineStr">
        <is>
          <t>Will Mexico win the 2026 FIFA World Cup?</t>
        </is>
      </c>
      <c r="B389" s="4" t="n">
        <v>46206</v>
      </c>
      <c r="C389" s="5" t="n">
        <v>46206.04195601852</v>
      </c>
      <c r="D389" t="inlineStr">
        <is>
          <t>BUY</t>
        </is>
      </c>
      <c r="E389" t="inlineStr">
        <is>
          <t>Yes</t>
        </is>
      </c>
      <c r="F389" s="2" t="n">
        <v>0.033</v>
      </c>
      <c r="G389" s="6" t="n">
        <v>652.4242</v>
      </c>
      <c r="H389" s="6">
        <f>F389*G389</f>
        <v/>
      </c>
      <c r="I389">
        <f>_xlfn.XLOOKUP(A389,MktTitle,MktCat,"n/a")</f>
        <v/>
      </c>
      <c r="J389" s="3">
        <f>_xlfn.XLOOKUP(A389,MktTitle,MktTotVol,0)</f>
        <v/>
      </c>
      <c r="K389">
        <f>IF(H389&gt;WhaleThreshold,"WHALE","")</f>
        <v/>
      </c>
    </row>
    <row r="390">
      <c r="A390" t="inlineStr">
        <is>
          <t>Will Mexico win the 2026 FIFA World Cup?</t>
        </is>
      </c>
      <c r="B390" s="4" t="n">
        <v>46206</v>
      </c>
      <c r="C390" s="5" t="n">
        <v>46206.04106481482</v>
      </c>
      <c r="D390" t="inlineStr">
        <is>
          <t>BUY</t>
        </is>
      </c>
      <c r="E390" t="inlineStr">
        <is>
          <t>Yes</t>
        </is>
      </c>
      <c r="F390" s="2" t="n">
        <v>0.033</v>
      </c>
      <c r="G390" s="6" t="n">
        <v>60.6061</v>
      </c>
      <c r="H390" s="6">
        <f>F390*G390</f>
        <v/>
      </c>
      <c r="I390">
        <f>_xlfn.XLOOKUP(A390,MktTitle,MktCat,"n/a")</f>
        <v/>
      </c>
      <c r="J390" s="3">
        <f>_xlfn.XLOOKUP(A390,MktTitle,MktTotVol,0)</f>
        <v/>
      </c>
      <c r="K390">
        <f>IF(H390&gt;WhaleThreshold,"WHALE","")</f>
        <v/>
      </c>
    </row>
    <row r="391">
      <c r="A391" t="inlineStr">
        <is>
          <t>Will Mexico win the 2026 FIFA World Cup?</t>
        </is>
      </c>
      <c r="B391" s="4" t="n">
        <v>46206</v>
      </c>
      <c r="C391" s="5" t="n">
        <v>46206.03994212963</v>
      </c>
      <c r="D391" t="inlineStr">
        <is>
          <t>BUY</t>
        </is>
      </c>
      <c r="E391" t="inlineStr">
        <is>
          <t>No</t>
        </is>
      </c>
      <c r="F391" s="2" t="n">
        <v>0.968</v>
      </c>
      <c r="G391" s="6" t="n">
        <v>30</v>
      </c>
      <c r="H391" s="6">
        <f>F391*G391</f>
        <v/>
      </c>
      <c r="I391">
        <f>_xlfn.XLOOKUP(A391,MktTitle,MktCat,"n/a")</f>
        <v/>
      </c>
      <c r="J391" s="3">
        <f>_xlfn.XLOOKUP(A391,MktTitle,MktTotVol,0)</f>
        <v/>
      </c>
      <c r="K391">
        <f>IF(H391&gt;WhaleThreshold,"WHALE","")</f>
        <v/>
      </c>
    </row>
    <row r="392">
      <c r="A392" t="inlineStr">
        <is>
          <t>Will Mexico win the 2026 FIFA World Cup?</t>
        </is>
      </c>
      <c r="B392" s="4" t="n">
        <v>46206</v>
      </c>
      <c r="C392" s="5" t="n">
        <v>46206.03688657407</v>
      </c>
      <c r="D392" t="inlineStr">
        <is>
          <t>BUY</t>
        </is>
      </c>
      <c r="E392" t="inlineStr">
        <is>
          <t>No</t>
        </is>
      </c>
      <c r="F392" s="2" t="n">
        <v>0.968</v>
      </c>
      <c r="G392" s="6" t="n">
        <v>52.1694</v>
      </c>
      <c r="H392" s="6">
        <f>F392*G392</f>
        <v/>
      </c>
      <c r="I392">
        <f>_xlfn.XLOOKUP(A392,MktTitle,MktCat,"n/a")</f>
        <v/>
      </c>
      <c r="J392" s="3">
        <f>_xlfn.XLOOKUP(A392,MktTitle,MktTotVol,0)</f>
        <v/>
      </c>
      <c r="K392">
        <f>IF(H392&gt;WhaleThreshold,"WHALE","")</f>
        <v/>
      </c>
    </row>
    <row r="393">
      <c r="A393" t="inlineStr">
        <is>
          <t>Will Mexico win the 2026 FIFA World Cup?</t>
        </is>
      </c>
      <c r="B393" s="4" t="n">
        <v>46206</v>
      </c>
      <c r="C393" s="5" t="n">
        <v>46206.03662037037</v>
      </c>
      <c r="D393" t="inlineStr">
        <is>
          <t>BUY</t>
        </is>
      </c>
      <c r="E393" t="inlineStr">
        <is>
          <t>No</t>
        </is>
      </c>
      <c r="F393" s="2" t="n">
        <v>0.968</v>
      </c>
      <c r="G393" s="6" t="n">
        <v>36.6529</v>
      </c>
      <c r="H393" s="6">
        <f>F393*G393</f>
        <v/>
      </c>
      <c r="I393">
        <f>_xlfn.XLOOKUP(A393,MktTitle,MktCat,"n/a")</f>
        <v/>
      </c>
      <c r="J393" s="3">
        <f>_xlfn.XLOOKUP(A393,MktTitle,MktTotVol,0)</f>
        <v/>
      </c>
      <c r="K393">
        <f>IF(H393&gt;WhaleThreshold,"WHALE","")</f>
        <v/>
      </c>
    </row>
    <row r="394">
      <c r="A394" t="inlineStr">
        <is>
          <t>Will Mexico win the 2026 FIFA World Cup?</t>
        </is>
      </c>
      <c r="B394" s="4" t="n">
        <v>46206</v>
      </c>
      <c r="C394" s="5" t="n">
        <v>46206.03546296297</v>
      </c>
      <c r="D394" t="inlineStr">
        <is>
          <t>SELL</t>
        </is>
      </c>
      <c r="E394" t="inlineStr">
        <is>
          <t>Yes</t>
        </is>
      </c>
      <c r="F394" s="2" t="n">
        <v>0.032</v>
      </c>
      <c r="G394" s="6" t="n">
        <v>450</v>
      </c>
      <c r="H394" s="6">
        <f>F394*G394</f>
        <v/>
      </c>
      <c r="I394">
        <f>_xlfn.XLOOKUP(A394,MktTitle,MktCat,"n/a")</f>
        <v/>
      </c>
      <c r="J394" s="3">
        <f>_xlfn.XLOOKUP(A394,MktTitle,MktTotVol,0)</f>
        <v/>
      </c>
      <c r="K394">
        <f>IF(H394&gt;WhaleThreshold,"WHALE","")</f>
        <v/>
      </c>
    </row>
    <row r="395">
      <c r="A395" t="inlineStr">
        <is>
          <t>Will Mexico win the 2026 FIFA World Cup?</t>
        </is>
      </c>
      <c r="B395" s="4" t="n">
        <v>46206</v>
      </c>
      <c r="C395" s="5" t="n">
        <v>46206.03501157407</v>
      </c>
      <c r="D395" t="inlineStr">
        <is>
          <t>BUY</t>
        </is>
      </c>
      <c r="E395" t="inlineStr">
        <is>
          <t>Yes</t>
        </is>
      </c>
      <c r="F395" s="2" t="n">
        <v>0.033</v>
      </c>
      <c r="G395" s="6" t="n">
        <v>78.18000000000001</v>
      </c>
      <c r="H395" s="6">
        <f>F395*G395</f>
        <v/>
      </c>
      <c r="I395">
        <f>_xlfn.XLOOKUP(A395,MktTitle,MktCat,"n/a")</f>
        <v/>
      </c>
      <c r="J395" s="3">
        <f>_xlfn.XLOOKUP(A395,MktTitle,MktTotVol,0)</f>
        <v/>
      </c>
      <c r="K395">
        <f>IF(H395&gt;WhaleThreshold,"WHALE","")</f>
        <v/>
      </c>
    </row>
    <row r="396">
      <c r="A396" t="inlineStr">
        <is>
          <t>Will Mexico win the 2026 FIFA World Cup?</t>
        </is>
      </c>
      <c r="B396" s="4" t="n">
        <v>46206</v>
      </c>
      <c r="C396" s="5" t="n">
        <v>46206.03449074074</v>
      </c>
      <c r="D396" t="inlineStr">
        <is>
          <t>SELL</t>
        </is>
      </c>
      <c r="E396" t="inlineStr">
        <is>
          <t>No</t>
        </is>
      </c>
      <c r="F396" s="2" t="n">
        <v>0.967</v>
      </c>
      <c r="G396" s="6" t="n">
        <v>17.8</v>
      </c>
      <c r="H396" s="6">
        <f>F396*G396</f>
        <v/>
      </c>
      <c r="I396">
        <f>_xlfn.XLOOKUP(A396,MktTitle,MktCat,"n/a")</f>
        <v/>
      </c>
      <c r="J396" s="3">
        <f>_xlfn.XLOOKUP(A396,MktTitle,MktTotVol,0)</f>
        <v/>
      </c>
      <c r="K396">
        <f>IF(H396&gt;WhaleThreshold,"WHALE","")</f>
        <v/>
      </c>
    </row>
    <row r="397">
      <c r="A397" t="inlineStr">
        <is>
          <t>Will Mexico win the 2026 FIFA World Cup?</t>
        </is>
      </c>
      <c r="B397" s="4" t="n">
        <v>46206</v>
      </c>
      <c r="C397" s="5" t="n">
        <v>46206.03422453703</v>
      </c>
      <c r="D397" t="inlineStr">
        <is>
          <t>BUY</t>
        </is>
      </c>
      <c r="E397" t="inlineStr">
        <is>
          <t>Yes</t>
        </is>
      </c>
      <c r="F397" s="2" t="n">
        <v>0.033</v>
      </c>
      <c r="G397" s="6" t="n">
        <v>45.4545</v>
      </c>
      <c r="H397" s="6">
        <f>F397*G397</f>
        <v/>
      </c>
      <c r="I397">
        <f>_xlfn.XLOOKUP(A397,MktTitle,MktCat,"n/a")</f>
        <v/>
      </c>
      <c r="J397" s="3">
        <f>_xlfn.XLOOKUP(A397,MktTitle,MktTotVol,0)</f>
        <v/>
      </c>
      <c r="K397">
        <f>IF(H397&gt;WhaleThreshold,"WHALE","")</f>
        <v/>
      </c>
    </row>
    <row r="398">
      <c r="A398" t="inlineStr">
        <is>
          <t>Will Mexico win the 2026 FIFA World Cup?</t>
        </is>
      </c>
      <c r="B398" s="4" t="n">
        <v>46206</v>
      </c>
      <c r="C398" s="5" t="n">
        <v>46206.03405092593</v>
      </c>
      <c r="D398" t="inlineStr">
        <is>
          <t>BUY</t>
        </is>
      </c>
      <c r="E398" t="inlineStr">
        <is>
          <t>No</t>
        </is>
      </c>
      <c r="F398" s="2" t="n">
        <v>0.968</v>
      </c>
      <c r="G398" s="6" t="n">
        <v>18</v>
      </c>
      <c r="H398" s="6">
        <f>F398*G398</f>
        <v/>
      </c>
      <c r="I398">
        <f>_xlfn.XLOOKUP(A398,MktTitle,MktCat,"n/a")</f>
        <v/>
      </c>
      <c r="J398" s="3">
        <f>_xlfn.XLOOKUP(A398,MktTitle,MktTotVol,0)</f>
        <v/>
      </c>
      <c r="K398">
        <f>IF(H398&gt;WhaleThreshold,"WHALE","")</f>
        <v/>
      </c>
    </row>
    <row r="399">
      <c r="A399" t="inlineStr">
        <is>
          <t>Will Mexico win the 2026 FIFA World Cup?</t>
        </is>
      </c>
      <c r="B399" s="4" t="n">
        <v>46206</v>
      </c>
      <c r="C399" s="5" t="n">
        <v>46206.03200231482</v>
      </c>
      <c r="D399" t="inlineStr">
        <is>
          <t>BUY</t>
        </is>
      </c>
      <c r="E399" t="inlineStr">
        <is>
          <t>No</t>
        </is>
      </c>
      <c r="F399" s="2" t="n">
        <v>0.968</v>
      </c>
      <c r="G399" s="6" t="n">
        <v>34.1632</v>
      </c>
      <c r="H399" s="6">
        <f>F399*G399</f>
        <v/>
      </c>
      <c r="I399">
        <f>_xlfn.XLOOKUP(A399,MktTitle,MktCat,"n/a")</f>
        <v/>
      </c>
      <c r="J399" s="3">
        <f>_xlfn.XLOOKUP(A399,MktTitle,MktTotVol,0)</f>
        <v/>
      </c>
      <c r="K399">
        <f>IF(H399&gt;WhaleThreshold,"WHALE","")</f>
        <v/>
      </c>
    </row>
    <row r="400">
      <c r="A400" t="inlineStr">
        <is>
          <t>Will Mexico win the 2026 FIFA World Cup?</t>
        </is>
      </c>
      <c r="B400" s="4" t="n">
        <v>46206</v>
      </c>
      <c r="C400" s="5" t="n">
        <v>46206.03185185185</v>
      </c>
      <c r="D400" t="inlineStr">
        <is>
          <t>BUY</t>
        </is>
      </c>
      <c r="E400" t="inlineStr">
        <is>
          <t>Yes</t>
        </is>
      </c>
      <c r="F400" s="2" t="n">
        <v>0.033</v>
      </c>
      <c r="G400" s="6" t="n">
        <v>156.37</v>
      </c>
      <c r="H400" s="6">
        <f>F400*G400</f>
        <v/>
      </c>
      <c r="I400">
        <f>_xlfn.XLOOKUP(A400,MktTitle,MktCat,"n/a")</f>
        <v/>
      </c>
      <c r="J400" s="3">
        <f>_xlfn.XLOOKUP(A400,MktTitle,MktTotVol,0)</f>
        <v/>
      </c>
      <c r="K400">
        <f>IF(H400&gt;WhaleThreshold,"WHALE","")</f>
        <v/>
      </c>
    </row>
    <row r="401">
      <c r="A401" t="inlineStr">
        <is>
          <t>Will Mexico win the 2026 FIFA World Cup?</t>
        </is>
      </c>
      <c r="B401" s="4" t="n">
        <v>46206</v>
      </c>
      <c r="C401" s="5" t="n">
        <v>46206.03092592592</v>
      </c>
      <c r="D401" t="inlineStr">
        <is>
          <t>BUY</t>
        </is>
      </c>
      <c r="E401" t="inlineStr">
        <is>
          <t>Yes</t>
        </is>
      </c>
      <c r="F401" s="2" t="n">
        <v>0.033</v>
      </c>
      <c r="G401" s="6" t="n">
        <v>398</v>
      </c>
      <c r="H401" s="6">
        <f>F401*G401</f>
        <v/>
      </c>
      <c r="I401">
        <f>_xlfn.XLOOKUP(A401,MktTitle,MktCat,"n/a")</f>
        <v/>
      </c>
      <c r="J401" s="3">
        <f>_xlfn.XLOOKUP(A401,MktTitle,MktTotVol,0)</f>
        <v/>
      </c>
      <c r="K401">
        <f>IF(H401&gt;WhaleThreshold,"WHALE","")</f>
        <v/>
      </c>
    </row>
    <row r="402">
      <c r="A402" t="inlineStr">
        <is>
          <t>Will Mexico win the 2026 FIFA World Cup?</t>
        </is>
      </c>
      <c r="B402" s="4" t="n">
        <v>46206</v>
      </c>
      <c r="C402" s="5" t="n">
        <v>46206.03043981481</v>
      </c>
      <c r="D402" t="inlineStr">
        <is>
          <t>SELL</t>
        </is>
      </c>
      <c r="E402" t="inlineStr">
        <is>
          <t>Yes</t>
        </is>
      </c>
      <c r="F402" s="2" t="n">
        <v>0.032</v>
      </c>
      <c r="G402" s="6" t="n">
        <v>5000</v>
      </c>
      <c r="H402" s="6">
        <f>F402*G402</f>
        <v/>
      </c>
      <c r="I402">
        <f>_xlfn.XLOOKUP(A402,MktTitle,MktCat,"n/a")</f>
        <v/>
      </c>
      <c r="J402" s="3">
        <f>_xlfn.XLOOKUP(A402,MktTitle,MktTotVol,0)</f>
        <v/>
      </c>
      <c r="K402">
        <f>IF(H402&gt;WhaleThreshold,"WHALE","")</f>
        <v/>
      </c>
    </row>
    <row r="403">
      <c r="A403" t="inlineStr">
        <is>
          <t>Will Mexico win the 2026 FIFA World Cup?</t>
        </is>
      </c>
      <c r="B403" s="4" t="n">
        <v>46206</v>
      </c>
      <c r="C403" s="5" t="n">
        <v>46206.02863425926</v>
      </c>
      <c r="D403" t="inlineStr">
        <is>
          <t>SELL</t>
        </is>
      </c>
      <c r="E403" t="inlineStr">
        <is>
          <t>Yes</t>
        </is>
      </c>
      <c r="F403" s="2" t="n">
        <v>0.032</v>
      </c>
      <c r="G403" s="6" t="n">
        <v>8834.129999999999</v>
      </c>
      <c r="H403" s="6">
        <f>F403*G403</f>
        <v/>
      </c>
      <c r="I403">
        <f>_xlfn.XLOOKUP(A403,MktTitle,MktCat,"n/a")</f>
        <v/>
      </c>
      <c r="J403" s="3">
        <f>_xlfn.XLOOKUP(A403,MktTitle,MktTotVol,0)</f>
        <v/>
      </c>
      <c r="K403">
        <f>IF(H403&gt;WhaleThreshold,"WHALE","")</f>
        <v/>
      </c>
    </row>
    <row r="404">
      <c r="A404" t="inlineStr">
        <is>
          <t>Will Mexico win the 2026 FIFA World Cup?</t>
        </is>
      </c>
      <c r="B404" s="4" t="n">
        <v>46206</v>
      </c>
      <c r="C404" s="5" t="n">
        <v>46206.02841435185</v>
      </c>
      <c r="D404" t="inlineStr">
        <is>
          <t>BUY</t>
        </is>
      </c>
      <c r="E404" t="inlineStr">
        <is>
          <t>No</t>
        </is>
      </c>
      <c r="F404" s="2" t="n">
        <v>0.968</v>
      </c>
      <c r="G404" s="6" t="n">
        <v>2217</v>
      </c>
      <c r="H404" s="6">
        <f>F404*G404</f>
        <v/>
      </c>
      <c r="I404">
        <f>_xlfn.XLOOKUP(A404,MktTitle,MktCat,"n/a")</f>
        <v/>
      </c>
      <c r="J404" s="3">
        <f>_xlfn.XLOOKUP(A404,MktTitle,MktTotVol,0)</f>
        <v/>
      </c>
      <c r="K404">
        <f>IF(H404&gt;WhaleThreshold,"WHALE","")</f>
        <v/>
      </c>
    </row>
    <row r="405">
      <c r="A405" t="inlineStr">
        <is>
          <t>Will Mexico win the 2026 FIFA World Cup?</t>
        </is>
      </c>
      <c r="B405" s="4" t="n">
        <v>46206</v>
      </c>
      <c r="C405" s="5" t="n">
        <v>46206.0281712963</v>
      </c>
      <c r="D405" t="inlineStr">
        <is>
          <t>BUY</t>
        </is>
      </c>
      <c r="E405" t="inlineStr">
        <is>
          <t>No</t>
        </is>
      </c>
      <c r="F405" s="2" t="n">
        <v>0.968</v>
      </c>
      <c r="G405" s="6" t="n">
        <v>500</v>
      </c>
      <c r="H405" s="6">
        <f>F405*G405</f>
        <v/>
      </c>
      <c r="I405">
        <f>_xlfn.XLOOKUP(A405,MktTitle,MktCat,"n/a")</f>
        <v/>
      </c>
      <c r="J405" s="3">
        <f>_xlfn.XLOOKUP(A405,MktTitle,MktTotVol,0)</f>
        <v/>
      </c>
      <c r="K405">
        <f>IF(H405&gt;WhaleThreshold,"WHALE","")</f>
        <v/>
      </c>
    </row>
    <row r="406">
      <c r="A406" t="inlineStr">
        <is>
          <t>Will Mexico win the 2026 FIFA World Cup?</t>
        </is>
      </c>
      <c r="B406" s="4" t="n">
        <v>46206</v>
      </c>
      <c r="C406" s="5" t="n">
        <v>46206.0280787037</v>
      </c>
      <c r="D406" t="inlineStr">
        <is>
          <t>SELL</t>
        </is>
      </c>
      <c r="E406" t="inlineStr">
        <is>
          <t>Yes</t>
        </is>
      </c>
      <c r="F406" s="2" t="n">
        <v>0.032</v>
      </c>
      <c r="G406" s="6" t="n">
        <v>105.33</v>
      </c>
      <c r="H406" s="6">
        <f>F406*G406</f>
        <v/>
      </c>
      <c r="I406">
        <f>_xlfn.XLOOKUP(A406,MktTitle,MktCat,"n/a")</f>
        <v/>
      </c>
      <c r="J406" s="3">
        <f>_xlfn.XLOOKUP(A406,MktTitle,MktTotVol,0)</f>
        <v/>
      </c>
      <c r="K406">
        <f>IF(H406&gt;WhaleThreshold,"WHALE","")</f>
        <v/>
      </c>
    </row>
    <row r="407">
      <c r="A407" t="inlineStr">
        <is>
          <t>Will Mexico win the 2026 FIFA World Cup?</t>
        </is>
      </c>
      <c r="B407" s="4" t="n">
        <v>46206</v>
      </c>
      <c r="C407" s="5" t="n">
        <v>46206.02679398148</v>
      </c>
      <c r="D407" t="inlineStr">
        <is>
          <t>BUY</t>
        </is>
      </c>
      <c r="E407" t="inlineStr">
        <is>
          <t>Yes</t>
        </is>
      </c>
      <c r="F407" s="2" t="n">
        <v>0.033</v>
      </c>
      <c r="G407" s="6" t="n">
        <v>181.8182</v>
      </c>
      <c r="H407" s="6">
        <f>F407*G407</f>
        <v/>
      </c>
      <c r="I407">
        <f>_xlfn.XLOOKUP(A407,MktTitle,MktCat,"n/a")</f>
        <v/>
      </c>
      <c r="J407" s="3">
        <f>_xlfn.XLOOKUP(A407,MktTitle,MktTotVol,0)</f>
        <v/>
      </c>
      <c r="K407">
        <f>IF(H407&gt;WhaleThreshold,"WHALE","")</f>
        <v/>
      </c>
    </row>
    <row r="408">
      <c r="A408" t="inlineStr">
        <is>
          <t>Will Mexico win the 2026 FIFA World Cup?</t>
        </is>
      </c>
      <c r="B408" s="4" t="n">
        <v>46206</v>
      </c>
      <c r="C408" s="5" t="n">
        <v>46206.02675925926</v>
      </c>
      <c r="D408" t="inlineStr">
        <is>
          <t>BUY</t>
        </is>
      </c>
      <c r="E408" t="inlineStr">
        <is>
          <t>No</t>
        </is>
      </c>
      <c r="F408" s="2" t="n">
        <v>0.968</v>
      </c>
      <c r="G408" s="6" t="n">
        <v>20000</v>
      </c>
      <c r="H408" s="6">
        <f>F408*G408</f>
        <v/>
      </c>
      <c r="I408">
        <f>_xlfn.XLOOKUP(A408,MktTitle,MktCat,"n/a")</f>
        <v/>
      </c>
      <c r="J408" s="3">
        <f>_xlfn.XLOOKUP(A408,MktTitle,MktTotVol,0)</f>
        <v/>
      </c>
      <c r="K408">
        <f>IF(H408&gt;WhaleThreshold,"WHALE","")</f>
        <v/>
      </c>
    </row>
    <row r="409">
      <c r="A409" t="inlineStr">
        <is>
          <t>Will Mexico win the 2026 FIFA World Cup?</t>
        </is>
      </c>
      <c r="B409" s="4" t="n">
        <v>46206</v>
      </c>
      <c r="C409" s="5" t="n">
        <v>46206.02564814815</v>
      </c>
      <c r="D409" t="inlineStr">
        <is>
          <t>BUY</t>
        </is>
      </c>
      <c r="E409" t="inlineStr">
        <is>
          <t>No</t>
        </is>
      </c>
      <c r="F409" s="2" t="n">
        <v>0.968</v>
      </c>
      <c r="G409" s="6" t="n">
        <v>41.4669</v>
      </c>
      <c r="H409" s="6">
        <f>F409*G409</f>
        <v/>
      </c>
      <c r="I409">
        <f>_xlfn.XLOOKUP(A409,MktTitle,MktCat,"n/a")</f>
        <v/>
      </c>
      <c r="J409" s="3">
        <f>_xlfn.XLOOKUP(A409,MktTitle,MktTotVol,0)</f>
        <v/>
      </c>
      <c r="K409">
        <f>IF(H409&gt;WhaleThreshold,"WHALE","")</f>
        <v/>
      </c>
    </row>
    <row r="410">
      <c r="A410" t="inlineStr">
        <is>
          <t>Will Mexico win the 2026 FIFA World Cup?</t>
        </is>
      </c>
      <c r="B410" s="4" t="n">
        <v>46206</v>
      </c>
      <c r="C410" s="5" t="n">
        <v>46206.02244212963</v>
      </c>
      <c r="D410" t="inlineStr">
        <is>
          <t>BUY</t>
        </is>
      </c>
      <c r="E410" t="inlineStr">
        <is>
          <t>Yes</t>
        </is>
      </c>
      <c r="F410" s="2" t="n">
        <v>0.033</v>
      </c>
      <c r="G410" s="6" t="n">
        <v>151.5152</v>
      </c>
      <c r="H410" s="6">
        <f>F410*G410</f>
        <v/>
      </c>
      <c r="I410">
        <f>_xlfn.XLOOKUP(A410,MktTitle,MktCat,"n/a")</f>
        <v/>
      </c>
      <c r="J410" s="3">
        <f>_xlfn.XLOOKUP(A410,MktTitle,MktTotVol,0)</f>
        <v/>
      </c>
      <c r="K410">
        <f>IF(H410&gt;WhaleThreshold,"WHALE","")</f>
        <v/>
      </c>
    </row>
    <row r="411">
      <c r="A411" t="inlineStr">
        <is>
          <t>Will Mexico win the 2026 FIFA World Cup?</t>
        </is>
      </c>
      <c r="B411" s="4" t="n">
        <v>46206</v>
      </c>
      <c r="C411" s="5" t="n">
        <v>46206.0219212963</v>
      </c>
      <c r="D411" t="inlineStr">
        <is>
          <t>BUY</t>
        </is>
      </c>
      <c r="E411" t="inlineStr">
        <is>
          <t>Yes</t>
        </is>
      </c>
      <c r="F411" s="2" t="n">
        <v>0.033</v>
      </c>
      <c r="G411" s="6" t="n">
        <v>30.303</v>
      </c>
      <c r="H411" s="6">
        <f>F411*G411</f>
        <v/>
      </c>
      <c r="I411">
        <f>_xlfn.XLOOKUP(A411,MktTitle,MktCat,"n/a")</f>
        <v/>
      </c>
      <c r="J411" s="3">
        <f>_xlfn.XLOOKUP(A411,MktTitle,MktTotVol,0)</f>
        <v/>
      </c>
      <c r="K411">
        <f>IF(H411&gt;WhaleThreshold,"WHALE","")</f>
        <v/>
      </c>
    </row>
    <row r="412">
      <c r="A412" t="inlineStr">
        <is>
          <t>Will Mexico win the 2026 FIFA World Cup?</t>
        </is>
      </c>
      <c r="B412" s="4" t="n">
        <v>46206</v>
      </c>
      <c r="C412" s="5" t="n">
        <v>46206.01737268519</v>
      </c>
      <c r="D412" t="inlineStr">
        <is>
          <t>BUY</t>
        </is>
      </c>
      <c r="E412" t="inlineStr">
        <is>
          <t>Yes</t>
        </is>
      </c>
      <c r="F412" s="2" t="n">
        <v>0.033</v>
      </c>
      <c r="G412" s="6" t="n">
        <v>322.63</v>
      </c>
      <c r="H412" s="6">
        <f>F412*G412</f>
        <v/>
      </c>
      <c r="I412">
        <f>_xlfn.XLOOKUP(A412,MktTitle,MktCat,"n/a")</f>
        <v/>
      </c>
      <c r="J412" s="3">
        <f>_xlfn.XLOOKUP(A412,MktTitle,MktTotVol,0)</f>
        <v/>
      </c>
      <c r="K412">
        <f>IF(H412&gt;WhaleThreshold,"WHALE","")</f>
        <v/>
      </c>
    </row>
    <row r="413">
      <c r="A413" t="inlineStr">
        <is>
          <t>Will Mexico win the 2026 FIFA World Cup?</t>
        </is>
      </c>
      <c r="B413" s="4" t="n">
        <v>46206</v>
      </c>
      <c r="C413" s="5" t="n">
        <v>46206.01726851852</v>
      </c>
      <c r="D413" t="inlineStr">
        <is>
          <t>SELL</t>
        </is>
      </c>
      <c r="E413" t="inlineStr">
        <is>
          <t>Yes</t>
        </is>
      </c>
      <c r="F413" s="2" t="n">
        <v>0.032</v>
      </c>
      <c r="G413" s="6" t="n">
        <v>269.33</v>
      </c>
      <c r="H413" s="6">
        <f>F413*G413</f>
        <v/>
      </c>
      <c r="I413">
        <f>_xlfn.XLOOKUP(A413,MktTitle,MktCat,"n/a")</f>
        <v/>
      </c>
      <c r="J413" s="3">
        <f>_xlfn.XLOOKUP(A413,MktTitle,MktTotVol,0)</f>
        <v/>
      </c>
      <c r="K413">
        <f>IF(H413&gt;WhaleThreshold,"WHALE","")</f>
        <v/>
      </c>
    </row>
    <row r="414">
      <c r="A414" t="inlineStr">
        <is>
          <t>Will Mexico win the 2026 FIFA World Cup?</t>
        </is>
      </c>
      <c r="B414" s="4" t="n">
        <v>46206</v>
      </c>
      <c r="C414" s="5" t="n">
        <v>46206.01709490741</v>
      </c>
      <c r="D414" t="inlineStr">
        <is>
          <t>BUY</t>
        </is>
      </c>
      <c r="E414" t="inlineStr">
        <is>
          <t>Yes</t>
        </is>
      </c>
      <c r="F414" s="2" t="n">
        <v>0.033</v>
      </c>
      <c r="G414" s="6" t="n">
        <v>25</v>
      </c>
      <c r="H414" s="6">
        <f>F414*G414</f>
        <v/>
      </c>
      <c r="I414">
        <f>_xlfn.XLOOKUP(A414,MktTitle,MktCat,"n/a")</f>
        <v/>
      </c>
      <c r="J414" s="3">
        <f>_xlfn.XLOOKUP(A414,MktTitle,MktTotVol,0)</f>
        <v/>
      </c>
      <c r="K414">
        <f>IF(H414&gt;WhaleThreshold,"WHALE","")</f>
        <v/>
      </c>
    </row>
    <row r="415">
      <c r="A415" t="inlineStr">
        <is>
          <t>Will Mexico win the 2026 FIFA World Cup?</t>
        </is>
      </c>
      <c r="B415" s="4" t="n">
        <v>46206</v>
      </c>
      <c r="C415" s="5" t="n">
        <v>46206.01700231482</v>
      </c>
      <c r="D415" t="inlineStr">
        <is>
          <t>BUY</t>
        </is>
      </c>
      <c r="E415" t="inlineStr">
        <is>
          <t>Yes</t>
        </is>
      </c>
      <c r="F415" s="2" t="n">
        <v>0.033</v>
      </c>
      <c r="G415" s="6" t="n">
        <v>22</v>
      </c>
      <c r="H415" s="6">
        <f>F415*G415</f>
        <v/>
      </c>
      <c r="I415">
        <f>_xlfn.XLOOKUP(A415,MktTitle,MktCat,"n/a")</f>
        <v/>
      </c>
      <c r="J415" s="3">
        <f>_xlfn.XLOOKUP(A415,MktTitle,MktTotVol,0)</f>
        <v/>
      </c>
      <c r="K415">
        <f>IF(H415&gt;WhaleThreshold,"WHALE","")</f>
        <v/>
      </c>
    </row>
    <row r="416">
      <c r="A416" t="inlineStr">
        <is>
          <t>Will Mexico win the 2026 FIFA World Cup?</t>
        </is>
      </c>
      <c r="B416" s="4" t="n">
        <v>46206</v>
      </c>
      <c r="C416" s="5" t="n">
        <v>46206.01689814815</v>
      </c>
      <c r="D416" t="inlineStr">
        <is>
          <t>BUY</t>
        </is>
      </c>
      <c r="E416" t="inlineStr">
        <is>
          <t>Yes</t>
        </is>
      </c>
      <c r="F416" s="2" t="n">
        <v>0.033</v>
      </c>
      <c r="G416" s="6" t="n">
        <v>5355.35</v>
      </c>
      <c r="H416" s="6">
        <f>F416*G416</f>
        <v/>
      </c>
      <c r="I416">
        <f>_xlfn.XLOOKUP(A416,MktTitle,MktCat,"n/a")</f>
        <v/>
      </c>
      <c r="J416" s="3">
        <f>_xlfn.XLOOKUP(A416,MktTitle,MktTotVol,0)</f>
        <v/>
      </c>
      <c r="K416">
        <f>IF(H416&gt;WhaleThreshold,"WHALE","")</f>
        <v/>
      </c>
    </row>
    <row r="417">
      <c r="A417" t="inlineStr">
        <is>
          <t>Will Mexico win the 2026 FIFA World Cup?</t>
        </is>
      </c>
      <c r="B417" s="4" t="n">
        <v>46206</v>
      </c>
      <c r="C417" s="5" t="n">
        <v>46206.01686342592</v>
      </c>
      <c r="D417" t="inlineStr">
        <is>
          <t>BUY</t>
        </is>
      </c>
      <c r="E417" t="inlineStr">
        <is>
          <t>Yes</t>
        </is>
      </c>
      <c r="F417" s="2" t="n">
        <v>0.033</v>
      </c>
      <c r="G417" s="6" t="n">
        <v>155.37</v>
      </c>
      <c r="H417" s="6">
        <f>F417*G417</f>
        <v/>
      </c>
      <c r="I417">
        <f>_xlfn.XLOOKUP(A417,MktTitle,MktCat,"n/a")</f>
        <v/>
      </c>
      <c r="J417" s="3">
        <f>_xlfn.XLOOKUP(A417,MktTitle,MktTotVol,0)</f>
        <v/>
      </c>
      <c r="K417">
        <f>IF(H417&gt;WhaleThreshold,"WHALE","")</f>
        <v/>
      </c>
    </row>
    <row r="418">
      <c r="A418" t="inlineStr">
        <is>
          <t>Will Mexico win the 2026 FIFA World Cup?</t>
        </is>
      </c>
      <c r="B418" s="4" t="n">
        <v>46206</v>
      </c>
      <c r="C418" s="5" t="n">
        <v>46206.01662037037</v>
      </c>
      <c r="D418" t="inlineStr">
        <is>
          <t>SELL</t>
        </is>
      </c>
      <c r="E418" t="inlineStr">
        <is>
          <t>Yes</t>
        </is>
      </c>
      <c r="F418" s="2" t="n">
        <v>0.032</v>
      </c>
      <c r="G418" s="6" t="n">
        <v>13.44</v>
      </c>
      <c r="H418" s="6">
        <f>F418*G418</f>
        <v/>
      </c>
      <c r="I418">
        <f>_xlfn.XLOOKUP(A418,MktTitle,MktCat,"n/a")</f>
        <v/>
      </c>
      <c r="J418" s="3">
        <f>_xlfn.XLOOKUP(A418,MktTitle,MktTotVol,0)</f>
        <v/>
      </c>
      <c r="K418">
        <f>IF(H418&gt;WhaleThreshold,"WHALE","")</f>
        <v/>
      </c>
    </row>
    <row r="419">
      <c r="A419" t="inlineStr">
        <is>
          <t>Will Mexico win the 2026 FIFA World Cup?</t>
        </is>
      </c>
      <c r="B419" s="4" t="n">
        <v>46206</v>
      </c>
      <c r="C419" s="5" t="n">
        <v>46206.01603009259</v>
      </c>
      <c r="D419" t="inlineStr">
        <is>
          <t>BUY</t>
        </is>
      </c>
      <c r="E419" t="inlineStr">
        <is>
          <t>No</t>
        </is>
      </c>
      <c r="F419" s="2" t="n">
        <v>0.968</v>
      </c>
      <c r="G419" s="6" t="n">
        <v>36.157</v>
      </c>
      <c r="H419" s="6">
        <f>F419*G419</f>
        <v/>
      </c>
      <c r="I419">
        <f>_xlfn.XLOOKUP(A419,MktTitle,MktCat,"n/a")</f>
        <v/>
      </c>
      <c r="J419" s="3">
        <f>_xlfn.XLOOKUP(A419,MktTitle,MktTotVol,0)</f>
        <v/>
      </c>
      <c r="K419">
        <f>IF(H419&gt;WhaleThreshold,"WHALE","")</f>
        <v/>
      </c>
    </row>
    <row r="420">
      <c r="A420" t="inlineStr">
        <is>
          <t>Will Mexico win the 2026 FIFA World Cup?</t>
        </is>
      </c>
      <c r="B420" s="4" t="n">
        <v>46206</v>
      </c>
      <c r="C420" s="5" t="n">
        <v>46206.01501157408</v>
      </c>
      <c r="D420" t="inlineStr">
        <is>
          <t>BUY</t>
        </is>
      </c>
      <c r="E420" t="inlineStr">
        <is>
          <t>Yes</t>
        </is>
      </c>
      <c r="F420" s="2" t="n">
        <v>0.033</v>
      </c>
      <c r="G420" s="6" t="n">
        <v>151.5152</v>
      </c>
      <c r="H420" s="6">
        <f>F420*G420</f>
        <v/>
      </c>
      <c r="I420">
        <f>_xlfn.XLOOKUP(A420,MktTitle,MktCat,"n/a")</f>
        <v/>
      </c>
      <c r="J420" s="3">
        <f>_xlfn.XLOOKUP(A420,MktTitle,MktTotVol,0)</f>
        <v/>
      </c>
      <c r="K420">
        <f>IF(H420&gt;WhaleThreshold,"WHALE","")</f>
        <v/>
      </c>
    </row>
    <row r="421">
      <c r="A421" t="inlineStr">
        <is>
          <t>Will Mexico win the 2026 FIFA World Cup?</t>
        </is>
      </c>
      <c r="B421" s="4" t="n">
        <v>46206</v>
      </c>
      <c r="C421" s="5" t="n">
        <v>46206.01341435185</v>
      </c>
      <c r="D421" t="inlineStr">
        <is>
          <t>BUY</t>
        </is>
      </c>
      <c r="E421" t="inlineStr">
        <is>
          <t>Yes</t>
        </is>
      </c>
      <c r="F421" s="2" t="n">
        <v>0.033</v>
      </c>
      <c r="G421" s="6" t="n">
        <v>151.5152</v>
      </c>
      <c r="H421" s="6">
        <f>F421*G421</f>
        <v/>
      </c>
      <c r="I421">
        <f>_xlfn.XLOOKUP(A421,MktTitle,MktCat,"n/a")</f>
        <v/>
      </c>
      <c r="J421" s="3">
        <f>_xlfn.XLOOKUP(A421,MktTitle,MktTotVol,0)</f>
        <v/>
      </c>
      <c r="K421">
        <f>IF(H421&gt;WhaleThreshold,"WHALE","")</f>
        <v/>
      </c>
    </row>
    <row r="422">
      <c r="A422" t="inlineStr">
        <is>
          <t>Will Mexico win the 2026 FIFA World Cup?</t>
        </is>
      </c>
      <c r="B422" s="4" t="n">
        <v>46206</v>
      </c>
      <c r="C422" s="5" t="n">
        <v>46206.01252314815</v>
      </c>
      <c r="D422" t="inlineStr">
        <is>
          <t>SELL</t>
        </is>
      </c>
      <c r="E422" t="inlineStr">
        <is>
          <t>Yes</t>
        </is>
      </c>
      <c r="F422" s="2" t="n">
        <v>0.032</v>
      </c>
      <c r="G422" s="6" t="n">
        <v>3</v>
      </c>
      <c r="H422" s="6">
        <f>F422*G422</f>
        <v/>
      </c>
      <c r="I422">
        <f>_xlfn.XLOOKUP(A422,MktTitle,MktCat,"n/a")</f>
        <v/>
      </c>
      <c r="J422" s="3">
        <f>_xlfn.XLOOKUP(A422,MktTitle,MktTotVol,0)</f>
        <v/>
      </c>
      <c r="K422">
        <f>IF(H422&gt;WhaleThreshold,"WHALE","")</f>
        <v/>
      </c>
    </row>
    <row r="423">
      <c r="A423" t="inlineStr">
        <is>
          <t>Will Mexico win the 2026 FIFA World Cup?</t>
        </is>
      </c>
      <c r="B423" s="4" t="n">
        <v>46206</v>
      </c>
      <c r="C423" s="5" t="n">
        <v>46206.01119212963</v>
      </c>
      <c r="D423" t="inlineStr">
        <is>
          <t>SELL</t>
        </is>
      </c>
      <c r="E423" t="inlineStr">
        <is>
          <t>Yes</t>
        </is>
      </c>
      <c r="F423" s="2" t="n">
        <v>0.032</v>
      </c>
      <c r="G423" s="6" t="n">
        <v>442</v>
      </c>
      <c r="H423" s="6">
        <f>F423*G423</f>
        <v/>
      </c>
      <c r="I423">
        <f>_xlfn.XLOOKUP(A423,MktTitle,MktCat,"n/a")</f>
        <v/>
      </c>
      <c r="J423" s="3">
        <f>_xlfn.XLOOKUP(A423,MktTitle,MktTotVol,0)</f>
        <v/>
      </c>
      <c r="K423">
        <f>IF(H423&gt;WhaleThreshold,"WHALE","")</f>
        <v/>
      </c>
    </row>
    <row r="424">
      <c r="A424" t="inlineStr">
        <is>
          <t>Will Mexico win the 2026 FIFA World Cup?</t>
        </is>
      </c>
      <c r="B424" s="4" t="n">
        <v>46206</v>
      </c>
      <c r="C424" s="5" t="n">
        <v>46206.01046296296</v>
      </c>
      <c r="D424" t="inlineStr">
        <is>
          <t>SELL</t>
        </is>
      </c>
      <c r="E424" t="inlineStr">
        <is>
          <t>Yes</t>
        </is>
      </c>
      <c r="F424" s="2" t="n">
        <v>0.032</v>
      </c>
      <c r="G424" s="6" t="n">
        <v>117.64</v>
      </c>
      <c r="H424" s="6">
        <f>F424*G424</f>
        <v/>
      </c>
      <c r="I424">
        <f>_xlfn.XLOOKUP(A424,MktTitle,MktCat,"n/a")</f>
        <v/>
      </c>
      <c r="J424" s="3">
        <f>_xlfn.XLOOKUP(A424,MktTitle,MktTotVol,0)</f>
        <v/>
      </c>
      <c r="K424">
        <f>IF(H424&gt;WhaleThreshold,"WHALE","")</f>
        <v/>
      </c>
    </row>
    <row r="425">
      <c r="A425" t="inlineStr">
        <is>
          <t>Will Mexico win the 2026 FIFA World Cup?</t>
        </is>
      </c>
      <c r="B425" s="4" t="n">
        <v>46206</v>
      </c>
      <c r="C425" s="5" t="n">
        <v>46206.01030092593</v>
      </c>
      <c r="D425" t="inlineStr">
        <is>
          <t>SELL</t>
        </is>
      </c>
      <c r="E425" t="inlineStr">
        <is>
          <t>No</t>
        </is>
      </c>
      <c r="F425" s="2" t="n">
        <v>0.967</v>
      </c>
      <c r="G425" s="6" t="n">
        <v>322.51</v>
      </c>
      <c r="H425" s="6">
        <f>F425*G425</f>
        <v/>
      </c>
      <c r="I425">
        <f>_xlfn.XLOOKUP(A425,MktTitle,MktCat,"n/a")</f>
        <v/>
      </c>
      <c r="J425" s="3">
        <f>_xlfn.XLOOKUP(A425,MktTitle,MktTotVol,0)</f>
        <v/>
      </c>
      <c r="K425">
        <f>IF(H425&gt;WhaleThreshold,"WHALE","")</f>
        <v/>
      </c>
    </row>
    <row r="426">
      <c r="A426" t="inlineStr">
        <is>
          <t>Will Mexico win the 2026 FIFA World Cup?</t>
        </is>
      </c>
      <c r="B426" s="4" t="n">
        <v>46206</v>
      </c>
      <c r="C426" s="5" t="n">
        <v>46206.01021990741</v>
      </c>
      <c r="D426" t="inlineStr">
        <is>
          <t>SELL</t>
        </is>
      </c>
      <c r="E426" t="inlineStr">
        <is>
          <t>Yes</t>
        </is>
      </c>
      <c r="F426" s="2" t="n">
        <v>0.032</v>
      </c>
      <c r="G426" s="6" t="n">
        <v>10555.07</v>
      </c>
      <c r="H426" s="6">
        <f>F426*G426</f>
        <v/>
      </c>
      <c r="I426">
        <f>_xlfn.XLOOKUP(A426,MktTitle,MktCat,"n/a")</f>
        <v/>
      </c>
      <c r="J426" s="3">
        <f>_xlfn.XLOOKUP(A426,MktTitle,MktTotVol,0)</f>
        <v/>
      </c>
      <c r="K426">
        <f>IF(H426&gt;WhaleThreshold,"WHALE","")</f>
        <v/>
      </c>
    </row>
    <row r="427">
      <c r="A427" t="inlineStr">
        <is>
          <t>Will Mexico win the 2026 FIFA World Cup?</t>
        </is>
      </c>
      <c r="B427" s="4" t="n">
        <v>46206</v>
      </c>
      <c r="C427" s="5" t="n">
        <v>46206.00910879629</v>
      </c>
      <c r="D427" t="inlineStr">
        <is>
          <t>BUY</t>
        </is>
      </c>
      <c r="E427" t="inlineStr">
        <is>
          <t>Yes</t>
        </is>
      </c>
      <c r="F427" s="2" t="n">
        <v>0.033</v>
      </c>
      <c r="G427" s="6" t="n">
        <v>390.94</v>
      </c>
      <c r="H427" s="6">
        <f>F427*G427</f>
        <v/>
      </c>
      <c r="I427">
        <f>_xlfn.XLOOKUP(A427,MktTitle,MktCat,"n/a")</f>
        <v/>
      </c>
      <c r="J427" s="3">
        <f>_xlfn.XLOOKUP(A427,MktTitle,MktTotVol,0)</f>
        <v/>
      </c>
      <c r="K427">
        <f>IF(H427&gt;WhaleThreshold,"WHALE","")</f>
        <v/>
      </c>
    </row>
    <row r="428">
      <c r="A428" t="inlineStr">
        <is>
          <t>Will Mexico win the 2026 FIFA World Cup?</t>
        </is>
      </c>
      <c r="B428" s="4" t="n">
        <v>46206</v>
      </c>
      <c r="C428" s="5" t="n">
        <v>46206.00903935185</v>
      </c>
      <c r="D428" t="inlineStr">
        <is>
          <t>SELL</t>
        </is>
      </c>
      <c r="E428" t="inlineStr">
        <is>
          <t>Yes</t>
        </is>
      </c>
      <c r="F428" s="2" t="n">
        <v>0.032</v>
      </c>
      <c r="G428" s="6" t="n">
        <v>70.31</v>
      </c>
      <c r="H428" s="6">
        <f>F428*G428</f>
        <v/>
      </c>
      <c r="I428">
        <f>_xlfn.XLOOKUP(A428,MktTitle,MktCat,"n/a")</f>
        <v/>
      </c>
      <c r="J428" s="3">
        <f>_xlfn.XLOOKUP(A428,MktTitle,MktTotVol,0)</f>
        <v/>
      </c>
      <c r="K428">
        <f>IF(H428&gt;WhaleThreshold,"WHALE","")</f>
        <v/>
      </c>
    </row>
    <row r="429">
      <c r="A429" t="inlineStr">
        <is>
          <t>Will Mexico win the 2026 FIFA World Cup?</t>
        </is>
      </c>
      <c r="B429" s="4" t="n">
        <v>46206</v>
      </c>
      <c r="C429" s="5" t="n">
        <v>46206.00872685185</v>
      </c>
      <c r="D429" t="inlineStr">
        <is>
          <t>BUY</t>
        </is>
      </c>
      <c r="E429" t="inlineStr">
        <is>
          <t>Yes</t>
        </is>
      </c>
      <c r="F429" s="2" t="n">
        <v>0.033</v>
      </c>
      <c r="G429" s="6" t="n">
        <v>757.5758</v>
      </c>
      <c r="H429" s="6">
        <f>F429*G429</f>
        <v/>
      </c>
      <c r="I429">
        <f>_xlfn.XLOOKUP(A429,MktTitle,MktCat,"n/a")</f>
        <v/>
      </c>
      <c r="J429" s="3">
        <f>_xlfn.XLOOKUP(A429,MktTitle,MktTotVol,0)</f>
        <v/>
      </c>
      <c r="K429">
        <f>IF(H429&gt;WhaleThreshold,"WHALE","")</f>
        <v/>
      </c>
    </row>
    <row r="430">
      <c r="A430" t="inlineStr">
        <is>
          <t>Will Mexico win the 2026 FIFA World Cup?</t>
        </is>
      </c>
      <c r="B430" s="4" t="n">
        <v>46206</v>
      </c>
      <c r="C430" s="5" t="n">
        <v>46206.00866898148</v>
      </c>
      <c r="D430" t="inlineStr">
        <is>
          <t>BUY</t>
        </is>
      </c>
      <c r="E430" t="inlineStr">
        <is>
          <t>Yes</t>
        </is>
      </c>
      <c r="F430" s="2" t="n">
        <v>0.033</v>
      </c>
      <c r="G430" s="6" t="n">
        <v>31.27</v>
      </c>
      <c r="H430" s="6">
        <f>F430*G430</f>
        <v/>
      </c>
      <c r="I430">
        <f>_xlfn.XLOOKUP(A430,MktTitle,MktCat,"n/a")</f>
        <v/>
      </c>
      <c r="J430" s="3">
        <f>_xlfn.XLOOKUP(A430,MktTitle,MktTotVol,0)</f>
        <v/>
      </c>
      <c r="K430">
        <f>IF(H430&gt;WhaleThreshold,"WHALE","")</f>
        <v/>
      </c>
    </row>
    <row r="431">
      <c r="A431" t="inlineStr">
        <is>
          <t>Will Mexico win the 2026 FIFA World Cup?</t>
        </is>
      </c>
      <c r="B431" s="4" t="n">
        <v>46206</v>
      </c>
      <c r="C431" s="5" t="n">
        <v>46206.00733796296</v>
      </c>
      <c r="D431" t="inlineStr">
        <is>
          <t>BUY</t>
        </is>
      </c>
      <c r="E431" t="inlineStr">
        <is>
          <t>No</t>
        </is>
      </c>
      <c r="F431" s="2" t="n">
        <v>0.968</v>
      </c>
      <c r="G431" s="6" t="n">
        <v>500</v>
      </c>
      <c r="H431" s="6">
        <f>F431*G431</f>
        <v/>
      </c>
      <c r="I431">
        <f>_xlfn.XLOOKUP(A431,MktTitle,MktCat,"n/a")</f>
        <v/>
      </c>
      <c r="J431" s="3">
        <f>_xlfn.XLOOKUP(A431,MktTitle,MktTotVol,0)</f>
        <v/>
      </c>
      <c r="K431">
        <f>IF(H431&gt;WhaleThreshold,"WHALE","")</f>
        <v/>
      </c>
    </row>
    <row r="432">
      <c r="A432" t="inlineStr">
        <is>
          <t>Will Mexico win the 2026 FIFA World Cup?</t>
        </is>
      </c>
      <c r="B432" s="4" t="n">
        <v>46206</v>
      </c>
      <c r="C432" s="5" t="n">
        <v>46206.00682870371</v>
      </c>
      <c r="D432" t="inlineStr">
        <is>
          <t>BUY</t>
        </is>
      </c>
      <c r="E432" t="inlineStr">
        <is>
          <t>No</t>
        </is>
      </c>
      <c r="F432" s="2" t="n">
        <v>0.968</v>
      </c>
      <c r="G432" s="6" t="n">
        <v>14.5041</v>
      </c>
      <c r="H432" s="6">
        <f>F432*G432</f>
        <v/>
      </c>
      <c r="I432">
        <f>_xlfn.XLOOKUP(A432,MktTitle,MktCat,"n/a")</f>
        <v/>
      </c>
      <c r="J432" s="3">
        <f>_xlfn.XLOOKUP(A432,MktTitle,MktTotVol,0)</f>
        <v/>
      </c>
      <c r="K432">
        <f>IF(H432&gt;WhaleThreshold,"WHALE","")</f>
        <v/>
      </c>
    </row>
    <row r="433">
      <c r="A433" t="inlineStr">
        <is>
          <t>Will Mexico win the 2026 FIFA World Cup?</t>
        </is>
      </c>
      <c r="B433" s="4" t="n">
        <v>46206</v>
      </c>
      <c r="C433" s="5" t="n">
        <v>46206.00682870371</v>
      </c>
      <c r="D433" t="inlineStr">
        <is>
          <t>SELL</t>
        </is>
      </c>
      <c r="E433" t="inlineStr">
        <is>
          <t>Yes</t>
        </is>
      </c>
      <c r="F433" s="2" t="n">
        <v>0.032</v>
      </c>
      <c r="G433" s="6" t="n">
        <v>100</v>
      </c>
      <c r="H433" s="6">
        <f>F433*G433</f>
        <v/>
      </c>
      <c r="I433">
        <f>_xlfn.XLOOKUP(A433,MktTitle,MktCat,"n/a")</f>
        <v/>
      </c>
      <c r="J433" s="3">
        <f>_xlfn.XLOOKUP(A433,MktTitle,MktTotVol,0)</f>
        <v/>
      </c>
      <c r="K433">
        <f>IF(H433&gt;WhaleThreshold,"WHALE","")</f>
        <v/>
      </c>
    </row>
    <row r="434">
      <c r="A434" t="inlineStr">
        <is>
          <t>Will Mexico win the 2026 FIFA World Cup?</t>
        </is>
      </c>
      <c r="B434" s="4" t="n">
        <v>46206</v>
      </c>
      <c r="C434" s="5" t="n">
        <v>46206.00480324074</v>
      </c>
      <c r="D434" t="inlineStr">
        <is>
          <t>SELL</t>
        </is>
      </c>
      <c r="E434" t="inlineStr">
        <is>
          <t>Yes</t>
        </is>
      </c>
      <c r="F434" s="2" t="n">
        <v>0.032</v>
      </c>
      <c r="G434" s="6" t="n">
        <v>1603.69</v>
      </c>
      <c r="H434" s="6">
        <f>F434*G434</f>
        <v/>
      </c>
      <c r="I434">
        <f>_xlfn.XLOOKUP(A434,MktTitle,MktCat,"n/a")</f>
        <v/>
      </c>
      <c r="J434" s="3">
        <f>_xlfn.XLOOKUP(A434,MktTitle,MktTotVol,0)</f>
        <v/>
      </c>
      <c r="K434">
        <f>IF(H434&gt;WhaleThreshold,"WHALE","")</f>
        <v/>
      </c>
    </row>
    <row r="435">
      <c r="A435" t="inlineStr">
        <is>
          <t>Will Mexico win the 2026 FIFA World Cup?</t>
        </is>
      </c>
      <c r="B435" s="4" t="n">
        <v>46206</v>
      </c>
      <c r="C435" s="5" t="n">
        <v>46206.00224537037</v>
      </c>
      <c r="D435" t="inlineStr">
        <is>
          <t>SELL</t>
        </is>
      </c>
      <c r="E435" t="inlineStr">
        <is>
          <t>Yes</t>
        </is>
      </c>
      <c r="F435" s="2" t="n">
        <v>0.032</v>
      </c>
      <c r="G435" s="6" t="n">
        <v>178.57</v>
      </c>
      <c r="H435" s="6">
        <f>F435*G435</f>
        <v/>
      </c>
      <c r="I435">
        <f>_xlfn.XLOOKUP(A435,MktTitle,MktCat,"n/a")</f>
        <v/>
      </c>
      <c r="J435" s="3">
        <f>_xlfn.XLOOKUP(A435,MktTitle,MktTotVol,0)</f>
        <v/>
      </c>
      <c r="K435">
        <f>IF(H435&gt;WhaleThreshold,"WHALE","")</f>
        <v/>
      </c>
    </row>
    <row r="436">
      <c r="A436" t="inlineStr">
        <is>
          <t>Will Mexico win the 2026 FIFA World Cup?</t>
        </is>
      </c>
      <c r="B436" s="4" t="n">
        <v>46206</v>
      </c>
      <c r="C436" s="5" t="n">
        <v>46206.00074074074</v>
      </c>
      <c r="D436" t="inlineStr">
        <is>
          <t>BUY</t>
        </is>
      </c>
      <c r="E436" t="inlineStr">
        <is>
          <t>Yes</t>
        </is>
      </c>
      <c r="F436" s="2" t="n">
        <v>0.033</v>
      </c>
      <c r="G436" s="6" t="n">
        <v>88.1818</v>
      </c>
      <c r="H436" s="6">
        <f>F436*G436</f>
        <v/>
      </c>
      <c r="I436">
        <f>_xlfn.XLOOKUP(A436,MktTitle,MktCat,"n/a")</f>
        <v/>
      </c>
      <c r="J436" s="3">
        <f>_xlfn.XLOOKUP(A436,MktTitle,MktTotVol,0)</f>
        <v/>
      </c>
      <c r="K436">
        <f>IF(H436&gt;WhaleThreshold,"WHALE","")</f>
        <v/>
      </c>
    </row>
    <row r="437">
      <c r="A437" t="inlineStr">
        <is>
          <t>Will Mexico win the 2026 FIFA World Cup?</t>
        </is>
      </c>
      <c r="B437" s="4" t="n">
        <v>46205</v>
      </c>
      <c r="C437" s="5" t="n">
        <v>46205.99922453704</v>
      </c>
      <c r="D437" t="inlineStr">
        <is>
          <t>BUY</t>
        </is>
      </c>
      <c r="E437" t="inlineStr">
        <is>
          <t>No</t>
        </is>
      </c>
      <c r="F437" s="2" t="n">
        <v>0.968</v>
      </c>
      <c r="G437" s="6" t="n">
        <v>55.8678</v>
      </c>
      <c r="H437" s="6">
        <f>F437*G437</f>
        <v/>
      </c>
      <c r="I437">
        <f>_xlfn.XLOOKUP(A437,MktTitle,MktCat,"n/a")</f>
        <v/>
      </c>
      <c r="J437" s="3">
        <f>_xlfn.XLOOKUP(A437,MktTitle,MktTotVol,0)</f>
        <v/>
      </c>
      <c r="K437">
        <f>IF(H437&gt;WhaleThreshold,"WHALE","")</f>
        <v/>
      </c>
    </row>
    <row r="438">
      <c r="A438" t="inlineStr">
        <is>
          <t>Will Mexico win the 2026 FIFA World Cup?</t>
        </is>
      </c>
      <c r="B438" s="4" t="n">
        <v>46205</v>
      </c>
      <c r="C438" s="5" t="n">
        <v>46205.99853009259</v>
      </c>
      <c r="D438" t="inlineStr">
        <is>
          <t>BUY</t>
        </is>
      </c>
      <c r="E438" t="inlineStr">
        <is>
          <t>Yes</t>
        </is>
      </c>
      <c r="F438" s="2" t="n">
        <v>0.033</v>
      </c>
      <c r="G438" s="6" t="n">
        <v>2926.6667</v>
      </c>
      <c r="H438" s="6">
        <f>F438*G438</f>
        <v/>
      </c>
      <c r="I438">
        <f>_xlfn.XLOOKUP(A438,MktTitle,MktCat,"n/a")</f>
        <v/>
      </c>
      <c r="J438" s="3">
        <f>_xlfn.XLOOKUP(A438,MktTitle,MktTotVol,0)</f>
        <v/>
      </c>
      <c r="K438">
        <f>IF(H438&gt;WhaleThreshold,"WHALE","")</f>
        <v/>
      </c>
    </row>
    <row r="439">
      <c r="A439" t="inlineStr">
        <is>
          <t>Will Mexico win the 2026 FIFA World Cup?</t>
        </is>
      </c>
      <c r="B439" s="4" t="n">
        <v>46205</v>
      </c>
      <c r="C439" s="5" t="n">
        <v>46205.99616898148</v>
      </c>
      <c r="D439" t="inlineStr">
        <is>
          <t>SELL</t>
        </is>
      </c>
      <c r="E439" t="inlineStr">
        <is>
          <t>No</t>
        </is>
      </c>
      <c r="F439" s="2" t="n">
        <v>0.967</v>
      </c>
      <c r="G439" s="6" t="n">
        <v>361.41</v>
      </c>
      <c r="H439" s="6">
        <f>F439*G439</f>
        <v/>
      </c>
      <c r="I439">
        <f>_xlfn.XLOOKUP(A439,MktTitle,MktCat,"n/a")</f>
        <v/>
      </c>
      <c r="J439" s="3">
        <f>_xlfn.XLOOKUP(A439,MktTitle,MktTotVol,0)</f>
        <v/>
      </c>
      <c r="K439">
        <f>IF(H439&gt;WhaleThreshold,"WHALE","")</f>
        <v/>
      </c>
    </row>
    <row r="440">
      <c r="A440" t="inlineStr">
        <is>
          <t>Will Mexico win the 2026 FIFA World Cup?</t>
        </is>
      </c>
      <c r="B440" s="4" t="n">
        <v>46205</v>
      </c>
      <c r="C440" s="5" t="n">
        <v>46205.99511574074</v>
      </c>
      <c r="D440" t="inlineStr">
        <is>
          <t>SELL</t>
        </is>
      </c>
      <c r="E440" t="inlineStr">
        <is>
          <t>Yes</t>
        </is>
      </c>
      <c r="F440" s="2" t="n">
        <v>0.032</v>
      </c>
      <c r="G440" s="6" t="n">
        <v>27.69</v>
      </c>
      <c r="H440" s="6">
        <f>F440*G440</f>
        <v/>
      </c>
      <c r="I440">
        <f>_xlfn.XLOOKUP(A440,MktTitle,MktCat,"n/a")</f>
        <v/>
      </c>
      <c r="J440" s="3">
        <f>_xlfn.XLOOKUP(A440,MktTitle,MktTotVol,0)</f>
        <v/>
      </c>
      <c r="K440">
        <f>IF(H440&gt;WhaleThreshold,"WHALE","")</f>
        <v/>
      </c>
    </row>
    <row r="441">
      <c r="A441" t="inlineStr">
        <is>
          <t>Will Mexico win the 2026 FIFA World Cup?</t>
        </is>
      </c>
      <c r="B441" s="4" t="n">
        <v>46205</v>
      </c>
      <c r="C441" s="5" t="n">
        <v>46205.99490740741</v>
      </c>
      <c r="D441" t="inlineStr">
        <is>
          <t>SELL</t>
        </is>
      </c>
      <c r="E441" t="inlineStr">
        <is>
          <t>Yes</t>
        </is>
      </c>
      <c r="F441" s="2" t="n">
        <v>0.032</v>
      </c>
      <c r="G441" s="6" t="n">
        <v>368.84</v>
      </c>
      <c r="H441" s="6">
        <f>F441*G441</f>
        <v/>
      </c>
      <c r="I441">
        <f>_xlfn.XLOOKUP(A441,MktTitle,MktCat,"n/a")</f>
        <v/>
      </c>
      <c r="J441" s="3">
        <f>_xlfn.XLOOKUP(A441,MktTitle,MktTotVol,0)</f>
        <v/>
      </c>
      <c r="K441">
        <f>IF(H441&gt;WhaleThreshold,"WHALE","")</f>
        <v/>
      </c>
    </row>
    <row r="442">
      <c r="A442" t="inlineStr">
        <is>
          <t>Will Mexico win the 2026 FIFA World Cup?</t>
        </is>
      </c>
      <c r="B442" s="4" t="n">
        <v>46205</v>
      </c>
      <c r="C442" s="5" t="n">
        <v>46205.99431712963</v>
      </c>
      <c r="D442" t="inlineStr">
        <is>
          <t>BUY</t>
        </is>
      </c>
      <c r="E442" t="inlineStr">
        <is>
          <t>Yes</t>
        </is>
      </c>
      <c r="F442" s="2" t="n">
        <v>0.033</v>
      </c>
      <c r="G442" s="6" t="n">
        <v>3030.303</v>
      </c>
      <c r="H442" s="6">
        <f>F442*G442</f>
        <v/>
      </c>
      <c r="I442">
        <f>_xlfn.XLOOKUP(A442,MktTitle,MktCat,"n/a")</f>
        <v/>
      </c>
      <c r="J442" s="3">
        <f>_xlfn.XLOOKUP(A442,MktTitle,MktTotVol,0)</f>
        <v/>
      </c>
      <c r="K442">
        <f>IF(H442&gt;WhaleThreshold,"WHALE","")</f>
        <v/>
      </c>
    </row>
    <row r="443">
      <c r="A443" t="inlineStr">
        <is>
          <t>Will Mexico win the 2026 FIFA World Cup?</t>
        </is>
      </c>
      <c r="B443" s="4" t="n">
        <v>46205</v>
      </c>
      <c r="C443" s="5" t="n">
        <v>46205.99355324074</v>
      </c>
      <c r="D443" t="inlineStr">
        <is>
          <t>SELL</t>
        </is>
      </c>
      <c r="E443" t="inlineStr">
        <is>
          <t>No</t>
        </is>
      </c>
      <c r="F443" s="2" t="n">
        <v>0.967</v>
      </c>
      <c r="G443" s="6" t="n">
        <v>10.35</v>
      </c>
      <c r="H443" s="6">
        <f>F443*G443</f>
        <v/>
      </c>
      <c r="I443">
        <f>_xlfn.XLOOKUP(A443,MktTitle,MktCat,"n/a")</f>
        <v/>
      </c>
      <c r="J443" s="3">
        <f>_xlfn.XLOOKUP(A443,MktTitle,MktTotVol,0)</f>
        <v/>
      </c>
      <c r="K443">
        <f>IF(H443&gt;WhaleThreshold,"WHALE","")</f>
        <v/>
      </c>
    </row>
    <row r="444">
      <c r="A444" t="inlineStr">
        <is>
          <t>Will Mexico win the 2026 FIFA World Cup?</t>
        </is>
      </c>
      <c r="B444" s="4" t="n">
        <v>46205</v>
      </c>
      <c r="C444" s="5" t="n">
        <v>46205.99325231482</v>
      </c>
      <c r="D444" t="inlineStr">
        <is>
          <t>BUY</t>
        </is>
      </c>
      <c r="E444" t="inlineStr">
        <is>
          <t>No</t>
        </is>
      </c>
      <c r="F444" s="2" t="n">
        <v>0.968</v>
      </c>
      <c r="G444" s="6" t="n">
        <v>10.35</v>
      </c>
      <c r="H444" s="6">
        <f>F444*G444</f>
        <v/>
      </c>
      <c r="I444">
        <f>_xlfn.XLOOKUP(A444,MktTitle,MktCat,"n/a")</f>
        <v/>
      </c>
      <c r="J444" s="3">
        <f>_xlfn.XLOOKUP(A444,MktTitle,MktTotVol,0)</f>
        <v/>
      </c>
      <c r="K444">
        <f>IF(H444&gt;WhaleThreshold,"WHALE","")</f>
        <v/>
      </c>
    </row>
    <row r="445">
      <c r="A445" t="inlineStr">
        <is>
          <t>Will Mexico win the 2026 FIFA World Cup?</t>
        </is>
      </c>
      <c r="B445" s="4" t="n">
        <v>46205</v>
      </c>
      <c r="C445" s="5" t="n">
        <v>46205.9930787037</v>
      </c>
      <c r="D445" t="inlineStr">
        <is>
          <t>BUY</t>
        </is>
      </c>
      <c r="E445" t="inlineStr">
        <is>
          <t>No</t>
        </is>
      </c>
      <c r="F445" s="2" t="n">
        <v>0.968</v>
      </c>
      <c r="G445" s="6" t="n">
        <v>361.41</v>
      </c>
      <c r="H445" s="6">
        <f>F445*G445</f>
        <v/>
      </c>
      <c r="I445">
        <f>_xlfn.XLOOKUP(A445,MktTitle,MktCat,"n/a")</f>
        <v/>
      </c>
      <c r="J445" s="3">
        <f>_xlfn.XLOOKUP(A445,MktTitle,MktTotVol,0)</f>
        <v/>
      </c>
      <c r="K445">
        <f>IF(H445&gt;WhaleThreshold,"WHALE","")</f>
        <v/>
      </c>
    </row>
    <row r="446">
      <c r="A446" t="inlineStr">
        <is>
          <t>Will Mexico win the 2026 FIFA World Cup?</t>
        </is>
      </c>
      <c r="B446" s="4" t="n">
        <v>46205</v>
      </c>
      <c r="C446" s="5" t="n">
        <v>46205.99207175926</v>
      </c>
      <c r="D446" t="inlineStr">
        <is>
          <t>BUY</t>
        </is>
      </c>
      <c r="E446" t="inlineStr">
        <is>
          <t>Yes</t>
        </is>
      </c>
      <c r="F446" s="2" t="n">
        <v>0.033</v>
      </c>
      <c r="G446" s="6" t="n">
        <v>1818.1818</v>
      </c>
      <c r="H446" s="6">
        <f>F446*G446</f>
        <v/>
      </c>
      <c r="I446">
        <f>_xlfn.XLOOKUP(A446,MktTitle,MktCat,"n/a")</f>
        <v/>
      </c>
      <c r="J446" s="3">
        <f>_xlfn.XLOOKUP(A446,MktTitle,MktTotVol,0)</f>
        <v/>
      </c>
      <c r="K446">
        <f>IF(H446&gt;WhaleThreshold,"WHALE","")</f>
        <v/>
      </c>
    </row>
    <row r="447">
      <c r="A447" t="inlineStr">
        <is>
          <t>Will Mexico win the 2026 FIFA World Cup?</t>
        </is>
      </c>
      <c r="B447" s="4" t="n">
        <v>46205</v>
      </c>
      <c r="C447" s="5" t="n">
        <v>46205.99146990741</v>
      </c>
      <c r="D447" t="inlineStr">
        <is>
          <t>SELL</t>
        </is>
      </c>
      <c r="E447" t="inlineStr">
        <is>
          <t>Yes</t>
        </is>
      </c>
      <c r="F447" s="2" t="n">
        <v>0.032</v>
      </c>
      <c r="G447" s="6" t="n">
        <v>6529.41</v>
      </c>
      <c r="H447" s="6">
        <f>F447*G447</f>
        <v/>
      </c>
      <c r="I447">
        <f>_xlfn.XLOOKUP(A447,MktTitle,MktCat,"n/a")</f>
        <v/>
      </c>
      <c r="J447" s="3">
        <f>_xlfn.XLOOKUP(A447,MktTitle,MktTotVol,0)</f>
        <v/>
      </c>
      <c r="K447">
        <f>IF(H447&gt;WhaleThreshold,"WHALE","")</f>
        <v/>
      </c>
    </row>
    <row r="448">
      <c r="A448" t="inlineStr">
        <is>
          <t>Will Mexico win the 2026 FIFA World Cup?</t>
        </is>
      </c>
      <c r="B448" s="4" t="n">
        <v>46205</v>
      </c>
      <c r="C448" s="5" t="n">
        <v>46205.99120370371</v>
      </c>
      <c r="D448" t="inlineStr">
        <is>
          <t>BUY</t>
        </is>
      </c>
      <c r="E448" t="inlineStr">
        <is>
          <t>Yes</t>
        </is>
      </c>
      <c r="F448" s="2" t="n">
        <v>0.032</v>
      </c>
      <c r="G448" s="6" t="n">
        <v>42334.37</v>
      </c>
      <c r="H448" s="6">
        <f>F448*G448</f>
        <v/>
      </c>
      <c r="I448">
        <f>_xlfn.XLOOKUP(A448,MktTitle,MktCat,"n/a")</f>
        <v/>
      </c>
      <c r="J448" s="3">
        <f>_xlfn.XLOOKUP(A448,MktTitle,MktTotVol,0)</f>
        <v/>
      </c>
      <c r="K448">
        <f>IF(H448&gt;WhaleThreshold,"WHALE","")</f>
        <v/>
      </c>
    </row>
    <row r="449">
      <c r="A449" t="inlineStr">
        <is>
          <t>Will Mexico win the 2026 FIFA World Cup?</t>
        </is>
      </c>
      <c r="B449" s="4" t="n">
        <v>46205</v>
      </c>
      <c r="C449" s="5" t="n">
        <v>46205.98841435185</v>
      </c>
      <c r="D449" t="inlineStr">
        <is>
          <t>BUY</t>
        </is>
      </c>
      <c r="E449" t="inlineStr">
        <is>
          <t>Yes</t>
        </is>
      </c>
      <c r="F449" s="2" t="n">
        <v>0.032</v>
      </c>
      <c r="G449" s="6" t="n">
        <v>31.25</v>
      </c>
      <c r="H449" s="6">
        <f>F449*G449</f>
        <v/>
      </c>
      <c r="I449">
        <f>_xlfn.XLOOKUP(A449,MktTitle,MktCat,"n/a")</f>
        <v/>
      </c>
      <c r="J449" s="3">
        <f>_xlfn.XLOOKUP(A449,MktTitle,MktTotVol,0)</f>
        <v/>
      </c>
      <c r="K449">
        <f>IF(H449&gt;WhaleThreshold,"WHALE","")</f>
        <v/>
      </c>
    </row>
    <row r="450">
      <c r="A450" t="inlineStr">
        <is>
          <t>Will Mexico win the 2026 FIFA World Cup?</t>
        </is>
      </c>
      <c r="B450" s="4" t="n">
        <v>46205</v>
      </c>
      <c r="C450" s="5" t="n">
        <v>46205.98813657407</v>
      </c>
      <c r="D450" t="inlineStr">
        <is>
          <t>SELL</t>
        </is>
      </c>
      <c r="E450" t="inlineStr">
        <is>
          <t>Yes</t>
        </is>
      </c>
      <c r="F450" s="2" t="n">
        <v>0.031</v>
      </c>
      <c r="G450" s="6" t="n">
        <v>1040.1</v>
      </c>
      <c r="H450" s="6">
        <f>F450*G450</f>
        <v/>
      </c>
      <c r="I450">
        <f>_xlfn.XLOOKUP(A450,MktTitle,MktCat,"n/a")</f>
        <v/>
      </c>
      <c r="J450" s="3">
        <f>_xlfn.XLOOKUP(A450,MktTitle,MktTotVol,0)</f>
        <v/>
      </c>
      <c r="K450">
        <f>IF(H450&gt;WhaleThreshold,"WHALE","")</f>
        <v/>
      </c>
    </row>
    <row r="451">
      <c r="A451" t="inlineStr">
        <is>
          <t>Will Mexico win the 2026 FIFA World Cup?</t>
        </is>
      </c>
      <c r="B451" s="4" t="n">
        <v>46205</v>
      </c>
      <c r="C451" s="5" t="n">
        <v>46205.98768518519</v>
      </c>
      <c r="D451" t="inlineStr">
        <is>
          <t>SELL</t>
        </is>
      </c>
      <c r="E451" t="inlineStr">
        <is>
          <t>No</t>
        </is>
      </c>
      <c r="F451" s="2" t="n">
        <v>0.968</v>
      </c>
      <c r="G451" s="6" t="n">
        <v>55</v>
      </c>
      <c r="H451" s="6">
        <f>F451*G451</f>
        <v/>
      </c>
      <c r="I451">
        <f>_xlfn.XLOOKUP(A451,MktTitle,MktCat,"n/a")</f>
        <v/>
      </c>
      <c r="J451" s="3">
        <f>_xlfn.XLOOKUP(A451,MktTitle,MktTotVol,0)</f>
        <v/>
      </c>
      <c r="K451">
        <f>IF(H451&gt;WhaleThreshold,"WHALE","")</f>
        <v/>
      </c>
    </row>
    <row r="452">
      <c r="A452" t="inlineStr">
        <is>
          <t>Will Mexico win the 2026 FIFA World Cup?</t>
        </is>
      </c>
      <c r="B452" s="4" t="n">
        <v>46205</v>
      </c>
      <c r="C452" s="5" t="n">
        <v>46205.98726851852</v>
      </c>
      <c r="D452" t="inlineStr">
        <is>
          <t>BUY</t>
        </is>
      </c>
      <c r="E452" t="inlineStr">
        <is>
          <t>Yes</t>
        </is>
      </c>
      <c r="F452" s="2" t="n">
        <v>0.032</v>
      </c>
      <c r="G452" s="6" t="n">
        <v>1269.375</v>
      </c>
      <c r="H452" s="6">
        <f>F452*G452</f>
        <v/>
      </c>
      <c r="I452">
        <f>_xlfn.XLOOKUP(A452,MktTitle,MktCat,"n/a")</f>
        <v/>
      </c>
      <c r="J452" s="3">
        <f>_xlfn.XLOOKUP(A452,MktTitle,MktTotVol,0)</f>
        <v/>
      </c>
      <c r="K452">
        <f>IF(H452&gt;WhaleThreshold,"WHALE","")</f>
        <v/>
      </c>
    </row>
    <row r="453">
      <c r="A453" t="inlineStr">
        <is>
          <t>Will Mexico win the 2026 FIFA World Cup?</t>
        </is>
      </c>
      <c r="B453" s="4" t="n">
        <v>46205</v>
      </c>
      <c r="C453" s="5" t="n">
        <v>46205.98709490741</v>
      </c>
      <c r="D453" t="inlineStr">
        <is>
          <t>BUY</t>
        </is>
      </c>
      <c r="E453" t="inlineStr">
        <is>
          <t>Yes</t>
        </is>
      </c>
      <c r="F453" s="2" t="n">
        <v>0.032</v>
      </c>
      <c r="G453" s="6" t="n">
        <v>625</v>
      </c>
      <c r="H453" s="6">
        <f>F453*G453</f>
        <v/>
      </c>
      <c r="I453">
        <f>_xlfn.XLOOKUP(A453,MktTitle,MktCat,"n/a")</f>
        <v/>
      </c>
      <c r="J453" s="3">
        <f>_xlfn.XLOOKUP(A453,MktTitle,MktTotVol,0)</f>
        <v/>
      </c>
      <c r="K453">
        <f>IF(H453&gt;WhaleThreshold,"WHALE","")</f>
        <v/>
      </c>
    </row>
    <row r="454">
      <c r="A454" t="inlineStr">
        <is>
          <t>Will Mexico win the 2026 FIFA World Cup?</t>
        </is>
      </c>
      <c r="B454" s="4" t="n">
        <v>46205</v>
      </c>
      <c r="C454" s="5" t="n">
        <v>46205.98646990741</v>
      </c>
      <c r="D454" t="inlineStr">
        <is>
          <t>BUY</t>
        </is>
      </c>
      <c r="E454" t="inlineStr">
        <is>
          <t>No</t>
        </is>
      </c>
      <c r="F454" s="2" t="n">
        <v>0.969</v>
      </c>
      <c r="G454" s="6" t="n">
        <v>300</v>
      </c>
      <c r="H454" s="6">
        <f>F454*G454</f>
        <v/>
      </c>
      <c r="I454">
        <f>_xlfn.XLOOKUP(A454,MktTitle,MktCat,"n/a")</f>
        <v/>
      </c>
      <c r="J454" s="3">
        <f>_xlfn.XLOOKUP(A454,MktTitle,MktTotVol,0)</f>
        <v/>
      </c>
      <c r="K454">
        <f>IF(H454&gt;WhaleThreshold,"WHALE","")</f>
        <v/>
      </c>
    </row>
    <row r="455">
      <c r="A455" t="inlineStr">
        <is>
          <t>Will Mexico win the 2026 FIFA World Cup?</t>
        </is>
      </c>
      <c r="B455" s="4" t="n">
        <v>46205</v>
      </c>
      <c r="C455" s="5" t="n">
        <v>46205.98592592592</v>
      </c>
      <c r="D455" t="inlineStr">
        <is>
          <t>SELL</t>
        </is>
      </c>
      <c r="E455" t="inlineStr">
        <is>
          <t>Yes</t>
        </is>
      </c>
      <c r="F455" s="2" t="n">
        <v>0.031</v>
      </c>
      <c r="G455" s="6" t="n">
        <v>29.77</v>
      </c>
      <c r="H455" s="6">
        <f>F455*G455</f>
        <v/>
      </c>
      <c r="I455">
        <f>_xlfn.XLOOKUP(A455,MktTitle,MktCat,"n/a")</f>
        <v/>
      </c>
      <c r="J455" s="3">
        <f>_xlfn.XLOOKUP(A455,MktTitle,MktTotVol,0)</f>
        <v/>
      </c>
      <c r="K455">
        <f>IF(H455&gt;WhaleThreshold,"WHALE","")</f>
        <v/>
      </c>
    </row>
    <row r="456">
      <c r="A456" t="inlineStr">
        <is>
          <t>Will Mexico win the 2026 FIFA World Cup?</t>
        </is>
      </c>
      <c r="B456" s="4" t="n">
        <v>46205</v>
      </c>
      <c r="C456" s="5" t="n">
        <v>46205.98592592592</v>
      </c>
      <c r="D456" t="inlineStr">
        <is>
          <t>BUY</t>
        </is>
      </c>
      <c r="E456" t="inlineStr">
        <is>
          <t>Yes</t>
        </is>
      </c>
      <c r="F456" s="2" t="n">
        <v>0.032</v>
      </c>
      <c r="G456" s="6" t="n">
        <v>2343.75</v>
      </c>
      <c r="H456" s="6">
        <f>F456*G456</f>
        <v/>
      </c>
      <c r="I456">
        <f>_xlfn.XLOOKUP(A456,MktTitle,MktCat,"n/a")</f>
        <v/>
      </c>
      <c r="J456" s="3">
        <f>_xlfn.XLOOKUP(A456,MktTitle,MktTotVol,0)</f>
        <v/>
      </c>
      <c r="K456">
        <f>IF(H456&gt;WhaleThreshold,"WHALE","")</f>
        <v/>
      </c>
    </row>
    <row r="457">
      <c r="A457" t="inlineStr">
        <is>
          <t>Will Mexico win the 2026 FIFA World Cup?</t>
        </is>
      </c>
      <c r="B457" s="4" t="n">
        <v>46205</v>
      </c>
      <c r="C457" s="5" t="n">
        <v>46205.98547453704</v>
      </c>
      <c r="D457" t="inlineStr">
        <is>
          <t>BUY</t>
        </is>
      </c>
      <c r="E457" t="inlineStr">
        <is>
          <t>Yes</t>
        </is>
      </c>
      <c r="F457" s="2" t="n">
        <v>0.032</v>
      </c>
      <c r="G457" s="6" t="n">
        <v>312.5</v>
      </c>
      <c r="H457" s="6">
        <f>F457*G457</f>
        <v/>
      </c>
      <c r="I457">
        <f>_xlfn.XLOOKUP(A457,MktTitle,MktCat,"n/a")</f>
        <v/>
      </c>
      <c r="J457" s="3">
        <f>_xlfn.XLOOKUP(A457,MktTitle,MktTotVol,0)</f>
        <v/>
      </c>
      <c r="K457">
        <f>IF(H457&gt;WhaleThreshold,"WHALE","")</f>
        <v/>
      </c>
    </row>
    <row r="458">
      <c r="A458" t="inlineStr">
        <is>
          <t>Will Mexico win the 2026 FIFA World Cup?</t>
        </is>
      </c>
      <c r="B458" s="4" t="n">
        <v>46205</v>
      </c>
      <c r="C458" s="5" t="n">
        <v>46205.98505787037</v>
      </c>
      <c r="D458" t="inlineStr">
        <is>
          <t>BUY</t>
        </is>
      </c>
      <c r="E458" t="inlineStr">
        <is>
          <t>Yes</t>
        </is>
      </c>
      <c r="F458" s="2" t="n">
        <v>0.032</v>
      </c>
      <c r="G458" s="6" t="n">
        <v>62.5</v>
      </c>
      <c r="H458" s="6">
        <f>F458*G458</f>
        <v/>
      </c>
      <c r="I458">
        <f>_xlfn.XLOOKUP(A458,MktTitle,MktCat,"n/a")</f>
        <v/>
      </c>
      <c r="J458" s="3">
        <f>_xlfn.XLOOKUP(A458,MktTitle,MktTotVol,0)</f>
        <v/>
      </c>
      <c r="K458">
        <f>IF(H458&gt;WhaleThreshold,"WHALE","")</f>
        <v/>
      </c>
    </row>
    <row r="459">
      <c r="A459" t="inlineStr">
        <is>
          <t>Will Mexico win the 2026 FIFA World Cup?</t>
        </is>
      </c>
      <c r="B459" s="4" t="n">
        <v>46205</v>
      </c>
      <c r="C459" s="5" t="n">
        <v>46205.98474537037</v>
      </c>
      <c r="D459" t="inlineStr">
        <is>
          <t>BUY</t>
        </is>
      </c>
      <c r="E459" t="inlineStr">
        <is>
          <t>Yes</t>
        </is>
      </c>
      <c r="F459" s="2" t="n">
        <v>0.032</v>
      </c>
      <c r="G459" s="6" t="n">
        <v>2930</v>
      </c>
      <c r="H459" s="6">
        <f>F459*G459</f>
        <v/>
      </c>
      <c r="I459">
        <f>_xlfn.XLOOKUP(A459,MktTitle,MktCat,"n/a")</f>
        <v/>
      </c>
      <c r="J459" s="3">
        <f>_xlfn.XLOOKUP(A459,MktTitle,MktTotVol,0)</f>
        <v/>
      </c>
      <c r="K459">
        <f>IF(H459&gt;WhaleThreshold,"WHALE","")</f>
        <v/>
      </c>
    </row>
    <row r="460">
      <c r="A460" t="inlineStr">
        <is>
          <t>Will Mexico win the 2026 FIFA World Cup?</t>
        </is>
      </c>
      <c r="B460" s="4" t="n">
        <v>46205</v>
      </c>
      <c r="C460" s="5" t="n">
        <v>46205.98396990741</v>
      </c>
      <c r="D460" t="inlineStr">
        <is>
          <t>SELL</t>
        </is>
      </c>
      <c r="E460" t="inlineStr">
        <is>
          <t>Yes</t>
        </is>
      </c>
      <c r="F460" s="2" t="n">
        <v>0.031</v>
      </c>
      <c r="G460" s="6" t="n">
        <v>2000</v>
      </c>
      <c r="H460" s="6">
        <f>F460*G460</f>
        <v/>
      </c>
      <c r="I460">
        <f>_xlfn.XLOOKUP(A460,MktTitle,MktCat,"n/a")</f>
        <v/>
      </c>
      <c r="J460" s="3">
        <f>_xlfn.XLOOKUP(A460,MktTitle,MktTotVol,0)</f>
        <v/>
      </c>
      <c r="K460">
        <f>IF(H460&gt;WhaleThreshold,"WHALE","")</f>
        <v/>
      </c>
    </row>
    <row r="461">
      <c r="A461" t="inlineStr">
        <is>
          <t>Will Mexico win the 2026 FIFA World Cup?</t>
        </is>
      </c>
      <c r="B461" s="4" t="n">
        <v>46205</v>
      </c>
      <c r="C461" s="5" t="n">
        <v>46205.98282407408</v>
      </c>
      <c r="D461" t="inlineStr">
        <is>
          <t>SELL</t>
        </is>
      </c>
      <c r="E461" t="inlineStr">
        <is>
          <t>Yes</t>
        </is>
      </c>
      <c r="F461" s="2" t="n">
        <v>0.031</v>
      </c>
      <c r="G461" s="6" t="n">
        <v>458.18</v>
      </c>
      <c r="H461" s="6">
        <f>F461*G461</f>
        <v/>
      </c>
      <c r="I461">
        <f>_xlfn.XLOOKUP(A461,MktTitle,MktCat,"n/a")</f>
        <v/>
      </c>
      <c r="J461" s="3">
        <f>_xlfn.XLOOKUP(A461,MktTitle,MktTotVol,0)</f>
        <v/>
      </c>
      <c r="K461">
        <f>IF(H461&gt;WhaleThreshold,"WHALE","")</f>
        <v/>
      </c>
    </row>
    <row r="462">
      <c r="A462" t="inlineStr">
        <is>
          <t>Will Mexico win the 2026 FIFA World Cup?</t>
        </is>
      </c>
      <c r="B462" s="4" t="n">
        <v>46205</v>
      </c>
      <c r="C462" s="5" t="n">
        <v>46205.9825462963</v>
      </c>
      <c r="D462" t="inlineStr">
        <is>
          <t>SELL</t>
        </is>
      </c>
      <c r="E462" t="inlineStr">
        <is>
          <t>Yes</t>
        </is>
      </c>
      <c r="F462" s="2" t="n">
        <v>0.031</v>
      </c>
      <c r="G462" s="6" t="n">
        <v>6250.02</v>
      </c>
      <c r="H462" s="6">
        <f>F462*G462</f>
        <v/>
      </c>
      <c r="I462">
        <f>_xlfn.XLOOKUP(A462,MktTitle,MktCat,"n/a")</f>
        <v/>
      </c>
      <c r="J462" s="3">
        <f>_xlfn.XLOOKUP(A462,MktTitle,MktTotVol,0)</f>
        <v/>
      </c>
      <c r="K462">
        <f>IF(H462&gt;WhaleThreshold,"WHALE","")</f>
        <v/>
      </c>
    </row>
    <row r="463">
      <c r="A463" t="inlineStr">
        <is>
          <t>Will Mexico win the 2026 FIFA World Cup?</t>
        </is>
      </c>
      <c r="B463" s="4" t="n">
        <v>46205</v>
      </c>
      <c r="C463" s="5" t="n">
        <v>46205.98221064815</v>
      </c>
      <c r="D463" t="inlineStr">
        <is>
          <t>BUY</t>
        </is>
      </c>
      <c r="E463" t="inlineStr">
        <is>
          <t>Yes</t>
        </is>
      </c>
      <c r="F463" s="2" t="n">
        <v>0.032</v>
      </c>
      <c r="G463" s="6" t="n">
        <v>111.82</v>
      </c>
      <c r="H463" s="6">
        <f>F463*G463</f>
        <v/>
      </c>
      <c r="I463">
        <f>_xlfn.XLOOKUP(A463,MktTitle,MktCat,"n/a")</f>
        <v/>
      </c>
      <c r="J463" s="3">
        <f>_xlfn.XLOOKUP(A463,MktTitle,MktTotVol,0)</f>
        <v/>
      </c>
      <c r="K463">
        <f>IF(H463&gt;WhaleThreshold,"WHALE","")</f>
        <v/>
      </c>
    </row>
    <row r="464">
      <c r="A464" t="inlineStr">
        <is>
          <t>Will Mexico win the 2026 FIFA World Cup?</t>
        </is>
      </c>
      <c r="B464" s="4" t="n">
        <v>46205</v>
      </c>
      <c r="C464" s="5" t="n">
        <v>46205.98126157407</v>
      </c>
      <c r="D464" t="inlineStr">
        <is>
          <t>SELL</t>
        </is>
      </c>
      <c r="E464" t="inlineStr">
        <is>
          <t>Yes</t>
        </is>
      </c>
      <c r="F464" s="2" t="n">
        <v>0.031</v>
      </c>
      <c r="G464" s="6" t="n">
        <v>35.71</v>
      </c>
      <c r="H464" s="6">
        <f>F464*G464</f>
        <v/>
      </c>
      <c r="I464">
        <f>_xlfn.XLOOKUP(A464,MktTitle,MktCat,"n/a")</f>
        <v/>
      </c>
      <c r="J464" s="3">
        <f>_xlfn.XLOOKUP(A464,MktTitle,MktTotVol,0)</f>
        <v/>
      </c>
      <c r="K464">
        <f>IF(H464&gt;WhaleThreshold,"WHALE","")</f>
        <v/>
      </c>
    </row>
    <row r="465">
      <c r="A465" t="inlineStr">
        <is>
          <t>Will Mexico win the 2026 FIFA World Cup?</t>
        </is>
      </c>
      <c r="B465" s="4" t="n">
        <v>46205</v>
      </c>
      <c r="C465" s="5" t="n">
        <v>46205.98074074074</v>
      </c>
      <c r="D465" t="inlineStr">
        <is>
          <t>BUY</t>
        </is>
      </c>
      <c r="E465" t="inlineStr">
        <is>
          <t>No</t>
        </is>
      </c>
      <c r="F465" s="2" t="n">
        <v>0.969</v>
      </c>
      <c r="G465" s="6" t="n">
        <v>50.1445</v>
      </c>
      <c r="H465" s="6">
        <f>F465*G465</f>
        <v/>
      </c>
      <c r="I465">
        <f>_xlfn.XLOOKUP(A465,MktTitle,MktCat,"n/a")</f>
        <v/>
      </c>
      <c r="J465" s="3">
        <f>_xlfn.XLOOKUP(A465,MktTitle,MktTotVol,0)</f>
        <v/>
      </c>
      <c r="K465">
        <f>IF(H465&gt;WhaleThreshold,"WHALE","")</f>
        <v/>
      </c>
    </row>
    <row r="466">
      <c r="A466" t="inlineStr">
        <is>
          <t>Will Mexico win the 2026 FIFA World Cup?</t>
        </is>
      </c>
      <c r="B466" s="4" t="n">
        <v>46205</v>
      </c>
      <c r="C466" s="5" t="n">
        <v>46205.97796296296</v>
      </c>
      <c r="D466" t="inlineStr">
        <is>
          <t>BUY</t>
        </is>
      </c>
      <c r="E466" t="inlineStr">
        <is>
          <t>No</t>
        </is>
      </c>
      <c r="F466" s="2" t="n">
        <v>0.969</v>
      </c>
      <c r="G466" s="6" t="n">
        <v>55.8204</v>
      </c>
      <c r="H466" s="6">
        <f>F466*G466</f>
        <v/>
      </c>
      <c r="I466">
        <f>_xlfn.XLOOKUP(A466,MktTitle,MktCat,"n/a")</f>
        <v/>
      </c>
      <c r="J466" s="3">
        <f>_xlfn.XLOOKUP(A466,MktTitle,MktTotVol,0)</f>
        <v/>
      </c>
      <c r="K466">
        <f>IF(H466&gt;WhaleThreshold,"WHALE","")</f>
        <v/>
      </c>
    </row>
    <row r="467">
      <c r="A467" t="inlineStr">
        <is>
          <t>Will Mexico win the 2026 FIFA World Cup?</t>
        </is>
      </c>
      <c r="B467" s="4" t="n">
        <v>46205</v>
      </c>
      <c r="C467" s="5" t="n">
        <v>46205.97674768518</v>
      </c>
      <c r="D467" t="inlineStr">
        <is>
          <t>SELL</t>
        </is>
      </c>
      <c r="E467" t="inlineStr">
        <is>
          <t>No</t>
        </is>
      </c>
      <c r="F467" s="2" t="n">
        <v>0.967</v>
      </c>
      <c r="G467" s="6" t="n">
        <v>56.99</v>
      </c>
      <c r="H467" s="6">
        <f>F467*G467</f>
        <v/>
      </c>
      <c r="I467">
        <f>_xlfn.XLOOKUP(A467,MktTitle,MktCat,"n/a")</f>
        <v/>
      </c>
      <c r="J467" s="3">
        <f>_xlfn.XLOOKUP(A467,MktTitle,MktTotVol,0)</f>
        <v/>
      </c>
      <c r="K467">
        <f>IF(H467&gt;WhaleThreshold,"WHALE","")</f>
        <v/>
      </c>
    </row>
    <row r="468">
      <c r="A468" t="inlineStr">
        <is>
          <t>Will Mexico win the 2026 FIFA World Cup?</t>
        </is>
      </c>
      <c r="B468" s="4" t="n">
        <v>46205</v>
      </c>
      <c r="C468" s="5" t="n">
        <v>46205.97578703704</v>
      </c>
      <c r="D468" t="inlineStr">
        <is>
          <t>BUY</t>
        </is>
      </c>
      <c r="E468" t="inlineStr">
        <is>
          <t>No</t>
        </is>
      </c>
      <c r="F468" s="2" t="n">
        <v>0.969</v>
      </c>
      <c r="G468" s="6" t="n">
        <v>51.86</v>
      </c>
      <c r="H468" s="6">
        <f>F468*G468</f>
        <v/>
      </c>
      <c r="I468">
        <f>_xlfn.XLOOKUP(A468,MktTitle,MktCat,"n/a")</f>
        <v/>
      </c>
      <c r="J468" s="3">
        <f>_xlfn.XLOOKUP(A468,MktTitle,MktTotVol,0)</f>
        <v/>
      </c>
      <c r="K468">
        <f>IF(H468&gt;WhaleThreshold,"WHALE","")</f>
        <v/>
      </c>
    </row>
    <row r="469">
      <c r="A469" t="inlineStr">
        <is>
          <t>Will Mexico win the 2026 FIFA World Cup?</t>
        </is>
      </c>
      <c r="B469" s="4" t="n">
        <v>46205</v>
      </c>
      <c r="C469" s="5" t="n">
        <v>46205.97574074074</v>
      </c>
      <c r="D469" t="inlineStr">
        <is>
          <t>BUY</t>
        </is>
      </c>
      <c r="E469" t="inlineStr">
        <is>
          <t>No</t>
        </is>
      </c>
      <c r="F469" s="2" t="n">
        <v>0.969</v>
      </c>
      <c r="G469" s="6" t="n">
        <v>50.3</v>
      </c>
      <c r="H469" s="6">
        <f>F469*G469</f>
        <v/>
      </c>
      <c r="I469">
        <f>_xlfn.XLOOKUP(A469,MktTitle,MktCat,"n/a")</f>
        <v/>
      </c>
      <c r="J469" s="3">
        <f>_xlfn.XLOOKUP(A469,MktTitle,MktTotVol,0)</f>
        <v/>
      </c>
      <c r="K469">
        <f>IF(H469&gt;WhaleThreshold,"WHALE","")</f>
        <v/>
      </c>
    </row>
    <row r="470">
      <c r="A470" t="inlineStr">
        <is>
          <t>Will Mexico win the 2026 FIFA World Cup?</t>
        </is>
      </c>
      <c r="B470" s="4" t="n">
        <v>46205</v>
      </c>
      <c r="C470" s="5" t="n">
        <v>46205.97574074074</v>
      </c>
      <c r="D470" t="inlineStr">
        <is>
          <t>BUY</t>
        </is>
      </c>
      <c r="E470" t="inlineStr">
        <is>
          <t>No</t>
        </is>
      </c>
      <c r="F470" s="2" t="n">
        <v>0.969</v>
      </c>
      <c r="G470" s="6" t="n">
        <v>25.2</v>
      </c>
      <c r="H470" s="6">
        <f>F470*G470</f>
        <v/>
      </c>
      <c r="I470">
        <f>_xlfn.XLOOKUP(A470,MktTitle,MktCat,"n/a")</f>
        <v/>
      </c>
      <c r="J470" s="3">
        <f>_xlfn.XLOOKUP(A470,MktTitle,MktTotVol,0)</f>
        <v/>
      </c>
      <c r="K470">
        <f>IF(H470&gt;WhaleThreshold,"WHALE","")</f>
        <v/>
      </c>
    </row>
    <row r="471">
      <c r="A471" t="inlineStr">
        <is>
          <t>Will Mexico win the 2026 FIFA World Cup?</t>
        </is>
      </c>
      <c r="B471" s="4" t="n">
        <v>46205</v>
      </c>
      <c r="C471" s="5" t="n">
        <v>46205.97571759259</v>
      </c>
      <c r="D471" t="inlineStr">
        <is>
          <t>BUY</t>
        </is>
      </c>
      <c r="E471" t="inlineStr">
        <is>
          <t>No</t>
        </is>
      </c>
      <c r="F471" s="2" t="n">
        <v>0.969</v>
      </c>
      <c r="G471" s="6" t="n">
        <v>2.95</v>
      </c>
      <c r="H471" s="6">
        <f>F471*G471</f>
        <v/>
      </c>
      <c r="I471">
        <f>_xlfn.XLOOKUP(A471,MktTitle,MktCat,"n/a")</f>
        <v/>
      </c>
      <c r="J471" s="3">
        <f>_xlfn.XLOOKUP(A471,MktTitle,MktTotVol,0)</f>
        <v/>
      </c>
      <c r="K471">
        <f>IF(H471&gt;WhaleThreshold,"WHALE","")</f>
        <v/>
      </c>
    </row>
    <row r="472">
      <c r="A472" t="inlineStr">
        <is>
          <t>Will Mexico win the 2026 FIFA World Cup?</t>
        </is>
      </c>
      <c r="B472" s="4" t="n">
        <v>46205</v>
      </c>
      <c r="C472" s="5" t="n">
        <v>46205.97532407408</v>
      </c>
      <c r="D472" t="inlineStr">
        <is>
          <t>BUY</t>
        </is>
      </c>
      <c r="E472" t="inlineStr">
        <is>
          <t>No</t>
        </is>
      </c>
      <c r="F472" s="2" t="n">
        <v>0.969</v>
      </c>
      <c r="G472" s="6" t="n">
        <v>2.99</v>
      </c>
      <c r="H472" s="6">
        <f>F472*G472</f>
        <v/>
      </c>
      <c r="I472">
        <f>_xlfn.XLOOKUP(A472,MktTitle,MktCat,"n/a")</f>
        <v/>
      </c>
      <c r="J472" s="3">
        <f>_xlfn.XLOOKUP(A472,MktTitle,MktTotVol,0)</f>
        <v/>
      </c>
      <c r="K472">
        <f>IF(H472&gt;WhaleThreshold,"WHALE","")</f>
        <v/>
      </c>
    </row>
    <row r="473">
      <c r="A473" t="inlineStr">
        <is>
          <t>Will Mexico win the 2026 FIFA World Cup?</t>
        </is>
      </c>
      <c r="B473" s="4" t="n">
        <v>46205</v>
      </c>
      <c r="C473" s="5" t="n">
        <v>46205.97530092593</v>
      </c>
      <c r="D473" t="inlineStr">
        <is>
          <t>BUY</t>
        </is>
      </c>
      <c r="E473" t="inlineStr">
        <is>
          <t>No</t>
        </is>
      </c>
      <c r="F473" s="2" t="n">
        <v>0.969</v>
      </c>
      <c r="G473" s="6" t="n">
        <v>24.6</v>
      </c>
      <c r="H473" s="6">
        <f>F473*G473</f>
        <v/>
      </c>
      <c r="I473">
        <f>_xlfn.XLOOKUP(A473,MktTitle,MktCat,"n/a")</f>
        <v/>
      </c>
      <c r="J473" s="3">
        <f>_xlfn.XLOOKUP(A473,MktTitle,MktTotVol,0)</f>
        <v/>
      </c>
      <c r="K473">
        <f>IF(H473&gt;WhaleThreshold,"WHALE","")</f>
        <v/>
      </c>
    </row>
    <row r="474">
      <c r="A474" t="inlineStr">
        <is>
          <t>Will Mexico win the 2026 FIFA World Cup?</t>
        </is>
      </c>
      <c r="B474" s="4" t="n">
        <v>46205</v>
      </c>
      <c r="C474" s="5" t="n">
        <v>46205.97528935185</v>
      </c>
      <c r="D474" t="inlineStr">
        <is>
          <t>BUY</t>
        </is>
      </c>
      <c r="E474" t="inlineStr">
        <is>
          <t>No</t>
        </is>
      </c>
      <c r="F474" s="2" t="n">
        <v>0.969</v>
      </c>
      <c r="G474" s="6" t="n">
        <v>49.2</v>
      </c>
      <c r="H474" s="6">
        <f>F474*G474</f>
        <v/>
      </c>
      <c r="I474">
        <f>_xlfn.XLOOKUP(A474,MktTitle,MktCat,"n/a")</f>
        <v/>
      </c>
      <c r="J474" s="3">
        <f>_xlfn.XLOOKUP(A474,MktTitle,MktTotVol,0)</f>
        <v/>
      </c>
      <c r="K474">
        <f>IF(H474&gt;WhaleThreshold,"WHALE","")</f>
        <v/>
      </c>
    </row>
    <row r="475">
      <c r="A475" t="inlineStr">
        <is>
          <t>Will Mexico win the 2026 FIFA World Cup?</t>
        </is>
      </c>
      <c r="B475" s="4" t="n">
        <v>46205</v>
      </c>
      <c r="C475" s="5" t="n">
        <v>46205.97525462963</v>
      </c>
      <c r="D475" t="inlineStr">
        <is>
          <t>BUY</t>
        </is>
      </c>
      <c r="E475" t="inlineStr">
        <is>
          <t>No</t>
        </is>
      </c>
      <c r="F475" s="2" t="n">
        <v>0.969</v>
      </c>
      <c r="G475" s="6" t="n">
        <v>55.02</v>
      </c>
      <c r="H475" s="6">
        <f>F475*G475</f>
        <v/>
      </c>
      <c r="I475">
        <f>_xlfn.XLOOKUP(A475,MktTitle,MktCat,"n/a")</f>
        <v/>
      </c>
      <c r="J475" s="3">
        <f>_xlfn.XLOOKUP(A475,MktTitle,MktTotVol,0)</f>
        <v/>
      </c>
      <c r="K475">
        <f>IF(H475&gt;WhaleThreshold,"WHALE","")</f>
        <v/>
      </c>
    </row>
    <row r="476">
      <c r="A476" t="inlineStr">
        <is>
          <t>Will Mexico win the 2026 FIFA World Cup?</t>
        </is>
      </c>
      <c r="B476" s="4" t="n">
        <v>46205</v>
      </c>
      <c r="C476" s="5" t="n">
        <v>46205.97518518518</v>
      </c>
      <c r="D476" t="inlineStr">
        <is>
          <t>BUY</t>
        </is>
      </c>
      <c r="E476" t="inlineStr">
        <is>
          <t>No</t>
        </is>
      </c>
      <c r="F476" s="2" t="n">
        <v>0.969</v>
      </c>
      <c r="G476" s="6" t="n">
        <v>10</v>
      </c>
      <c r="H476" s="6">
        <f>F476*G476</f>
        <v/>
      </c>
      <c r="I476">
        <f>_xlfn.XLOOKUP(A476,MktTitle,MktCat,"n/a")</f>
        <v/>
      </c>
      <c r="J476" s="3">
        <f>_xlfn.XLOOKUP(A476,MktTitle,MktTotVol,0)</f>
        <v/>
      </c>
      <c r="K476">
        <f>IF(H476&gt;WhaleThreshold,"WHALE","")</f>
        <v/>
      </c>
    </row>
    <row r="477">
      <c r="A477" t="inlineStr">
        <is>
          <t>Will Mexico win the 2026 FIFA World Cup?</t>
        </is>
      </c>
      <c r="B477" s="4" t="n">
        <v>46205</v>
      </c>
      <c r="C477" s="5" t="n">
        <v>46205.97516203704</v>
      </c>
      <c r="D477" t="inlineStr">
        <is>
          <t>BUY</t>
        </is>
      </c>
      <c r="E477" t="inlineStr">
        <is>
          <t>No</t>
        </is>
      </c>
      <c r="F477" s="2" t="n">
        <v>0.969</v>
      </c>
      <c r="G477" s="6" t="n">
        <v>3.15</v>
      </c>
      <c r="H477" s="6">
        <f>F477*G477</f>
        <v/>
      </c>
      <c r="I477">
        <f>_xlfn.XLOOKUP(A477,MktTitle,MktCat,"n/a")</f>
        <v/>
      </c>
      <c r="J477" s="3">
        <f>_xlfn.XLOOKUP(A477,MktTitle,MktTotVol,0)</f>
        <v/>
      </c>
      <c r="K477">
        <f>IF(H477&gt;WhaleThreshold,"WHALE","")</f>
        <v/>
      </c>
    </row>
    <row r="478">
      <c r="A478" t="inlineStr">
        <is>
          <t>Will Mexico win the 2026 FIFA World Cup?</t>
        </is>
      </c>
      <c r="B478" s="4" t="n">
        <v>46205</v>
      </c>
      <c r="C478" s="5" t="n">
        <v>46205.97515046296</v>
      </c>
      <c r="D478" t="inlineStr">
        <is>
          <t>BUY</t>
        </is>
      </c>
      <c r="E478" t="inlineStr">
        <is>
          <t>No</t>
        </is>
      </c>
      <c r="F478" s="2" t="n">
        <v>0.969</v>
      </c>
      <c r="G478" s="6" t="n">
        <v>90</v>
      </c>
      <c r="H478" s="6">
        <f>F478*G478</f>
        <v/>
      </c>
      <c r="I478">
        <f>_xlfn.XLOOKUP(A478,MktTitle,MktCat,"n/a")</f>
        <v/>
      </c>
      <c r="J478" s="3">
        <f>_xlfn.XLOOKUP(A478,MktTitle,MktTotVol,0)</f>
        <v/>
      </c>
      <c r="K478">
        <f>IF(H478&gt;WhaleThreshold,"WHALE","")</f>
        <v/>
      </c>
    </row>
    <row r="479">
      <c r="A479" t="inlineStr">
        <is>
          <t>Will Mexico win the 2026 FIFA World Cup?</t>
        </is>
      </c>
      <c r="B479" s="4" t="n">
        <v>46205</v>
      </c>
      <c r="C479" s="5" t="n">
        <v>46205.97512731481</v>
      </c>
      <c r="D479" t="inlineStr">
        <is>
          <t>BUY</t>
        </is>
      </c>
      <c r="E479" t="inlineStr">
        <is>
          <t>No</t>
        </is>
      </c>
      <c r="F479" s="2" t="n">
        <v>0.969</v>
      </c>
      <c r="G479" s="6" t="n">
        <v>24.9</v>
      </c>
      <c r="H479" s="6">
        <f>F479*G479</f>
        <v/>
      </c>
      <c r="I479">
        <f>_xlfn.XLOOKUP(A479,MktTitle,MktCat,"n/a")</f>
        <v/>
      </c>
      <c r="J479" s="3">
        <f>_xlfn.XLOOKUP(A479,MktTitle,MktTotVol,0)</f>
        <v/>
      </c>
      <c r="K479">
        <f>IF(H479&gt;WhaleThreshold,"WHALE","")</f>
        <v/>
      </c>
    </row>
    <row r="480">
      <c r="A480" t="inlineStr">
        <is>
          <t>Will Mexico win the 2026 FIFA World Cup?</t>
        </is>
      </c>
      <c r="B480" s="4" t="n">
        <v>46205</v>
      </c>
      <c r="C480" s="5" t="n">
        <v>46205.97512731481</v>
      </c>
      <c r="D480" t="inlineStr">
        <is>
          <t>BUY</t>
        </is>
      </c>
      <c r="E480" t="inlineStr">
        <is>
          <t>No</t>
        </is>
      </c>
      <c r="F480" s="2" t="n">
        <v>0.969</v>
      </c>
      <c r="G480" s="6" t="n">
        <v>110</v>
      </c>
      <c r="H480" s="6">
        <f>F480*G480</f>
        <v/>
      </c>
      <c r="I480">
        <f>_xlfn.XLOOKUP(A480,MktTitle,MktCat,"n/a")</f>
        <v/>
      </c>
      <c r="J480" s="3">
        <f>_xlfn.XLOOKUP(A480,MktTitle,MktTotVol,0)</f>
        <v/>
      </c>
      <c r="K480">
        <f>IF(H480&gt;WhaleThreshold,"WHALE","")</f>
        <v/>
      </c>
    </row>
    <row r="481">
      <c r="A481" t="inlineStr">
        <is>
          <t>Will Mexico win the 2026 FIFA World Cup?</t>
        </is>
      </c>
      <c r="B481" s="4" t="n">
        <v>46205</v>
      </c>
      <c r="C481" s="5" t="n">
        <v>46205.97511574074</v>
      </c>
      <c r="D481" t="inlineStr">
        <is>
          <t>BUY</t>
        </is>
      </c>
      <c r="E481" t="inlineStr">
        <is>
          <t>No</t>
        </is>
      </c>
      <c r="F481" s="2" t="n">
        <v>0.969</v>
      </c>
      <c r="G481" s="6" t="n">
        <v>110</v>
      </c>
      <c r="H481" s="6">
        <f>F481*G481</f>
        <v/>
      </c>
      <c r="I481">
        <f>_xlfn.XLOOKUP(A481,MktTitle,MktCat,"n/a")</f>
        <v/>
      </c>
      <c r="J481" s="3">
        <f>_xlfn.XLOOKUP(A481,MktTitle,MktTotVol,0)</f>
        <v/>
      </c>
      <c r="K481">
        <f>IF(H481&gt;WhaleThreshold,"WHALE","")</f>
        <v/>
      </c>
    </row>
    <row r="482">
      <c r="A482" t="inlineStr">
        <is>
          <t>Will Mexico win the 2026 FIFA World Cup?</t>
        </is>
      </c>
      <c r="B482" s="4" t="n">
        <v>46205</v>
      </c>
      <c r="C482" s="5" t="n">
        <v>46205.97511574074</v>
      </c>
      <c r="D482" t="inlineStr">
        <is>
          <t>BUY</t>
        </is>
      </c>
      <c r="E482" t="inlineStr">
        <is>
          <t>No</t>
        </is>
      </c>
      <c r="F482" s="2" t="n">
        <v>0.969</v>
      </c>
      <c r="G482" s="6" t="n">
        <v>110</v>
      </c>
      <c r="H482" s="6">
        <f>F482*G482</f>
        <v/>
      </c>
      <c r="I482">
        <f>_xlfn.XLOOKUP(A482,MktTitle,MktCat,"n/a")</f>
        <v/>
      </c>
      <c r="J482" s="3">
        <f>_xlfn.XLOOKUP(A482,MktTitle,MktTotVol,0)</f>
        <v/>
      </c>
      <c r="K482">
        <f>IF(H482&gt;WhaleThreshold,"WHALE","")</f>
        <v/>
      </c>
    </row>
    <row r="483">
      <c r="A483" t="inlineStr">
        <is>
          <t>Will Mexico win the 2026 FIFA World Cup?</t>
        </is>
      </c>
      <c r="B483" s="4" t="n">
        <v>46205</v>
      </c>
      <c r="C483" s="5" t="n">
        <v>46205.97511574074</v>
      </c>
      <c r="D483" t="inlineStr">
        <is>
          <t>BUY</t>
        </is>
      </c>
      <c r="E483" t="inlineStr">
        <is>
          <t>No</t>
        </is>
      </c>
      <c r="F483" s="2" t="n">
        <v>0.969</v>
      </c>
      <c r="G483" s="6" t="n">
        <v>110</v>
      </c>
      <c r="H483" s="6">
        <f>F483*G483</f>
        <v/>
      </c>
      <c r="I483">
        <f>_xlfn.XLOOKUP(A483,MktTitle,MktCat,"n/a")</f>
        <v/>
      </c>
      <c r="J483" s="3">
        <f>_xlfn.XLOOKUP(A483,MktTitle,MktTotVol,0)</f>
        <v/>
      </c>
      <c r="K483">
        <f>IF(H483&gt;WhaleThreshold,"WHALE","")</f>
        <v/>
      </c>
    </row>
    <row r="484">
      <c r="A484" t="inlineStr">
        <is>
          <t>Will Mexico win the 2026 FIFA World Cup?</t>
        </is>
      </c>
      <c r="B484" s="4" t="n">
        <v>46205</v>
      </c>
      <c r="C484" s="5" t="n">
        <v>46205.97511574074</v>
      </c>
      <c r="D484" t="inlineStr">
        <is>
          <t>BUY</t>
        </is>
      </c>
      <c r="E484" t="inlineStr">
        <is>
          <t>No</t>
        </is>
      </c>
      <c r="F484" s="2" t="n">
        <v>0.969</v>
      </c>
      <c r="G484" s="6" t="n">
        <v>49.8</v>
      </c>
      <c r="H484" s="6">
        <f>F484*G484</f>
        <v/>
      </c>
      <c r="I484">
        <f>_xlfn.XLOOKUP(A484,MktTitle,MktCat,"n/a")</f>
        <v/>
      </c>
      <c r="J484" s="3">
        <f>_xlfn.XLOOKUP(A484,MktTitle,MktTotVol,0)</f>
        <v/>
      </c>
      <c r="K484">
        <f>IF(H484&gt;WhaleThreshold,"WHALE","")</f>
        <v/>
      </c>
    </row>
    <row r="485">
      <c r="A485" t="inlineStr">
        <is>
          <t>Will Mexico win the 2026 FIFA World Cup?</t>
        </is>
      </c>
      <c r="B485" s="4" t="n">
        <v>46205</v>
      </c>
      <c r="C485" s="5" t="n">
        <v>46205.97511574074</v>
      </c>
      <c r="D485" t="inlineStr">
        <is>
          <t>BUY</t>
        </is>
      </c>
      <c r="E485" t="inlineStr">
        <is>
          <t>No</t>
        </is>
      </c>
      <c r="F485" s="2" t="n">
        <v>0.969</v>
      </c>
      <c r="G485" s="6" t="n">
        <v>58.02</v>
      </c>
      <c r="H485" s="6">
        <f>F485*G485</f>
        <v/>
      </c>
      <c r="I485">
        <f>_xlfn.XLOOKUP(A485,MktTitle,MktCat,"n/a")</f>
        <v/>
      </c>
      <c r="J485" s="3">
        <f>_xlfn.XLOOKUP(A485,MktTitle,MktTotVol,0)</f>
        <v/>
      </c>
      <c r="K485">
        <f>IF(H485&gt;WhaleThreshold,"WHALE","")</f>
        <v/>
      </c>
    </row>
    <row r="486">
      <c r="A486" t="inlineStr">
        <is>
          <t>Will Mexico win the 2026 FIFA World Cup?</t>
        </is>
      </c>
      <c r="B486" s="4" t="n">
        <v>46205</v>
      </c>
      <c r="C486" s="5" t="n">
        <v>46205.97497685185</v>
      </c>
      <c r="D486" t="inlineStr">
        <is>
          <t>BUY</t>
        </is>
      </c>
      <c r="E486" t="inlineStr">
        <is>
          <t>No</t>
        </is>
      </c>
      <c r="F486" s="2" t="n">
        <v>0.969</v>
      </c>
      <c r="G486" s="6" t="n">
        <v>107</v>
      </c>
      <c r="H486" s="6">
        <f>F486*G486</f>
        <v/>
      </c>
      <c r="I486">
        <f>_xlfn.XLOOKUP(A486,MktTitle,MktCat,"n/a")</f>
        <v/>
      </c>
      <c r="J486" s="3">
        <f>_xlfn.XLOOKUP(A486,MktTitle,MktTotVol,0)</f>
        <v/>
      </c>
      <c r="K486">
        <f>IF(H486&gt;WhaleThreshold,"WHALE","")</f>
        <v/>
      </c>
    </row>
    <row r="487">
      <c r="A487" t="inlineStr">
        <is>
          <t>Will Mexico win the 2026 FIFA World Cup?</t>
        </is>
      </c>
      <c r="B487" s="4" t="n">
        <v>46205</v>
      </c>
      <c r="C487" s="5" t="n">
        <v>46205.97497685185</v>
      </c>
      <c r="D487" t="inlineStr">
        <is>
          <t>BUY</t>
        </is>
      </c>
      <c r="E487" t="inlineStr">
        <is>
          <t>No</t>
        </is>
      </c>
      <c r="F487" s="2" t="n">
        <v>0.969</v>
      </c>
      <c r="G487" s="6" t="n">
        <v>73.59999999999999</v>
      </c>
      <c r="H487" s="6">
        <f>F487*G487</f>
        <v/>
      </c>
      <c r="I487">
        <f>_xlfn.XLOOKUP(A487,MktTitle,MktCat,"n/a")</f>
        <v/>
      </c>
      <c r="J487" s="3">
        <f>_xlfn.XLOOKUP(A487,MktTitle,MktTotVol,0)</f>
        <v/>
      </c>
      <c r="K487">
        <f>IF(H487&gt;WhaleThreshold,"WHALE","")</f>
        <v/>
      </c>
    </row>
    <row r="488">
      <c r="A488" t="inlineStr">
        <is>
          <t>Will Mexico win the 2026 FIFA World Cup?</t>
        </is>
      </c>
      <c r="B488" s="4" t="n">
        <v>46205</v>
      </c>
      <c r="C488" s="5" t="n">
        <v>46205.97495370371</v>
      </c>
      <c r="D488" t="inlineStr">
        <is>
          <t>BUY</t>
        </is>
      </c>
      <c r="E488" t="inlineStr">
        <is>
          <t>Yes</t>
        </is>
      </c>
      <c r="F488" s="2" t="n">
        <v>0.031</v>
      </c>
      <c r="G488" s="6" t="n">
        <v>2705.71</v>
      </c>
      <c r="H488" s="6">
        <f>F488*G488</f>
        <v/>
      </c>
      <c r="I488">
        <f>_xlfn.XLOOKUP(A488,MktTitle,MktCat,"n/a")</f>
        <v/>
      </c>
      <c r="J488" s="3">
        <f>_xlfn.XLOOKUP(A488,MktTitle,MktTotVol,0)</f>
        <v/>
      </c>
      <c r="K488">
        <f>IF(H488&gt;WhaleThreshold,"WHALE","")</f>
        <v/>
      </c>
    </row>
    <row r="489">
      <c r="A489" t="inlineStr">
        <is>
          <t>Will Mexico win the 2026 FIFA World Cup?</t>
        </is>
      </c>
      <c r="B489" s="4" t="n">
        <v>46205</v>
      </c>
      <c r="C489" s="5" t="n">
        <v>46205.97495370371</v>
      </c>
      <c r="D489" t="inlineStr">
        <is>
          <t>BUY</t>
        </is>
      </c>
      <c r="E489" t="inlineStr">
        <is>
          <t>No</t>
        </is>
      </c>
      <c r="F489" s="2" t="n">
        <v>0.969</v>
      </c>
      <c r="G489" s="6" t="n">
        <v>9</v>
      </c>
      <c r="H489" s="6">
        <f>F489*G489</f>
        <v/>
      </c>
      <c r="I489">
        <f>_xlfn.XLOOKUP(A489,MktTitle,MktCat,"n/a")</f>
        <v/>
      </c>
      <c r="J489" s="3">
        <f>_xlfn.XLOOKUP(A489,MktTitle,MktTotVol,0)</f>
        <v/>
      </c>
      <c r="K489">
        <f>IF(H489&gt;WhaleThreshold,"WHALE","")</f>
        <v/>
      </c>
    </row>
    <row r="490">
      <c r="A490" t="inlineStr">
        <is>
          <t>Will Mexico win the 2026 FIFA World Cup?</t>
        </is>
      </c>
      <c r="B490" s="4" t="n">
        <v>46205</v>
      </c>
      <c r="C490" s="5" t="n">
        <v>46205.97453703704</v>
      </c>
      <c r="D490" t="inlineStr">
        <is>
          <t>BUY</t>
        </is>
      </c>
      <c r="E490" t="inlineStr">
        <is>
          <t>No</t>
        </is>
      </c>
      <c r="F490" s="2" t="n">
        <v>0.97</v>
      </c>
      <c r="G490" s="6" t="n">
        <v>10</v>
      </c>
      <c r="H490" s="6">
        <f>F490*G490</f>
        <v/>
      </c>
      <c r="I490">
        <f>_xlfn.XLOOKUP(A490,MktTitle,MktCat,"n/a")</f>
        <v/>
      </c>
      <c r="J490" s="3">
        <f>_xlfn.XLOOKUP(A490,MktTitle,MktTotVol,0)</f>
        <v/>
      </c>
      <c r="K490">
        <f>IF(H490&gt;WhaleThreshold,"WHALE","")</f>
        <v/>
      </c>
    </row>
    <row r="491">
      <c r="A491" t="inlineStr">
        <is>
          <t>Will Mexico win the 2026 FIFA World Cup?</t>
        </is>
      </c>
      <c r="B491" s="4" t="n">
        <v>46205</v>
      </c>
      <c r="C491" s="5" t="n">
        <v>46205.97453703704</v>
      </c>
      <c r="D491" t="inlineStr">
        <is>
          <t>BUY</t>
        </is>
      </c>
      <c r="E491" t="inlineStr">
        <is>
          <t>No</t>
        </is>
      </c>
      <c r="F491" s="2" t="n">
        <v>0.97</v>
      </c>
      <c r="G491" s="6" t="n">
        <v>15</v>
      </c>
      <c r="H491" s="6">
        <f>F491*G491</f>
        <v/>
      </c>
      <c r="I491">
        <f>_xlfn.XLOOKUP(A491,MktTitle,MktCat,"n/a")</f>
        <v/>
      </c>
      <c r="J491" s="3">
        <f>_xlfn.XLOOKUP(A491,MktTitle,MktTotVol,0)</f>
        <v/>
      </c>
      <c r="K491">
        <f>IF(H491&gt;WhaleThreshold,"WHALE","")</f>
        <v/>
      </c>
    </row>
    <row r="492">
      <c r="A492" t="inlineStr">
        <is>
          <t>Will Mexico win the 2026 FIFA World Cup?</t>
        </is>
      </c>
      <c r="B492" s="4" t="n">
        <v>46205</v>
      </c>
      <c r="C492" s="5" t="n">
        <v>46205.97384259259</v>
      </c>
      <c r="D492" t="inlineStr">
        <is>
          <t>SELL</t>
        </is>
      </c>
      <c r="E492" t="inlineStr">
        <is>
          <t>Yes</t>
        </is>
      </c>
      <c r="F492" s="2" t="n">
        <v>0.0307</v>
      </c>
      <c r="G492" s="6" t="n">
        <v>5000</v>
      </c>
      <c r="H492" s="6">
        <f>F492*G492</f>
        <v/>
      </c>
      <c r="I492">
        <f>_xlfn.XLOOKUP(A492,MktTitle,MktCat,"n/a")</f>
        <v/>
      </c>
      <c r="J492" s="3">
        <f>_xlfn.XLOOKUP(A492,MktTitle,MktTotVol,0)</f>
        <v/>
      </c>
      <c r="K492">
        <f>IF(H492&gt;WhaleThreshold,"WHALE","")</f>
        <v/>
      </c>
    </row>
    <row r="493">
      <c r="A493" t="inlineStr">
        <is>
          <t>Will Mexico win the 2026 FIFA World Cup?</t>
        </is>
      </c>
      <c r="B493" s="4" t="n">
        <v>46205</v>
      </c>
      <c r="C493" s="5" t="n">
        <v>46205.97275462963</v>
      </c>
      <c r="D493" t="inlineStr">
        <is>
          <t>BUY</t>
        </is>
      </c>
      <c r="E493" t="inlineStr">
        <is>
          <t>No</t>
        </is>
      </c>
      <c r="F493" s="2" t="n">
        <v>0.969</v>
      </c>
      <c r="G493" s="6" t="n">
        <v>20</v>
      </c>
      <c r="H493" s="6">
        <f>F493*G493</f>
        <v/>
      </c>
      <c r="I493">
        <f>_xlfn.XLOOKUP(A493,MktTitle,MktCat,"n/a")</f>
        <v/>
      </c>
      <c r="J493" s="3">
        <f>_xlfn.XLOOKUP(A493,MktTitle,MktTotVol,0)</f>
        <v/>
      </c>
      <c r="K493">
        <f>IF(H493&gt;WhaleThreshold,"WHALE","")</f>
        <v/>
      </c>
    </row>
    <row r="494">
      <c r="A494" t="inlineStr">
        <is>
          <t>Will Mexico win the 2026 FIFA World Cup?</t>
        </is>
      </c>
      <c r="B494" s="4" t="n">
        <v>46205</v>
      </c>
      <c r="C494" s="5" t="n">
        <v>46205.97252314815</v>
      </c>
      <c r="D494" t="inlineStr">
        <is>
          <t>BUY</t>
        </is>
      </c>
      <c r="E494" t="inlineStr">
        <is>
          <t>No</t>
        </is>
      </c>
      <c r="F494" s="2" t="n">
        <v>0.969</v>
      </c>
      <c r="G494" s="6" t="n">
        <v>10</v>
      </c>
      <c r="H494" s="6">
        <f>F494*G494</f>
        <v/>
      </c>
      <c r="I494">
        <f>_xlfn.XLOOKUP(A494,MktTitle,MktCat,"n/a")</f>
        <v/>
      </c>
      <c r="J494" s="3">
        <f>_xlfn.XLOOKUP(A494,MktTitle,MktTotVol,0)</f>
        <v/>
      </c>
      <c r="K494">
        <f>IF(H494&gt;WhaleThreshold,"WHALE","")</f>
        <v/>
      </c>
    </row>
    <row r="495">
      <c r="A495" t="inlineStr">
        <is>
          <t>Will Mexico win the 2026 FIFA World Cup?</t>
        </is>
      </c>
      <c r="B495" s="4" t="n">
        <v>46205</v>
      </c>
      <c r="C495" s="5" t="n">
        <v>46205.97252314815</v>
      </c>
      <c r="D495" t="inlineStr">
        <is>
          <t>BUY</t>
        </is>
      </c>
      <c r="E495" t="inlineStr">
        <is>
          <t>No</t>
        </is>
      </c>
      <c r="F495" s="2" t="n">
        <v>0.969</v>
      </c>
      <c r="G495" s="6" t="n">
        <v>18</v>
      </c>
      <c r="H495" s="6">
        <f>F495*G495</f>
        <v/>
      </c>
      <c r="I495">
        <f>_xlfn.XLOOKUP(A495,MktTitle,MktCat,"n/a")</f>
        <v/>
      </c>
      <c r="J495" s="3">
        <f>_xlfn.XLOOKUP(A495,MktTitle,MktTotVol,0)</f>
        <v/>
      </c>
      <c r="K495">
        <f>IF(H495&gt;WhaleThreshold,"WHALE","")</f>
        <v/>
      </c>
    </row>
    <row r="496">
      <c r="A496" t="inlineStr">
        <is>
          <t>Will Mexico win the 2026 FIFA World Cup?</t>
        </is>
      </c>
      <c r="B496" s="4" t="n">
        <v>46205</v>
      </c>
      <c r="C496" s="5" t="n">
        <v>46205.97060185186</v>
      </c>
      <c r="D496" t="inlineStr">
        <is>
          <t>BUY</t>
        </is>
      </c>
      <c r="E496" t="inlineStr">
        <is>
          <t>Yes</t>
        </is>
      </c>
      <c r="F496" s="2" t="n">
        <v>0.032</v>
      </c>
      <c r="G496" s="6" t="n">
        <v>10000</v>
      </c>
      <c r="H496" s="6">
        <f>F496*G496</f>
        <v/>
      </c>
      <c r="I496">
        <f>_xlfn.XLOOKUP(A496,MktTitle,MktCat,"n/a")</f>
        <v/>
      </c>
      <c r="J496" s="3">
        <f>_xlfn.XLOOKUP(A496,MktTitle,MktTotVol,0)</f>
        <v/>
      </c>
      <c r="K496">
        <f>IF(H496&gt;WhaleThreshold,"WHALE","")</f>
        <v/>
      </c>
    </row>
    <row r="497">
      <c r="A497" t="inlineStr">
        <is>
          <t>Will Mexico win the 2026 FIFA World Cup?</t>
        </is>
      </c>
      <c r="B497" s="4" t="n">
        <v>46205</v>
      </c>
      <c r="C497" s="5" t="n">
        <v>46205.97015046296</v>
      </c>
      <c r="D497" t="inlineStr">
        <is>
          <t>BUY</t>
        </is>
      </c>
      <c r="E497" t="inlineStr">
        <is>
          <t>No</t>
        </is>
      </c>
      <c r="F497" s="2" t="n">
        <v>0.969</v>
      </c>
      <c r="G497" s="6" t="n">
        <v>40</v>
      </c>
      <c r="H497" s="6">
        <f>F497*G497</f>
        <v/>
      </c>
      <c r="I497">
        <f>_xlfn.XLOOKUP(A497,MktTitle,MktCat,"n/a")</f>
        <v/>
      </c>
      <c r="J497" s="3">
        <f>_xlfn.XLOOKUP(A497,MktTitle,MktTotVol,0)</f>
        <v/>
      </c>
      <c r="K497">
        <f>IF(H497&gt;WhaleThreshold,"WHALE","")</f>
        <v/>
      </c>
    </row>
    <row r="498">
      <c r="A498" t="inlineStr">
        <is>
          <t>Will Mexico win the 2026 FIFA World Cup?</t>
        </is>
      </c>
      <c r="B498" s="4" t="n">
        <v>46205</v>
      </c>
      <c r="C498" s="5" t="n">
        <v>46205.97015046296</v>
      </c>
      <c r="D498" t="inlineStr">
        <is>
          <t>BUY</t>
        </is>
      </c>
      <c r="E498" t="inlineStr">
        <is>
          <t>No</t>
        </is>
      </c>
      <c r="F498" s="2" t="n">
        <v>0.969</v>
      </c>
      <c r="G498" s="6" t="n">
        <v>5</v>
      </c>
      <c r="H498" s="6">
        <f>F498*G498</f>
        <v/>
      </c>
      <c r="I498">
        <f>_xlfn.XLOOKUP(A498,MktTitle,MktCat,"n/a")</f>
        <v/>
      </c>
      <c r="J498" s="3">
        <f>_xlfn.XLOOKUP(A498,MktTitle,MktTotVol,0)</f>
        <v/>
      </c>
      <c r="K498">
        <f>IF(H498&gt;WhaleThreshold,"WHALE","")</f>
        <v/>
      </c>
    </row>
    <row r="499">
      <c r="A499" t="inlineStr">
        <is>
          <t>Will Mexico win the 2026 FIFA World Cup?</t>
        </is>
      </c>
      <c r="B499" s="4" t="n">
        <v>46205</v>
      </c>
      <c r="C499" s="5" t="n">
        <v>46205.97011574074</v>
      </c>
      <c r="D499" t="inlineStr">
        <is>
          <t>BUY</t>
        </is>
      </c>
      <c r="E499" t="inlineStr">
        <is>
          <t>No</t>
        </is>
      </c>
      <c r="F499" s="2" t="n">
        <v>0.969</v>
      </c>
      <c r="G499" s="6" t="n">
        <v>20</v>
      </c>
      <c r="H499" s="6">
        <f>F499*G499</f>
        <v/>
      </c>
      <c r="I499">
        <f>_xlfn.XLOOKUP(A499,MktTitle,MktCat,"n/a")</f>
        <v/>
      </c>
      <c r="J499" s="3">
        <f>_xlfn.XLOOKUP(A499,MktTitle,MktTotVol,0)</f>
        <v/>
      </c>
      <c r="K499">
        <f>IF(H499&gt;WhaleThreshold,"WHALE","")</f>
        <v/>
      </c>
    </row>
    <row r="500">
      <c r="A500" t="inlineStr">
        <is>
          <t>Will Mexico win the 2026 FIFA World Cup?</t>
        </is>
      </c>
      <c r="B500" s="4" t="n">
        <v>46205</v>
      </c>
      <c r="C500" s="5" t="n">
        <v>46205.97009259259</v>
      </c>
      <c r="D500" t="inlineStr">
        <is>
          <t>BUY</t>
        </is>
      </c>
      <c r="E500" t="inlineStr">
        <is>
          <t>No</t>
        </is>
      </c>
      <c r="F500" s="2" t="n">
        <v>0.969</v>
      </c>
      <c r="G500" s="6" t="n">
        <v>25.3</v>
      </c>
      <c r="H500" s="6">
        <f>F500*G500</f>
        <v/>
      </c>
      <c r="I500">
        <f>_xlfn.XLOOKUP(A500,MktTitle,MktCat,"n/a")</f>
        <v/>
      </c>
      <c r="J500" s="3">
        <f>_xlfn.XLOOKUP(A500,MktTitle,MktTotVol,0)</f>
        <v/>
      </c>
      <c r="K500">
        <f>IF(H500&gt;WhaleThreshold,"WHALE","")</f>
        <v/>
      </c>
    </row>
    <row r="501">
      <c r="A501" t="inlineStr">
        <is>
          <t>Will Mexico win the 2026 FIFA World Cup?</t>
        </is>
      </c>
      <c r="B501" s="4" t="n">
        <v>46205</v>
      </c>
      <c r="C501" s="5" t="n">
        <v>46205.97009259259</v>
      </c>
      <c r="D501" t="inlineStr">
        <is>
          <t>BUY</t>
        </is>
      </c>
      <c r="E501" t="inlineStr">
        <is>
          <t>No</t>
        </is>
      </c>
      <c r="F501" s="2" t="n">
        <v>0.969</v>
      </c>
      <c r="G501" s="6" t="n">
        <v>10</v>
      </c>
      <c r="H501" s="6">
        <f>F501*G501</f>
        <v/>
      </c>
      <c r="I501">
        <f>_xlfn.XLOOKUP(A501,MktTitle,MktCat,"n/a")</f>
        <v/>
      </c>
      <c r="J501" s="3">
        <f>_xlfn.XLOOKUP(A501,MktTitle,MktTotVol,0)</f>
        <v/>
      </c>
      <c r="K501">
        <f>IF(H501&gt;WhaleThreshold,"WHALE","")</f>
        <v/>
      </c>
    </row>
    <row r="502">
      <c r="A502" t="inlineStr">
        <is>
          <t>Will Mexico win the 2026 FIFA World Cup?</t>
        </is>
      </c>
      <c r="B502" s="4" t="n">
        <v>46205</v>
      </c>
      <c r="C502" s="5" t="n">
        <v>46205.97009259259</v>
      </c>
      <c r="D502" t="inlineStr">
        <is>
          <t>BUY</t>
        </is>
      </c>
      <c r="E502" t="inlineStr">
        <is>
          <t>No</t>
        </is>
      </c>
      <c r="F502" s="2" t="n">
        <v>0.969</v>
      </c>
      <c r="G502" s="6" t="n">
        <v>60</v>
      </c>
      <c r="H502" s="6">
        <f>F502*G502</f>
        <v/>
      </c>
      <c r="I502">
        <f>_xlfn.XLOOKUP(A502,MktTitle,MktCat,"n/a")</f>
        <v/>
      </c>
      <c r="J502" s="3">
        <f>_xlfn.XLOOKUP(A502,MktTitle,MktTotVol,0)</f>
        <v/>
      </c>
      <c r="K502">
        <f>IF(H502&gt;WhaleThreshold,"WHALE","")</f>
        <v/>
      </c>
    </row>
    <row r="503">
      <c r="A503" t="inlineStr">
        <is>
          <t>Will Mexico win the 2026 FIFA World Cup?</t>
        </is>
      </c>
      <c r="B503" s="4" t="n">
        <v>46205</v>
      </c>
      <c r="C503" s="5" t="n">
        <v>46205.97005787037</v>
      </c>
      <c r="D503" t="inlineStr">
        <is>
          <t>BUY</t>
        </is>
      </c>
      <c r="E503" t="inlineStr">
        <is>
          <t>No</t>
        </is>
      </c>
      <c r="F503" s="2" t="n">
        <v>0.969</v>
      </c>
      <c r="G503" s="6" t="n">
        <v>5</v>
      </c>
      <c r="H503" s="6">
        <f>F503*G503</f>
        <v/>
      </c>
      <c r="I503">
        <f>_xlfn.XLOOKUP(A503,MktTitle,MktCat,"n/a")</f>
        <v/>
      </c>
      <c r="J503" s="3">
        <f>_xlfn.XLOOKUP(A503,MktTitle,MktTotVol,0)</f>
        <v/>
      </c>
      <c r="K503">
        <f>IF(H503&gt;WhaleThreshold,"WHALE","")</f>
        <v/>
      </c>
    </row>
    <row r="504">
      <c r="A504" t="inlineStr">
        <is>
          <t>Will Mexico win the 2026 FIFA World Cup?</t>
        </is>
      </c>
      <c r="B504" s="4" t="n">
        <v>46205</v>
      </c>
      <c r="C504" s="5" t="n">
        <v>46205.97004629629</v>
      </c>
      <c r="D504" t="inlineStr">
        <is>
          <t>BUY</t>
        </is>
      </c>
      <c r="E504" t="inlineStr">
        <is>
          <t>No</t>
        </is>
      </c>
      <c r="F504" s="2" t="n">
        <v>0.969</v>
      </c>
      <c r="G504" s="6" t="n">
        <v>5</v>
      </c>
      <c r="H504" s="6">
        <f>F504*G504</f>
        <v/>
      </c>
      <c r="I504">
        <f>_xlfn.XLOOKUP(A504,MktTitle,MktCat,"n/a")</f>
        <v/>
      </c>
      <c r="J504" s="3">
        <f>_xlfn.XLOOKUP(A504,MktTitle,MktTotVol,0)</f>
        <v/>
      </c>
      <c r="K504">
        <f>IF(H504&gt;WhaleThreshold,"WHALE","")</f>
        <v/>
      </c>
    </row>
    <row r="505">
      <c r="A505" t="inlineStr">
        <is>
          <t>Will Mexico win the 2026 FIFA World Cup?</t>
        </is>
      </c>
      <c r="B505" s="4" t="n">
        <v>46205</v>
      </c>
      <c r="C505" s="5" t="n">
        <v>46205.97004629629</v>
      </c>
      <c r="D505" t="inlineStr">
        <is>
          <t>BUY</t>
        </is>
      </c>
      <c r="E505" t="inlineStr">
        <is>
          <t>No</t>
        </is>
      </c>
      <c r="F505" s="2" t="n">
        <v>0.969</v>
      </c>
      <c r="G505" s="6" t="n">
        <v>10</v>
      </c>
      <c r="H505" s="6">
        <f>F505*G505</f>
        <v/>
      </c>
      <c r="I505">
        <f>_xlfn.XLOOKUP(A505,MktTitle,MktCat,"n/a")</f>
        <v/>
      </c>
      <c r="J505" s="3">
        <f>_xlfn.XLOOKUP(A505,MktTitle,MktTotVol,0)</f>
        <v/>
      </c>
      <c r="K505">
        <f>IF(H505&gt;WhaleThreshold,"WHALE","")</f>
        <v/>
      </c>
    </row>
    <row r="506">
      <c r="A506" t="inlineStr">
        <is>
          <t>Will Mexico win the 2026 FIFA World Cup?</t>
        </is>
      </c>
      <c r="B506" s="4" t="n">
        <v>46205</v>
      </c>
      <c r="C506" s="5" t="n">
        <v>46205.97004629629</v>
      </c>
      <c r="D506" t="inlineStr">
        <is>
          <t>BUY</t>
        </is>
      </c>
      <c r="E506" t="inlineStr">
        <is>
          <t>No</t>
        </is>
      </c>
      <c r="F506" s="2" t="n">
        <v>0.969</v>
      </c>
      <c r="G506" s="6" t="n">
        <v>50.7</v>
      </c>
      <c r="H506" s="6">
        <f>F506*G506</f>
        <v/>
      </c>
      <c r="I506">
        <f>_xlfn.XLOOKUP(A506,MktTitle,MktCat,"n/a")</f>
        <v/>
      </c>
      <c r="J506" s="3">
        <f>_xlfn.XLOOKUP(A506,MktTitle,MktTotVol,0)</f>
        <v/>
      </c>
      <c r="K506">
        <f>IF(H506&gt;WhaleThreshold,"WHALE","")</f>
        <v/>
      </c>
    </row>
    <row r="507">
      <c r="A507" t="inlineStr">
        <is>
          <t>Will Mexico win the 2026 FIFA World Cup?</t>
        </is>
      </c>
      <c r="B507" s="4" t="n">
        <v>46205</v>
      </c>
      <c r="C507" s="5" t="n">
        <v>46205.96988425926</v>
      </c>
      <c r="D507" t="inlineStr">
        <is>
          <t>BUY</t>
        </is>
      </c>
      <c r="E507" t="inlineStr">
        <is>
          <t>No</t>
        </is>
      </c>
      <c r="F507" s="2" t="n">
        <v>0.968</v>
      </c>
      <c r="G507" s="6" t="n">
        <v>100</v>
      </c>
      <c r="H507" s="6">
        <f>F507*G507</f>
        <v/>
      </c>
      <c r="I507">
        <f>_xlfn.XLOOKUP(A507,MktTitle,MktCat,"n/a")</f>
        <v/>
      </c>
      <c r="J507" s="3">
        <f>_xlfn.XLOOKUP(A507,MktTitle,MktTotVol,0)</f>
        <v/>
      </c>
      <c r="K507">
        <f>IF(H507&gt;WhaleThreshold,"WHALE","")</f>
        <v/>
      </c>
    </row>
    <row r="508">
      <c r="A508" t="inlineStr">
        <is>
          <t>Will Mexico win the 2026 FIFA World Cup?</t>
        </is>
      </c>
      <c r="B508" s="4" t="n">
        <v>46205</v>
      </c>
      <c r="C508" s="5" t="n">
        <v>46205.96987268519</v>
      </c>
      <c r="D508" t="inlineStr">
        <is>
          <t>BUY</t>
        </is>
      </c>
      <c r="E508" t="inlineStr">
        <is>
          <t>No</t>
        </is>
      </c>
      <c r="F508" s="2" t="n">
        <v>0.968</v>
      </c>
      <c r="G508" s="6" t="n">
        <v>73.59999999999999</v>
      </c>
      <c r="H508" s="6">
        <f>F508*G508</f>
        <v/>
      </c>
      <c r="I508">
        <f>_xlfn.XLOOKUP(A508,MktTitle,MktCat,"n/a")</f>
        <v/>
      </c>
      <c r="J508" s="3">
        <f>_xlfn.XLOOKUP(A508,MktTitle,MktTotVol,0)</f>
        <v/>
      </c>
      <c r="K508">
        <f>IF(H508&gt;WhaleThreshold,"WHALE","")</f>
        <v/>
      </c>
    </row>
    <row r="509">
      <c r="A509" t="inlineStr">
        <is>
          <t>Will Mexico win the 2026 FIFA World Cup?</t>
        </is>
      </c>
      <c r="B509" s="4" t="n">
        <v>46205</v>
      </c>
      <c r="C509" s="5" t="n">
        <v>46205.96987268519</v>
      </c>
      <c r="D509" t="inlineStr">
        <is>
          <t>BUY</t>
        </is>
      </c>
      <c r="E509" t="inlineStr">
        <is>
          <t>No</t>
        </is>
      </c>
      <c r="F509" s="2" t="n">
        <v>0.968</v>
      </c>
      <c r="G509" s="6" t="n">
        <v>86</v>
      </c>
      <c r="H509" s="6">
        <f>F509*G509</f>
        <v/>
      </c>
      <c r="I509">
        <f>_xlfn.XLOOKUP(A509,MktTitle,MktCat,"n/a")</f>
        <v/>
      </c>
      <c r="J509" s="3">
        <f>_xlfn.XLOOKUP(A509,MktTitle,MktTotVol,0)</f>
        <v/>
      </c>
      <c r="K509">
        <f>IF(H509&gt;WhaleThreshold,"WHALE","")</f>
        <v/>
      </c>
    </row>
    <row r="510">
      <c r="A510" t="inlineStr">
        <is>
          <t>Will Mexico win the 2026 FIFA World Cup?</t>
        </is>
      </c>
      <c r="B510" s="4" t="n">
        <v>46205</v>
      </c>
      <c r="C510" s="5" t="n">
        <v>46205.96987268519</v>
      </c>
      <c r="D510" t="inlineStr">
        <is>
          <t>BUY</t>
        </is>
      </c>
      <c r="E510" t="inlineStr">
        <is>
          <t>No</t>
        </is>
      </c>
      <c r="F510" s="2" t="n">
        <v>0.968</v>
      </c>
      <c r="G510" s="6" t="n">
        <v>80</v>
      </c>
      <c r="H510" s="6">
        <f>F510*G510</f>
        <v/>
      </c>
      <c r="I510">
        <f>_xlfn.XLOOKUP(A510,MktTitle,MktCat,"n/a")</f>
        <v/>
      </c>
      <c r="J510" s="3">
        <f>_xlfn.XLOOKUP(A510,MktTitle,MktTotVol,0)</f>
        <v/>
      </c>
      <c r="K510">
        <f>IF(H510&gt;WhaleThreshold,"WHALE","")</f>
        <v/>
      </c>
    </row>
    <row r="511">
      <c r="A511" t="inlineStr">
        <is>
          <t>Will Mexico win the 2026 FIFA World Cup?</t>
        </is>
      </c>
      <c r="B511" s="4" t="n">
        <v>46205</v>
      </c>
      <c r="C511" s="5" t="n">
        <v>46205.96980324074</v>
      </c>
      <c r="D511" t="inlineStr">
        <is>
          <t>BUY</t>
        </is>
      </c>
      <c r="E511" t="inlineStr">
        <is>
          <t>No</t>
        </is>
      </c>
      <c r="F511" s="2" t="n">
        <v>0.968</v>
      </c>
      <c r="G511" s="6" t="n">
        <v>80</v>
      </c>
      <c r="H511" s="6">
        <f>F511*G511</f>
        <v/>
      </c>
      <c r="I511">
        <f>_xlfn.XLOOKUP(A511,MktTitle,MktCat,"n/a")</f>
        <v/>
      </c>
      <c r="J511" s="3">
        <f>_xlfn.XLOOKUP(A511,MktTitle,MktTotVol,0)</f>
        <v/>
      </c>
      <c r="K511">
        <f>IF(H511&gt;WhaleThreshold,"WHALE","")</f>
        <v/>
      </c>
    </row>
    <row r="512">
      <c r="A512" t="inlineStr">
        <is>
          <t>Will Mexico win the 2026 FIFA World Cup?</t>
        </is>
      </c>
      <c r="B512" s="4" t="n">
        <v>46205</v>
      </c>
      <c r="C512" s="5" t="n">
        <v>46205.9696412037</v>
      </c>
      <c r="D512" t="inlineStr">
        <is>
          <t>BUY</t>
        </is>
      </c>
      <c r="E512" t="inlineStr">
        <is>
          <t>No</t>
        </is>
      </c>
      <c r="F512" s="2" t="n">
        <v>0.968</v>
      </c>
      <c r="G512" s="6" t="n">
        <v>10</v>
      </c>
      <c r="H512" s="6">
        <f>F512*G512</f>
        <v/>
      </c>
      <c r="I512">
        <f>_xlfn.XLOOKUP(A512,MktTitle,MktCat,"n/a")</f>
        <v/>
      </c>
      <c r="J512" s="3">
        <f>_xlfn.XLOOKUP(A512,MktTitle,MktTotVol,0)</f>
        <v/>
      </c>
      <c r="K512">
        <f>IF(H512&gt;WhaleThreshold,"WHALE","")</f>
        <v/>
      </c>
    </row>
    <row r="513">
      <c r="A513" t="inlineStr">
        <is>
          <t>Will Mexico win the 2026 FIFA World Cup?</t>
        </is>
      </c>
      <c r="B513" s="4" t="n">
        <v>46205</v>
      </c>
      <c r="C513" s="5" t="n">
        <v>46205.9687962963</v>
      </c>
      <c r="D513" t="inlineStr">
        <is>
          <t>BUY</t>
        </is>
      </c>
      <c r="E513" t="inlineStr">
        <is>
          <t>No</t>
        </is>
      </c>
      <c r="F513" s="2" t="n">
        <v>0.968</v>
      </c>
      <c r="G513" s="6" t="n">
        <v>57.2417</v>
      </c>
      <c r="H513" s="6">
        <f>F513*G513</f>
        <v/>
      </c>
      <c r="I513">
        <f>_xlfn.XLOOKUP(A513,MktTitle,MktCat,"n/a")</f>
        <v/>
      </c>
      <c r="J513" s="3">
        <f>_xlfn.XLOOKUP(A513,MktTitle,MktTotVol,0)</f>
        <v/>
      </c>
      <c r="K513">
        <f>IF(H513&gt;WhaleThreshold,"WHALE","")</f>
        <v/>
      </c>
    </row>
    <row r="514">
      <c r="A514" t="inlineStr">
        <is>
          <t>Will Mexico win the 2026 FIFA World Cup?</t>
        </is>
      </c>
      <c r="B514" s="4" t="n">
        <v>46205</v>
      </c>
      <c r="C514" s="5" t="n">
        <v>46205.96730324074</v>
      </c>
      <c r="D514" t="inlineStr">
        <is>
          <t>BUY</t>
        </is>
      </c>
      <c r="E514" t="inlineStr">
        <is>
          <t>No</t>
        </is>
      </c>
      <c r="F514" s="2" t="n">
        <v>0.968</v>
      </c>
      <c r="G514" s="6" t="n">
        <v>1.1</v>
      </c>
      <c r="H514" s="6">
        <f>F514*G514</f>
        <v/>
      </c>
      <c r="I514">
        <f>_xlfn.XLOOKUP(A514,MktTitle,MktCat,"n/a")</f>
        <v/>
      </c>
      <c r="J514" s="3">
        <f>_xlfn.XLOOKUP(A514,MktTitle,MktTotVol,0)</f>
        <v/>
      </c>
      <c r="K514">
        <f>IF(H514&gt;WhaleThreshold,"WHALE","")</f>
        <v/>
      </c>
    </row>
    <row r="515">
      <c r="A515" t="inlineStr">
        <is>
          <t>Will Mexico win the 2026 FIFA World Cup?</t>
        </is>
      </c>
      <c r="B515" s="4" t="n">
        <v>46205</v>
      </c>
      <c r="C515" s="5" t="n">
        <v>46205.9672337963</v>
      </c>
      <c r="D515" t="inlineStr">
        <is>
          <t>BUY</t>
        </is>
      </c>
      <c r="E515" t="inlineStr">
        <is>
          <t>No</t>
        </is>
      </c>
      <c r="F515" s="2" t="n">
        <v>0.968</v>
      </c>
      <c r="G515" s="6" t="n">
        <v>32.4</v>
      </c>
      <c r="H515" s="6">
        <f>F515*G515</f>
        <v/>
      </c>
      <c r="I515">
        <f>_xlfn.XLOOKUP(A515,MktTitle,MktCat,"n/a")</f>
        <v/>
      </c>
      <c r="J515" s="3">
        <f>_xlfn.XLOOKUP(A515,MktTitle,MktTotVol,0)</f>
        <v/>
      </c>
      <c r="K515">
        <f>IF(H515&gt;WhaleThreshold,"WHALE","")</f>
        <v/>
      </c>
    </row>
    <row r="516">
      <c r="A516" t="inlineStr">
        <is>
          <t>Will Mexico win the 2026 FIFA World Cup?</t>
        </is>
      </c>
      <c r="B516" s="4" t="n">
        <v>46205</v>
      </c>
      <c r="C516" s="5" t="n">
        <v>46205.96717592593</v>
      </c>
      <c r="D516" t="inlineStr">
        <is>
          <t>BUY</t>
        </is>
      </c>
      <c r="E516" t="inlineStr">
        <is>
          <t>No</t>
        </is>
      </c>
      <c r="F516" s="2" t="n">
        <v>0.968</v>
      </c>
      <c r="G516" s="6" t="n">
        <v>110</v>
      </c>
      <c r="H516" s="6">
        <f>F516*G516</f>
        <v/>
      </c>
      <c r="I516">
        <f>_xlfn.XLOOKUP(A516,MktTitle,MktCat,"n/a")</f>
        <v/>
      </c>
      <c r="J516" s="3">
        <f>_xlfn.XLOOKUP(A516,MktTitle,MktTotVol,0)</f>
        <v/>
      </c>
      <c r="K516">
        <f>IF(H516&gt;WhaleThreshold,"WHALE","")</f>
        <v/>
      </c>
    </row>
    <row r="517">
      <c r="A517" t="inlineStr">
        <is>
          <t>Will Mexico win the 2026 FIFA World Cup?</t>
        </is>
      </c>
      <c r="B517" s="4" t="n">
        <v>46205</v>
      </c>
      <c r="C517" s="5" t="n">
        <v>46205.96716435185</v>
      </c>
      <c r="D517" t="inlineStr">
        <is>
          <t>BUY</t>
        </is>
      </c>
      <c r="E517" t="inlineStr">
        <is>
          <t>No</t>
        </is>
      </c>
      <c r="F517" s="2" t="n">
        <v>0.968</v>
      </c>
      <c r="G517" s="6" t="n">
        <v>5</v>
      </c>
      <c r="H517" s="6">
        <f>F517*G517</f>
        <v/>
      </c>
      <c r="I517">
        <f>_xlfn.XLOOKUP(A517,MktTitle,MktCat,"n/a")</f>
        <v/>
      </c>
      <c r="J517" s="3">
        <f>_xlfn.XLOOKUP(A517,MktTitle,MktTotVol,0)</f>
        <v/>
      </c>
      <c r="K517">
        <f>IF(H517&gt;WhaleThreshold,"WHALE","")</f>
        <v/>
      </c>
    </row>
    <row r="518">
      <c r="A518" t="inlineStr">
        <is>
          <t>Will Mexico win the 2026 FIFA World Cup?</t>
        </is>
      </c>
      <c r="B518" s="4" t="n">
        <v>46205</v>
      </c>
      <c r="C518" s="5" t="n">
        <v>46205.96714120371</v>
      </c>
      <c r="D518" t="inlineStr">
        <is>
          <t>BUY</t>
        </is>
      </c>
      <c r="E518" t="inlineStr">
        <is>
          <t>No</t>
        </is>
      </c>
      <c r="F518" s="2" t="n">
        <v>0.968</v>
      </c>
      <c r="G518" s="6" t="n">
        <v>22.8</v>
      </c>
      <c r="H518" s="6">
        <f>F518*G518</f>
        <v/>
      </c>
      <c r="I518">
        <f>_xlfn.XLOOKUP(A518,MktTitle,MktCat,"n/a")</f>
        <v/>
      </c>
      <c r="J518" s="3">
        <f>_xlfn.XLOOKUP(A518,MktTitle,MktTotVol,0)</f>
        <v/>
      </c>
      <c r="K518">
        <f>IF(H518&gt;WhaleThreshold,"WHALE","")</f>
        <v/>
      </c>
    </row>
    <row r="519">
      <c r="A519" t="inlineStr">
        <is>
          <t>Will Mexico win the 2026 FIFA World Cup?</t>
        </is>
      </c>
      <c r="B519" s="4" t="n">
        <v>46205</v>
      </c>
      <c r="C519" s="5" t="n">
        <v>46205.96712962963</v>
      </c>
      <c r="D519" t="inlineStr">
        <is>
          <t>BUY</t>
        </is>
      </c>
      <c r="E519" t="inlineStr">
        <is>
          <t>No</t>
        </is>
      </c>
      <c r="F519" s="2" t="n">
        <v>0.968</v>
      </c>
      <c r="G519" s="6" t="n">
        <v>40</v>
      </c>
      <c r="H519" s="6">
        <f>F519*G519</f>
        <v/>
      </c>
      <c r="I519">
        <f>_xlfn.XLOOKUP(A519,MktTitle,MktCat,"n/a")</f>
        <v/>
      </c>
      <c r="J519" s="3">
        <f>_xlfn.XLOOKUP(A519,MktTitle,MktTotVol,0)</f>
        <v/>
      </c>
      <c r="K519">
        <f>IF(H519&gt;WhaleThreshold,"WHALE","")</f>
        <v/>
      </c>
    </row>
    <row r="520">
      <c r="A520" t="inlineStr">
        <is>
          <t>Will Mexico win the 2026 FIFA World Cup?</t>
        </is>
      </c>
      <c r="B520" s="4" t="n">
        <v>46205</v>
      </c>
      <c r="C520" s="5" t="n">
        <v>46205.96712962963</v>
      </c>
      <c r="D520" t="inlineStr">
        <is>
          <t>BUY</t>
        </is>
      </c>
      <c r="E520" t="inlineStr">
        <is>
          <t>No</t>
        </is>
      </c>
      <c r="F520" s="2" t="n">
        <v>0.968</v>
      </c>
      <c r="G520" s="6" t="n">
        <v>30</v>
      </c>
      <c r="H520" s="6">
        <f>F520*G520</f>
        <v/>
      </c>
      <c r="I520">
        <f>_xlfn.XLOOKUP(A520,MktTitle,MktCat,"n/a")</f>
        <v/>
      </c>
      <c r="J520" s="3">
        <f>_xlfn.XLOOKUP(A520,MktTitle,MktTotVol,0)</f>
        <v/>
      </c>
      <c r="K520">
        <f>IF(H520&gt;WhaleThreshold,"WHALE","")</f>
        <v/>
      </c>
    </row>
    <row r="521">
      <c r="A521" t="inlineStr">
        <is>
          <t>Will Mexico win the 2026 FIFA World Cup?</t>
        </is>
      </c>
      <c r="B521" s="4" t="n">
        <v>46205</v>
      </c>
      <c r="C521" s="5" t="n">
        <v>46205.96712962963</v>
      </c>
      <c r="D521" t="inlineStr">
        <is>
          <t>BUY</t>
        </is>
      </c>
      <c r="E521" t="inlineStr">
        <is>
          <t>No</t>
        </is>
      </c>
      <c r="F521" s="2" t="n">
        <v>0.969</v>
      </c>
      <c r="G521" s="6" t="n">
        <v>45.6</v>
      </c>
      <c r="H521" s="6">
        <f>F521*G521</f>
        <v/>
      </c>
      <c r="I521">
        <f>_xlfn.XLOOKUP(A521,MktTitle,MktCat,"n/a")</f>
        <v/>
      </c>
      <c r="J521" s="3">
        <f>_xlfn.XLOOKUP(A521,MktTitle,MktTotVol,0)</f>
        <v/>
      </c>
      <c r="K521">
        <f>IF(H521&gt;WhaleThreshold,"WHALE","")</f>
        <v/>
      </c>
    </row>
    <row r="522">
      <c r="A522" t="inlineStr">
        <is>
          <t>Will Mexico win the 2026 FIFA World Cup?</t>
        </is>
      </c>
      <c r="B522" s="4" t="n">
        <v>46205</v>
      </c>
      <c r="C522" s="5" t="n">
        <v>46205.96710648148</v>
      </c>
      <c r="D522" t="inlineStr">
        <is>
          <t>BUY</t>
        </is>
      </c>
      <c r="E522" t="inlineStr">
        <is>
          <t>No</t>
        </is>
      </c>
      <c r="F522" s="2" t="n">
        <v>0.969</v>
      </c>
      <c r="G522" s="6" t="n">
        <v>90</v>
      </c>
      <c r="H522" s="6">
        <f>F522*G522</f>
        <v/>
      </c>
      <c r="I522">
        <f>_xlfn.XLOOKUP(A522,MktTitle,MktCat,"n/a")</f>
        <v/>
      </c>
      <c r="J522" s="3">
        <f>_xlfn.XLOOKUP(A522,MktTitle,MktTotVol,0)</f>
        <v/>
      </c>
      <c r="K522">
        <f>IF(H522&gt;WhaleThreshold,"WHALE","")</f>
        <v/>
      </c>
    </row>
    <row r="523">
      <c r="A523" t="inlineStr">
        <is>
          <t>Will Mexico win the 2026 FIFA World Cup?</t>
        </is>
      </c>
      <c r="B523" s="4" t="n">
        <v>46205</v>
      </c>
      <c r="C523" s="5" t="n">
        <v>46205.96682870371</v>
      </c>
      <c r="D523" t="inlineStr">
        <is>
          <t>BUY</t>
        </is>
      </c>
      <c r="E523" t="inlineStr">
        <is>
          <t>No</t>
        </is>
      </c>
      <c r="F523" s="2" t="n">
        <v>0.969</v>
      </c>
      <c r="G523" s="6" t="n">
        <v>116</v>
      </c>
      <c r="H523" s="6">
        <f>F523*G523</f>
        <v/>
      </c>
      <c r="I523">
        <f>_xlfn.XLOOKUP(A523,MktTitle,MktCat,"n/a")</f>
        <v/>
      </c>
      <c r="J523" s="3">
        <f>_xlfn.XLOOKUP(A523,MktTitle,MktTotVol,0)</f>
        <v/>
      </c>
      <c r="K523">
        <f>IF(H523&gt;WhaleThreshold,"WHALE","")</f>
        <v/>
      </c>
    </row>
    <row r="524">
      <c r="A524" t="inlineStr">
        <is>
          <t>Will Mexico win the 2026 FIFA World Cup?</t>
        </is>
      </c>
      <c r="B524" s="4" t="n">
        <v>46205</v>
      </c>
      <c r="C524" s="5" t="n">
        <v>46205.96682870371</v>
      </c>
      <c r="D524" t="inlineStr">
        <is>
          <t>BUY</t>
        </is>
      </c>
      <c r="E524" t="inlineStr">
        <is>
          <t>No</t>
        </is>
      </c>
      <c r="F524" s="2" t="n">
        <v>0.969</v>
      </c>
      <c r="G524" s="6" t="n">
        <v>8.4</v>
      </c>
      <c r="H524" s="6">
        <f>F524*G524</f>
        <v/>
      </c>
      <c r="I524">
        <f>_xlfn.XLOOKUP(A524,MktTitle,MktCat,"n/a")</f>
        <v/>
      </c>
      <c r="J524" s="3">
        <f>_xlfn.XLOOKUP(A524,MktTitle,MktTotVol,0)</f>
        <v/>
      </c>
      <c r="K524">
        <f>IF(H524&gt;WhaleThreshold,"WHALE","")</f>
        <v/>
      </c>
    </row>
    <row r="525">
      <c r="A525" t="inlineStr">
        <is>
          <t>Will Mexico win the 2026 FIFA World Cup?</t>
        </is>
      </c>
      <c r="B525" s="4" t="n">
        <v>46205</v>
      </c>
      <c r="C525" s="5" t="n">
        <v>46205.96682870371</v>
      </c>
      <c r="D525" t="inlineStr">
        <is>
          <t>BUY</t>
        </is>
      </c>
      <c r="E525" t="inlineStr">
        <is>
          <t>No</t>
        </is>
      </c>
      <c r="F525" s="2" t="n">
        <v>0.969</v>
      </c>
      <c r="G525" s="6" t="n">
        <v>40</v>
      </c>
      <c r="H525" s="6">
        <f>F525*G525</f>
        <v/>
      </c>
      <c r="I525">
        <f>_xlfn.XLOOKUP(A525,MktTitle,MktCat,"n/a")</f>
        <v/>
      </c>
      <c r="J525" s="3">
        <f>_xlfn.XLOOKUP(A525,MktTitle,MktTotVol,0)</f>
        <v/>
      </c>
      <c r="K525">
        <f>IF(H525&gt;WhaleThreshold,"WHALE","")</f>
        <v/>
      </c>
    </row>
    <row r="526">
      <c r="A526" t="inlineStr">
        <is>
          <t>Will Mexico win the 2026 FIFA World Cup?</t>
        </is>
      </c>
      <c r="B526" s="4" t="n">
        <v>46205</v>
      </c>
      <c r="C526" s="5" t="n">
        <v>46205.96681712963</v>
      </c>
      <c r="D526" t="inlineStr">
        <is>
          <t>BUY</t>
        </is>
      </c>
      <c r="E526" t="inlineStr">
        <is>
          <t>No</t>
        </is>
      </c>
      <c r="F526" s="2" t="n">
        <v>0.969</v>
      </c>
      <c r="G526" s="6" t="n">
        <v>100</v>
      </c>
      <c r="H526" s="6">
        <f>F526*G526</f>
        <v/>
      </c>
      <c r="I526">
        <f>_xlfn.XLOOKUP(A526,MktTitle,MktCat,"n/a")</f>
        <v/>
      </c>
      <c r="J526" s="3">
        <f>_xlfn.XLOOKUP(A526,MktTitle,MktTotVol,0)</f>
        <v/>
      </c>
      <c r="K526">
        <f>IF(H526&gt;WhaleThreshold,"WHALE","")</f>
        <v/>
      </c>
    </row>
    <row r="527">
      <c r="A527" t="inlineStr">
        <is>
          <t>Will Mexico win the 2026 FIFA World Cup?</t>
        </is>
      </c>
      <c r="B527" s="4" t="n">
        <v>46205</v>
      </c>
      <c r="C527" s="5" t="n">
        <v>46205.96681712963</v>
      </c>
      <c r="D527" t="inlineStr">
        <is>
          <t>BUY</t>
        </is>
      </c>
      <c r="E527" t="inlineStr">
        <is>
          <t>No</t>
        </is>
      </c>
      <c r="F527" s="2" t="n">
        <v>0.969</v>
      </c>
      <c r="G527" s="6" t="n">
        <v>73.59999999999999</v>
      </c>
      <c r="H527" s="6">
        <f>F527*G527</f>
        <v/>
      </c>
      <c r="I527">
        <f>_xlfn.XLOOKUP(A527,MktTitle,MktCat,"n/a")</f>
        <v/>
      </c>
      <c r="J527" s="3">
        <f>_xlfn.XLOOKUP(A527,MktTitle,MktTotVol,0)</f>
        <v/>
      </c>
      <c r="K527">
        <f>IF(H527&gt;WhaleThreshold,"WHALE","")</f>
        <v/>
      </c>
    </row>
    <row r="528">
      <c r="A528" t="inlineStr">
        <is>
          <t>Will Mexico win the 2026 FIFA World Cup?</t>
        </is>
      </c>
      <c r="B528" s="4" t="n">
        <v>46205</v>
      </c>
      <c r="C528" s="5" t="n">
        <v>46205.96679398148</v>
      </c>
      <c r="D528" t="inlineStr">
        <is>
          <t>BUY</t>
        </is>
      </c>
      <c r="E528" t="inlineStr">
        <is>
          <t>No</t>
        </is>
      </c>
      <c r="F528" s="2" t="n">
        <v>0.969</v>
      </c>
      <c r="G528" s="6" t="n">
        <v>10</v>
      </c>
      <c r="H528" s="6">
        <f>F528*G528</f>
        <v/>
      </c>
      <c r="I528">
        <f>_xlfn.XLOOKUP(A528,MktTitle,MktCat,"n/a")</f>
        <v/>
      </c>
      <c r="J528" s="3">
        <f>_xlfn.XLOOKUP(A528,MktTitle,MktTotVol,0)</f>
        <v/>
      </c>
      <c r="K528">
        <f>IF(H528&gt;WhaleThreshold,"WHALE","")</f>
        <v/>
      </c>
    </row>
    <row r="529">
      <c r="A529" t="inlineStr">
        <is>
          <t>Will Mexico win the 2026 FIFA World Cup?</t>
        </is>
      </c>
      <c r="B529" s="4" t="n">
        <v>46205</v>
      </c>
      <c r="C529" s="5" t="n">
        <v>46205.96679398148</v>
      </c>
      <c r="D529" t="inlineStr">
        <is>
          <t>BUY</t>
        </is>
      </c>
      <c r="E529" t="inlineStr">
        <is>
          <t>No</t>
        </is>
      </c>
      <c r="F529" s="2" t="n">
        <v>0.969</v>
      </c>
      <c r="G529" s="6" t="n">
        <v>15</v>
      </c>
      <c r="H529" s="6">
        <f>F529*G529</f>
        <v/>
      </c>
      <c r="I529">
        <f>_xlfn.XLOOKUP(A529,MktTitle,MktCat,"n/a")</f>
        <v/>
      </c>
      <c r="J529" s="3">
        <f>_xlfn.XLOOKUP(A529,MktTitle,MktTotVol,0)</f>
        <v/>
      </c>
      <c r="K529">
        <f>IF(H529&gt;WhaleThreshold,"WHALE","")</f>
        <v/>
      </c>
    </row>
    <row r="530">
      <c r="A530" t="inlineStr">
        <is>
          <t>Will Mexico win the 2026 FIFA World Cup?</t>
        </is>
      </c>
      <c r="B530" s="4" t="n">
        <v>46205</v>
      </c>
      <c r="C530" s="5" t="n">
        <v>46205.96655092593</v>
      </c>
      <c r="D530" t="inlineStr">
        <is>
          <t>BUY</t>
        </is>
      </c>
      <c r="E530" t="inlineStr">
        <is>
          <t>No</t>
        </is>
      </c>
      <c r="F530" s="2" t="n">
        <v>0.969</v>
      </c>
      <c r="G530" s="6" t="n">
        <v>5</v>
      </c>
      <c r="H530" s="6">
        <f>F530*G530</f>
        <v/>
      </c>
      <c r="I530">
        <f>_xlfn.XLOOKUP(A530,MktTitle,MktCat,"n/a")</f>
        <v/>
      </c>
      <c r="J530" s="3">
        <f>_xlfn.XLOOKUP(A530,MktTitle,MktTotVol,0)</f>
        <v/>
      </c>
      <c r="K530">
        <f>IF(H530&gt;WhaleThreshold,"WHALE","")</f>
        <v/>
      </c>
    </row>
    <row r="531">
      <c r="A531" t="inlineStr">
        <is>
          <t>Will Mexico win the 2026 FIFA World Cup?</t>
        </is>
      </c>
      <c r="B531" s="4" t="n">
        <v>46205</v>
      </c>
      <c r="C531" s="5" t="n">
        <v>46205.96653935185</v>
      </c>
      <c r="D531" t="inlineStr">
        <is>
          <t>BUY</t>
        </is>
      </c>
      <c r="E531" t="inlineStr">
        <is>
          <t>No</t>
        </is>
      </c>
      <c r="F531" s="2" t="n">
        <v>0.969</v>
      </c>
      <c r="G531" s="6" t="n">
        <v>115</v>
      </c>
      <c r="H531" s="6">
        <f>F531*G531</f>
        <v/>
      </c>
      <c r="I531">
        <f>_xlfn.XLOOKUP(A531,MktTitle,MktCat,"n/a")</f>
        <v/>
      </c>
      <c r="J531" s="3">
        <f>_xlfn.XLOOKUP(A531,MktTitle,MktTotVol,0)</f>
        <v/>
      </c>
      <c r="K531">
        <f>IF(H531&gt;WhaleThreshold,"WHALE","")</f>
        <v/>
      </c>
    </row>
    <row r="532">
      <c r="A532" t="inlineStr">
        <is>
          <t>Will Mexico win the 2026 FIFA World Cup?</t>
        </is>
      </c>
      <c r="B532" s="4" t="n">
        <v>46205</v>
      </c>
      <c r="C532" s="5" t="n">
        <v>46205.96653935185</v>
      </c>
      <c r="D532" t="inlineStr">
        <is>
          <t>BUY</t>
        </is>
      </c>
      <c r="E532" t="inlineStr">
        <is>
          <t>No</t>
        </is>
      </c>
      <c r="F532" s="2" t="n">
        <v>0.969</v>
      </c>
      <c r="G532" s="6" t="n">
        <v>73.59999999999999</v>
      </c>
      <c r="H532" s="6">
        <f>F532*G532</f>
        <v/>
      </c>
      <c r="I532">
        <f>_xlfn.XLOOKUP(A532,MktTitle,MktCat,"n/a")</f>
        <v/>
      </c>
      <c r="J532" s="3">
        <f>_xlfn.XLOOKUP(A532,MktTitle,MktTotVol,0)</f>
        <v/>
      </c>
      <c r="K532">
        <f>IF(H532&gt;WhaleThreshold,"WHALE","")</f>
        <v/>
      </c>
    </row>
    <row r="533">
      <c r="A533" t="inlineStr">
        <is>
          <t>Will Mexico win the 2026 FIFA World Cup?</t>
        </is>
      </c>
      <c r="B533" s="4" t="n">
        <v>46205</v>
      </c>
      <c r="C533" s="5" t="n">
        <v>46205.96653935185</v>
      </c>
      <c r="D533" t="inlineStr">
        <is>
          <t>BUY</t>
        </is>
      </c>
      <c r="E533" t="inlineStr">
        <is>
          <t>No</t>
        </is>
      </c>
      <c r="F533" s="2" t="n">
        <v>0.969</v>
      </c>
      <c r="G533" s="6" t="n">
        <v>115</v>
      </c>
      <c r="H533" s="6">
        <f>F533*G533</f>
        <v/>
      </c>
      <c r="I533">
        <f>_xlfn.XLOOKUP(A533,MktTitle,MktCat,"n/a")</f>
        <v/>
      </c>
      <c r="J533" s="3">
        <f>_xlfn.XLOOKUP(A533,MktTitle,MktTotVol,0)</f>
        <v/>
      </c>
      <c r="K533">
        <f>IF(H533&gt;WhaleThreshold,"WHALE","")</f>
        <v/>
      </c>
    </row>
    <row r="534">
      <c r="A534" t="inlineStr">
        <is>
          <t>Will Mexico win the 2026 FIFA World Cup?</t>
        </is>
      </c>
      <c r="B534" s="4" t="n">
        <v>46205</v>
      </c>
      <c r="C534" s="5" t="n">
        <v>46205.96622685185</v>
      </c>
      <c r="D534" t="inlineStr">
        <is>
          <t>BUY</t>
        </is>
      </c>
      <c r="E534" t="inlineStr">
        <is>
          <t>No</t>
        </is>
      </c>
      <c r="F534" s="2" t="n">
        <v>0.969</v>
      </c>
      <c r="G534" s="6" t="n">
        <v>10</v>
      </c>
      <c r="H534" s="6">
        <f>F534*G534</f>
        <v/>
      </c>
      <c r="I534">
        <f>_xlfn.XLOOKUP(A534,MktTitle,MktCat,"n/a")</f>
        <v/>
      </c>
      <c r="J534" s="3">
        <f>_xlfn.XLOOKUP(A534,MktTitle,MktTotVol,0)</f>
        <v/>
      </c>
      <c r="K534">
        <f>IF(H534&gt;WhaleThreshold,"WHALE","")</f>
        <v/>
      </c>
    </row>
    <row r="535">
      <c r="A535" t="inlineStr">
        <is>
          <t>Will Mexico win the 2026 FIFA World Cup?</t>
        </is>
      </c>
      <c r="B535" s="4" t="n">
        <v>46205</v>
      </c>
      <c r="C535" s="5" t="n">
        <v>46205.96622685185</v>
      </c>
      <c r="D535" t="inlineStr">
        <is>
          <t>BUY</t>
        </is>
      </c>
      <c r="E535" t="inlineStr">
        <is>
          <t>No</t>
        </is>
      </c>
      <c r="F535" s="2" t="n">
        <v>0.969</v>
      </c>
      <c r="G535" s="6" t="n">
        <v>54</v>
      </c>
      <c r="H535" s="6">
        <f>F535*G535</f>
        <v/>
      </c>
      <c r="I535">
        <f>_xlfn.XLOOKUP(A535,MktTitle,MktCat,"n/a")</f>
        <v/>
      </c>
      <c r="J535" s="3">
        <f>_xlfn.XLOOKUP(A535,MktTitle,MktTotVol,0)</f>
        <v/>
      </c>
      <c r="K535">
        <f>IF(H535&gt;WhaleThreshold,"WHALE","")</f>
        <v/>
      </c>
    </row>
    <row r="536">
      <c r="A536" t="inlineStr">
        <is>
          <t>Will Mexico win the 2026 FIFA World Cup?</t>
        </is>
      </c>
      <c r="B536" s="4" t="n">
        <v>46205</v>
      </c>
      <c r="C536" s="5" t="n">
        <v>46205.96594907407</v>
      </c>
      <c r="D536" t="inlineStr">
        <is>
          <t>BUY</t>
        </is>
      </c>
      <c r="E536" t="inlineStr">
        <is>
          <t>No</t>
        </is>
      </c>
      <c r="F536" s="2" t="n">
        <v>0.969</v>
      </c>
      <c r="G536" s="6" t="n">
        <v>10</v>
      </c>
      <c r="H536" s="6">
        <f>F536*G536</f>
        <v/>
      </c>
      <c r="I536">
        <f>_xlfn.XLOOKUP(A536,MktTitle,MktCat,"n/a")</f>
        <v/>
      </c>
      <c r="J536" s="3">
        <f>_xlfn.XLOOKUP(A536,MktTitle,MktTotVol,0)</f>
        <v/>
      </c>
      <c r="K536">
        <f>IF(H536&gt;WhaleThreshold,"WHALE","")</f>
        <v/>
      </c>
    </row>
    <row r="537">
      <c r="A537" t="inlineStr">
        <is>
          <t>Will Mexico win the 2026 FIFA World Cup?</t>
        </is>
      </c>
      <c r="B537" s="4" t="n">
        <v>46205</v>
      </c>
      <c r="C537" s="5" t="n">
        <v>46205.96594907407</v>
      </c>
      <c r="D537" t="inlineStr">
        <is>
          <t>BUY</t>
        </is>
      </c>
      <c r="E537" t="inlineStr">
        <is>
          <t>No</t>
        </is>
      </c>
      <c r="F537" s="2" t="n">
        <v>0.969</v>
      </c>
      <c r="G537" s="6" t="n">
        <v>28</v>
      </c>
      <c r="H537" s="6">
        <f>F537*G537</f>
        <v/>
      </c>
      <c r="I537">
        <f>_xlfn.XLOOKUP(A537,MktTitle,MktCat,"n/a")</f>
        <v/>
      </c>
      <c r="J537" s="3">
        <f>_xlfn.XLOOKUP(A537,MktTitle,MktTotVol,0)</f>
        <v/>
      </c>
      <c r="K537">
        <f>IF(H537&gt;WhaleThreshold,"WHALE","")</f>
        <v/>
      </c>
    </row>
    <row r="538">
      <c r="A538" t="inlineStr">
        <is>
          <t>Will Mexico win the 2026 FIFA World Cup?</t>
        </is>
      </c>
      <c r="B538" s="4" t="n">
        <v>46205</v>
      </c>
      <c r="C538" s="5" t="n">
        <v>46205.96591435185</v>
      </c>
      <c r="D538" t="inlineStr">
        <is>
          <t>BUY</t>
        </is>
      </c>
      <c r="E538" t="inlineStr">
        <is>
          <t>Yes</t>
        </is>
      </c>
      <c r="F538" s="2" t="n">
        <v>0.0332</v>
      </c>
      <c r="G538" s="6" t="n">
        <v>2106.1282</v>
      </c>
      <c r="H538" s="6">
        <f>F538*G538</f>
        <v/>
      </c>
      <c r="I538">
        <f>_xlfn.XLOOKUP(A538,MktTitle,MktCat,"n/a")</f>
        <v/>
      </c>
      <c r="J538" s="3">
        <f>_xlfn.XLOOKUP(A538,MktTitle,MktTotVol,0)</f>
        <v/>
      </c>
      <c r="K538">
        <f>IF(H538&gt;WhaleThreshold,"WHALE","")</f>
        <v/>
      </c>
    </row>
    <row r="539">
      <c r="A539" t="inlineStr">
        <is>
          <t>Will Mexico win the 2026 FIFA World Cup?</t>
        </is>
      </c>
      <c r="B539" s="4" t="n">
        <v>46205</v>
      </c>
      <c r="C539" s="5" t="n">
        <v>46205.96582175926</v>
      </c>
      <c r="D539" t="inlineStr">
        <is>
          <t>BUY</t>
        </is>
      </c>
      <c r="E539" t="inlineStr">
        <is>
          <t>No</t>
        </is>
      </c>
      <c r="F539" s="2" t="n">
        <v>0.97</v>
      </c>
      <c r="G539" s="6" t="n">
        <v>5</v>
      </c>
      <c r="H539" s="6">
        <f>F539*G539</f>
        <v/>
      </c>
      <c r="I539">
        <f>_xlfn.XLOOKUP(A539,MktTitle,MktCat,"n/a")</f>
        <v/>
      </c>
      <c r="J539" s="3">
        <f>_xlfn.XLOOKUP(A539,MktTitle,MktTotVol,0)</f>
        <v/>
      </c>
      <c r="K539">
        <f>IF(H539&gt;WhaleThreshold,"WHALE","")</f>
        <v/>
      </c>
    </row>
    <row r="540">
      <c r="A540" t="inlineStr">
        <is>
          <t>Will Mexico win the 2026 FIFA World Cup?</t>
        </is>
      </c>
      <c r="B540" s="4" t="n">
        <v>46205</v>
      </c>
      <c r="C540" s="5" t="n">
        <v>46205.96581018518</v>
      </c>
      <c r="D540" t="inlineStr">
        <is>
          <t>BUY</t>
        </is>
      </c>
      <c r="E540" t="inlineStr">
        <is>
          <t>No</t>
        </is>
      </c>
      <c r="F540" s="2" t="n">
        <v>0.97</v>
      </c>
      <c r="G540" s="6" t="n">
        <v>115</v>
      </c>
      <c r="H540" s="6">
        <f>F540*G540</f>
        <v/>
      </c>
      <c r="I540">
        <f>_xlfn.XLOOKUP(A540,MktTitle,MktCat,"n/a")</f>
        <v/>
      </c>
      <c r="J540" s="3">
        <f>_xlfn.XLOOKUP(A540,MktTitle,MktTotVol,0)</f>
        <v/>
      </c>
      <c r="K540">
        <f>IF(H540&gt;WhaleThreshold,"WHALE","")</f>
        <v/>
      </c>
    </row>
    <row r="541">
      <c r="A541" t="inlineStr">
        <is>
          <t>Will Mexico win the 2026 FIFA World Cup?</t>
        </is>
      </c>
      <c r="B541" s="4" t="n">
        <v>46205</v>
      </c>
      <c r="C541" s="5" t="n">
        <v>46205.96578703704</v>
      </c>
      <c r="D541" t="inlineStr">
        <is>
          <t>BUY</t>
        </is>
      </c>
      <c r="E541" t="inlineStr">
        <is>
          <t>No</t>
        </is>
      </c>
      <c r="F541" s="2" t="n">
        <v>0.97</v>
      </c>
      <c r="G541" s="6" t="n">
        <v>37.4</v>
      </c>
      <c r="H541" s="6">
        <f>F541*G541</f>
        <v/>
      </c>
      <c r="I541">
        <f>_xlfn.XLOOKUP(A541,MktTitle,MktCat,"n/a")</f>
        <v/>
      </c>
      <c r="J541" s="3">
        <f>_xlfn.XLOOKUP(A541,MktTitle,MktTotVol,0)</f>
        <v/>
      </c>
      <c r="K541">
        <f>IF(H541&gt;WhaleThreshold,"WHALE","")</f>
        <v/>
      </c>
    </row>
    <row r="542">
      <c r="A542" t="inlineStr">
        <is>
          <t>Will Mexico win the 2026 FIFA World Cup?</t>
        </is>
      </c>
      <c r="B542" s="4" t="n">
        <v>46205</v>
      </c>
      <c r="C542" s="5" t="n">
        <v>46205.96564814815</v>
      </c>
      <c r="D542" t="inlineStr">
        <is>
          <t>BUY</t>
        </is>
      </c>
      <c r="E542" t="inlineStr">
        <is>
          <t>No</t>
        </is>
      </c>
      <c r="F542" s="2" t="n">
        <v>0.97</v>
      </c>
      <c r="G542" s="6" t="n">
        <v>300</v>
      </c>
      <c r="H542" s="6">
        <f>F542*G542</f>
        <v/>
      </c>
      <c r="I542">
        <f>_xlfn.XLOOKUP(A542,MktTitle,MktCat,"n/a")</f>
        <v/>
      </c>
      <c r="J542" s="3">
        <f>_xlfn.XLOOKUP(A542,MktTitle,MktTotVol,0)</f>
        <v/>
      </c>
      <c r="K542">
        <f>IF(H542&gt;WhaleThreshold,"WHALE","")</f>
        <v/>
      </c>
    </row>
    <row r="543">
      <c r="A543" t="inlineStr">
        <is>
          <t>Will Mexico win the 2026 FIFA World Cup?</t>
        </is>
      </c>
      <c r="B543" s="4" t="n">
        <v>46205</v>
      </c>
      <c r="C543" s="5" t="n">
        <v>46205.96564814815</v>
      </c>
      <c r="D543" t="inlineStr">
        <is>
          <t>SELL</t>
        </is>
      </c>
      <c r="E543" t="inlineStr">
        <is>
          <t>Yes</t>
        </is>
      </c>
      <c r="F543" s="2" t="n">
        <v>0.03</v>
      </c>
      <c r="G543" s="6" t="n">
        <v>170</v>
      </c>
      <c r="H543" s="6">
        <f>F543*G543</f>
        <v/>
      </c>
      <c r="I543">
        <f>_xlfn.XLOOKUP(A543,MktTitle,MktCat,"n/a")</f>
        <v/>
      </c>
      <c r="J543" s="3">
        <f>_xlfn.XLOOKUP(A543,MktTitle,MktTotVol,0)</f>
        <v/>
      </c>
      <c r="K543">
        <f>IF(H543&gt;WhaleThreshold,"WHALE","")</f>
        <v/>
      </c>
    </row>
    <row r="544">
      <c r="A544" t="inlineStr">
        <is>
          <t>Will Mexico win the 2026 FIFA World Cup?</t>
        </is>
      </c>
      <c r="B544" s="4" t="n">
        <v>46205</v>
      </c>
      <c r="C544" s="5" t="n">
        <v>46205.96505787037</v>
      </c>
      <c r="D544" t="inlineStr">
        <is>
          <t>SELL</t>
        </is>
      </c>
      <c r="E544" t="inlineStr">
        <is>
          <t>Yes</t>
        </is>
      </c>
      <c r="F544" s="2" t="n">
        <v>0.03</v>
      </c>
      <c r="G544" s="6" t="n">
        <v>114</v>
      </c>
      <c r="H544" s="6">
        <f>F544*G544</f>
        <v/>
      </c>
      <c r="I544">
        <f>_xlfn.XLOOKUP(A544,MktTitle,MktCat,"n/a")</f>
        <v/>
      </c>
      <c r="J544" s="3">
        <f>_xlfn.XLOOKUP(A544,MktTitle,MktTotVol,0)</f>
        <v/>
      </c>
      <c r="K544">
        <f>IF(H544&gt;WhaleThreshold,"WHALE","")</f>
        <v/>
      </c>
    </row>
    <row r="545">
      <c r="A545" t="inlineStr">
        <is>
          <t>Will Mexico win the 2026 FIFA World Cup?</t>
        </is>
      </c>
      <c r="B545" s="4" t="n">
        <v>46205</v>
      </c>
      <c r="C545" s="5" t="n">
        <v>46205.96481481481</v>
      </c>
      <c r="D545" t="inlineStr">
        <is>
          <t>SELL</t>
        </is>
      </c>
      <c r="E545" t="inlineStr">
        <is>
          <t>Yes</t>
        </is>
      </c>
      <c r="F545" s="2" t="n">
        <v>0.03</v>
      </c>
      <c r="G545" s="6" t="n">
        <v>7142.85</v>
      </c>
      <c r="H545" s="6">
        <f>F545*G545</f>
        <v/>
      </c>
      <c r="I545">
        <f>_xlfn.XLOOKUP(A545,MktTitle,MktCat,"n/a")</f>
        <v/>
      </c>
      <c r="J545" s="3">
        <f>_xlfn.XLOOKUP(A545,MktTitle,MktTotVol,0)</f>
        <v/>
      </c>
      <c r="K545">
        <f>IF(H545&gt;WhaleThreshold,"WHALE","")</f>
        <v/>
      </c>
    </row>
    <row r="546">
      <c r="A546" t="inlineStr">
        <is>
          <t>Will Mexico win the 2026 FIFA World Cup?</t>
        </is>
      </c>
      <c r="B546" s="4" t="n">
        <v>46205</v>
      </c>
      <c r="C546" s="5" t="n">
        <v>46205.96445601852</v>
      </c>
      <c r="D546" t="inlineStr">
        <is>
          <t>SELL</t>
        </is>
      </c>
      <c r="E546" t="inlineStr">
        <is>
          <t>No</t>
        </is>
      </c>
      <c r="F546" s="2" t="n">
        <v>0.969</v>
      </c>
      <c r="G546" s="6" t="n">
        <v>48.9</v>
      </c>
      <c r="H546" s="6">
        <f>F546*G546</f>
        <v/>
      </c>
      <c r="I546">
        <f>_xlfn.XLOOKUP(A546,MktTitle,MktCat,"n/a")</f>
        <v/>
      </c>
      <c r="J546" s="3">
        <f>_xlfn.XLOOKUP(A546,MktTitle,MktTotVol,0)</f>
        <v/>
      </c>
      <c r="K546">
        <f>IF(H546&gt;WhaleThreshold,"WHALE","")</f>
        <v/>
      </c>
    </row>
    <row r="547">
      <c r="A547" t="inlineStr">
        <is>
          <t>Will Mexico win the 2026 FIFA World Cup?</t>
        </is>
      </c>
      <c r="B547" s="4" t="n">
        <v>46205</v>
      </c>
      <c r="C547" s="5" t="n">
        <v>46205.96439814815</v>
      </c>
      <c r="D547" t="inlineStr">
        <is>
          <t>SELL</t>
        </is>
      </c>
      <c r="E547" t="inlineStr">
        <is>
          <t>No</t>
        </is>
      </c>
      <c r="F547" s="2" t="n">
        <v>0.969</v>
      </c>
      <c r="G547" s="6" t="n">
        <v>9.01</v>
      </c>
      <c r="H547" s="6">
        <f>F547*G547</f>
        <v/>
      </c>
      <c r="I547">
        <f>_xlfn.XLOOKUP(A547,MktTitle,MktCat,"n/a")</f>
        <v/>
      </c>
      <c r="J547" s="3">
        <f>_xlfn.XLOOKUP(A547,MktTitle,MktTotVol,0)</f>
        <v/>
      </c>
      <c r="K547">
        <f>IF(H547&gt;WhaleThreshold,"WHALE","")</f>
        <v/>
      </c>
    </row>
    <row r="548">
      <c r="A548" t="inlineStr">
        <is>
          <t>Will Mexico win the 2026 FIFA World Cup?</t>
        </is>
      </c>
      <c r="B548" s="4" t="n">
        <v>46205</v>
      </c>
      <c r="C548" s="5" t="n">
        <v>46205.96438657407</v>
      </c>
      <c r="D548" t="inlineStr">
        <is>
          <t>SELL</t>
        </is>
      </c>
      <c r="E548" t="inlineStr">
        <is>
          <t>No</t>
        </is>
      </c>
      <c r="F548" s="2" t="n">
        <v>0.969</v>
      </c>
      <c r="G548" s="6" t="n">
        <v>26.15</v>
      </c>
      <c r="H548" s="6">
        <f>F548*G548</f>
        <v/>
      </c>
      <c r="I548">
        <f>_xlfn.XLOOKUP(A548,MktTitle,MktCat,"n/a")</f>
        <v/>
      </c>
      <c r="J548" s="3">
        <f>_xlfn.XLOOKUP(A548,MktTitle,MktTotVol,0)</f>
        <v/>
      </c>
      <c r="K548">
        <f>IF(H548&gt;WhaleThreshold,"WHALE","")</f>
        <v/>
      </c>
    </row>
    <row r="549">
      <c r="A549" t="inlineStr">
        <is>
          <t>Will Mexico win the 2026 FIFA World Cup?</t>
        </is>
      </c>
      <c r="B549" s="4" t="n">
        <v>46205</v>
      </c>
      <c r="C549" s="5" t="n">
        <v>46205.9643287037</v>
      </c>
      <c r="D549" t="inlineStr">
        <is>
          <t>SELL</t>
        </is>
      </c>
      <c r="E549" t="inlineStr">
        <is>
          <t>No</t>
        </is>
      </c>
      <c r="F549" s="2" t="n">
        <v>0.969</v>
      </c>
      <c r="G549" s="6" t="n">
        <v>26.15</v>
      </c>
      <c r="H549" s="6">
        <f>F549*G549</f>
        <v/>
      </c>
      <c r="I549">
        <f>_xlfn.XLOOKUP(A549,MktTitle,MktCat,"n/a")</f>
        <v/>
      </c>
      <c r="J549" s="3">
        <f>_xlfn.XLOOKUP(A549,MktTitle,MktTotVol,0)</f>
        <v/>
      </c>
      <c r="K549">
        <f>IF(H549&gt;WhaleThreshold,"WHALE","")</f>
        <v/>
      </c>
    </row>
    <row r="550">
      <c r="A550" t="inlineStr">
        <is>
          <t>Will Mexico win the 2026 FIFA World Cup?</t>
        </is>
      </c>
      <c r="B550" s="4" t="n">
        <v>46205</v>
      </c>
      <c r="C550" s="5" t="n">
        <v>46205.96429398148</v>
      </c>
      <c r="D550" t="inlineStr">
        <is>
          <t>SELL</t>
        </is>
      </c>
      <c r="E550" t="inlineStr">
        <is>
          <t>No</t>
        </is>
      </c>
      <c r="F550" s="2" t="n">
        <v>0.969</v>
      </c>
      <c r="G550" s="6" t="n">
        <v>26.15</v>
      </c>
      <c r="H550" s="6">
        <f>F550*G550</f>
        <v/>
      </c>
      <c r="I550">
        <f>_xlfn.XLOOKUP(A550,MktTitle,MktCat,"n/a")</f>
        <v/>
      </c>
      <c r="J550" s="3">
        <f>_xlfn.XLOOKUP(A550,MktTitle,MktTotVol,0)</f>
        <v/>
      </c>
      <c r="K550">
        <f>IF(H550&gt;WhaleThreshold,"WHALE","")</f>
        <v/>
      </c>
    </row>
    <row r="551">
      <c r="A551" t="inlineStr">
        <is>
          <t>Will Mexico win the 2026 FIFA World Cup?</t>
        </is>
      </c>
      <c r="B551" s="4" t="n">
        <v>46205</v>
      </c>
      <c r="C551" s="5" t="n">
        <v>46205.96428240741</v>
      </c>
      <c r="D551" t="inlineStr">
        <is>
          <t>SELL</t>
        </is>
      </c>
      <c r="E551" t="inlineStr">
        <is>
          <t>No</t>
        </is>
      </c>
      <c r="F551" s="2" t="n">
        <v>0.969</v>
      </c>
      <c r="G551" s="6" t="n">
        <v>26.15</v>
      </c>
      <c r="H551" s="6">
        <f>F551*G551</f>
        <v/>
      </c>
      <c r="I551">
        <f>_xlfn.XLOOKUP(A551,MktTitle,MktCat,"n/a")</f>
        <v/>
      </c>
      <c r="J551" s="3">
        <f>_xlfn.XLOOKUP(A551,MktTitle,MktTotVol,0)</f>
        <v/>
      </c>
      <c r="K551">
        <f>IF(H551&gt;WhaleThreshold,"WHALE","")</f>
        <v/>
      </c>
    </row>
    <row r="552">
      <c r="A552" t="inlineStr">
        <is>
          <t>Will Mexico win the 2026 FIFA World Cup?</t>
        </is>
      </c>
      <c r="B552" s="4" t="n">
        <v>46205</v>
      </c>
      <c r="C552" s="5" t="n">
        <v>46205.96424768519</v>
      </c>
      <c r="D552" t="inlineStr">
        <is>
          <t>SELL</t>
        </is>
      </c>
      <c r="E552" t="inlineStr">
        <is>
          <t>No</t>
        </is>
      </c>
      <c r="F552" s="2" t="n">
        <v>0.969</v>
      </c>
      <c r="G552" s="6" t="n">
        <v>31</v>
      </c>
      <c r="H552" s="6">
        <f>F552*G552</f>
        <v/>
      </c>
      <c r="I552">
        <f>_xlfn.XLOOKUP(A552,MktTitle,MktCat,"n/a")</f>
        <v/>
      </c>
      <c r="J552" s="3">
        <f>_xlfn.XLOOKUP(A552,MktTitle,MktTotVol,0)</f>
        <v/>
      </c>
      <c r="K552">
        <f>IF(H552&gt;WhaleThreshold,"WHALE","")</f>
        <v/>
      </c>
    </row>
    <row r="553">
      <c r="A553" t="inlineStr">
        <is>
          <t>Will Mexico win the 2026 FIFA World Cup?</t>
        </is>
      </c>
      <c r="B553" s="4" t="n">
        <v>46205</v>
      </c>
      <c r="C553" s="5" t="n">
        <v>46205.96421296296</v>
      </c>
      <c r="D553" t="inlineStr">
        <is>
          <t>SELL</t>
        </is>
      </c>
      <c r="E553" t="inlineStr">
        <is>
          <t>No</t>
        </is>
      </c>
      <c r="F553" s="2" t="n">
        <v>0.969</v>
      </c>
      <c r="G553" s="6" t="n">
        <v>57.15</v>
      </c>
      <c r="H553" s="6">
        <f>F553*G553</f>
        <v/>
      </c>
      <c r="I553">
        <f>_xlfn.XLOOKUP(A553,MktTitle,MktCat,"n/a")</f>
        <v/>
      </c>
      <c r="J553" s="3">
        <f>_xlfn.XLOOKUP(A553,MktTitle,MktTotVol,0)</f>
        <v/>
      </c>
      <c r="K553">
        <f>IF(H553&gt;WhaleThreshold,"WHALE","")</f>
        <v/>
      </c>
    </row>
    <row r="554">
      <c r="A554" t="inlineStr">
        <is>
          <t>Will Mexico win the 2026 FIFA World Cup?</t>
        </is>
      </c>
      <c r="B554" s="4" t="n">
        <v>46205</v>
      </c>
      <c r="C554" s="5" t="n">
        <v>46205.96421296296</v>
      </c>
      <c r="D554" t="inlineStr">
        <is>
          <t>SELL</t>
        </is>
      </c>
      <c r="E554" t="inlineStr">
        <is>
          <t>No</t>
        </is>
      </c>
      <c r="F554" s="2" t="n">
        <v>0.969</v>
      </c>
      <c r="G554" s="6" t="n">
        <v>6.54</v>
      </c>
      <c r="H554" s="6">
        <f>F554*G554</f>
        <v/>
      </c>
      <c r="I554">
        <f>_xlfn.XLOOKUP(A554,MktTitle,MktCat,"n/a")</f>
        <v/>
      </c>
      <c r="J554" s="3">
        <f>_xlfn.XLOOKUP(A554,MktTitle,MktTotVol,0)</f>
        <v/>
      </c>
      <c r="K554">
        <f>IF(H554&gt;WhaleThreshold,"WHALE","")</f>
        <v/>
      </c>
    </row>
    <row r="555">
      <c r="A555" t="inlineStr">
        <is>
          <t>Will Mexico win the 2026 FIFA World Cup?</t>
        </is>
      </c>
      <c r="B555" s="4" t="n">
        <v>46205</v>
      </c>
      <c r="C555" s="5" t="n">
        <v>46205.96418981482</v>
      </c>
      <c r="D555" t="inlineStr">
        <is>
          <t>SELL</t>
        </is>
      </c>
      <c r="E555" t="inlineStr">
        <is>
          <t>No</t>
        </is>
      </c>
      <c r="F555" s="2" t="n">
        <v>0.969</v>
      </c>
      <c r="G555" s="6" t="n">
        <v>8.449999999999999</v>
      </c>
      <c r="H555" s="6">
        <f>F555*G555</f>
        <v/>
      </c>
      <c r="I555">
        <f>_xlfn.XLOOKUP(A555,MktTitle,MktCat,"n/a")</f>
        <v/>
      </c>
      <c r="J555" s="3">
        <f>_xlfn.XLOOKUP(A555,MktTitle,MktTotVol,0)</f>
        <v/>
      </c>
      <c r="K555">
        <f>IF(H555&gt;WhaleThreshold,"WHALE","")</f>
        <v/>
      </c>
    </row>
    <row r="556">
      <c r="A556" t="inlineStr">
        <is>
          <t>Will Mexico win the 2026 FIFA World Cup?</t>
        </is>
      </c>
      <c r="B556" s="4" t="n">
        <v>46205</v>
      </c>
      <c r="C556" s="5" t="n">
        <v>46205.96418981482</v>
      </c>
      <c r="D556" t="inlineStr">
        <is>
          <t>SELL</t>
        </is>
      </c>
      <c r="E556" t="inlineStr">
        <is>
          <t>No</t>
        </is>
      </c>
      <c r="F556" s="2" t="n">
        <v>0.969</v>
      </c>
      <c r="G556" s="6" t="n">
        <v>33.36</v>
      </c>
      <c r="H556" s="6">
        <f>F556*G556</f>
        <v/>
      </c>
      <c r="I556">
        <f>_xlfn.XLOOKUP(A556,MktTitle,MktCat,"n/a")</f>
        <v/>
      </c>
      <c r="J556" s="3">
        <f>_xlfn.XLOOKUP(A556,MktTitle,MktTotVol,0)</f>
        <v/>
      </c>
      <c r="K556">
        <f>IF(H556&gt;WhaleThreshold,"WHALE","")</f>
        <v/>
      </c>
    </row>
    <row r="557">
      <c r="A557" t="inlineStr">
        <is>
          <t>Will Mexico win the 2026 FIFA World Cup?</t>
        </is>
      </c>
      <c r="B557" s="4" t="n">
        <v>46205</v>
      </c>
      <c r="C557" s="5" t="n">
        <v>46205.96418981482</v>
      </c>
      <c r="D557" t="inlineStr">
        <is>
          <t>BUY</t>
        </is>
      </c>
      <c r="E557" t="inlineStr">
        <is>
          <t>No</t>
        </is>
      </c>
      <c r="F557" s="2" t="n">
        <v>0.969</v>
      </c>
      <c r="G557" s="6" t="n">
        <v>15.34</v>
      </c>
      <c r="H557" s="6">
        <f>F557*G557</f>
        <v/>
      </c>
      <c r="I557">
        <f>_xlfn.XLOOKUP(A557,MktTitle,MktCat,"n/a")</f>
        <v/>
      </c>
      <c r="J557" s="3">
        <f>_xlfn.XLOOKUP(A557,MktTitle,MktTotVol,0)</f>
        <v/>
      </c>
      <c r="K557">
        <f>IF(H557&gt;WhaleThreshold,"WHALE","")</f>
        <v/>
      </c>
    </row>
    <row r="558">
      <c r="A558" t="inlineStr">
        <is>
          <t>Will Mexico win the 2026 FIFA World Cup?</t>
        </is>
      </c>
      <c r="B558" s="4" t="n">
        <v>46205</v>
      </c>
      <c r="C558" s="5" t="n">
        <v>46205.96418981482</v>
      </c>
      <c r="D558" t="inlineStr">
        <is>
          <t>SELL</t>
        </is>
      </c>
      <c r="E558" t="inlineStr">
        <is>
          <t>No</t>
        </is>
      </c>
      <c r="F558" s="2" t="n">
        <v>0.969</v>
      </c>
      <c r="G558" s="6" t="n">
        <v>10.81</v>
      </c>
      <c r="H558" s="6">
        <f>F558*G558</f>
        <v/>
      </c>
      <c r="I558">
        <f>_xlfn.XLOOKUP(A558,MktTitle,MktCat,"n/a")</f>
        <v/>
      </c>
      <c r="J558" s="3">
        <f>_xlfn.XLOOKUP(A558,MktTitle,MktTotVol,0)</f>
        <v/>
      </c>
      <c r="K558">
        <f>IF(H558&gt;WhaleThreshold,"WHALE","")</f>
        <v/>
      </c>
    </row>
    <row r="559">
      <c r="A559" t="inlineStr">
        <is>
          <t>Will Mexico win the 2026 FIFA World Cup?</t>
        </is>
      </c>
      <c r="B559" s="4" t="n">
        <v>46205</v>
      </c>
      <c r="C559" s="5" t="n">
        <v>46205.96418981482</v>
      </c>
      <c r="D559" t="inlineStr">
        <is>
          <t>BUY</t>
        </is>
      </c>
      <c r="E559" t="inlineStr">
        <is>
          <t>No</t>
        </is>
      </c>
      <c r="F559" s="2" t="n">
        <v>0.969</v>
      </c>
      <c r="G559" s="6" t="n">
        <v>21.64</v>
      </c>
      <c r="H559" s="6">
        <f>F559*G559</f>
        <v/>
      </c>
      <c r="I559">
        <f>_xlfn.XLOOKUP(A559,MktTitle,MktCat,"n/a")</f>
        <v/>
      </c>
      <c r="J559" s="3">
        <f>_xlfn.XLOOKUP(A559,MktTitle,MktTotVol,0)</f>
        <v/>
      </c>
      <c r="K559">
        <f>IF(H559&gt;WhaleThreshold,"WHALE","")</f>
        <v/>
      </c>
    </row>
    <row r="560">
      <c r="A560" t="inlineStr">
        <is>
          <t>Will Mexico win the 2026 FIFA World Cup?</t>
        </is>
      </c>
      <c r="B560" s="4" t="n">
        <v>46205</v>
      </c>
      <c r="C560" s="5" t="n">
        <v>46205.96418981482</v>
      </c>
      <c r="D560" t="inlineStr">
        <is>
          <t>BUY</t>
        </is>
      </c>
      <c r="E560" t="inlineStr">
        <is>
          <t>No</t>
        </is>
      </c>
      <c r="F560" s="2" t="n">
        <v>0.969</v>
      </c>
      <c r="G560" s="6" t="n">
        <v>48.9</v>
      </c>
      <c r="H560" s="6">
        <f>F560*G560</f>
        <v/>
      </c>
      <c r="I560">
        <f>_xlfn.XLOOKUP(A560,MktTitle,MktCat,"n/a")</f>
        <v/>
      </c>
      <c r="J560" s="3">
        <f>_xlfn.XLOOKUP(A560,MktTitle,MktTotVol,0)</f>
        <v/>
      </c>
      <c r="K560">
        <f>IF(H560&gt;WhaleThreshold,"WHALE","")</f>
        <v/>
      </c>
    </row>
    <row r="561">
      <c r="A561" t="inlineStr">
        <is>
          <t>Will Mexico win the 2026 FIFA World Cup?</t>
        </is>
      </c>
      <c r="B561" s="4" t="n">
        <v>46205</v>
      </c>
      <c r="C561" s="5" t="n">
        <v>46205.96417824074</v>
      </c>
      <c r="D561" t="inlineStr">
        <is>
          <t>SELL</t>
        </is>
      </c>
      <c r="E561" t="inlineStr">
        <is>
          <t>No</t>
        </is>
      </c>
      <c r="F561" s="2" t="n">
        <v>0.969</v>
      </c>
      <c r="G561" s="6" t="n">
        <v>9.779999999999999</v>
      </c>
      <c r="H561" s="6">
        <f>F561*G561</f>
        <v/>
      </c>
      <c r="I561">
        <f>_xlfn.XLOOKUP(A561,MktTitle,MktCat,"n/a")</f>
        <v/>
      </c>
      <c r="J561" s="3">
        <f>_xlfn.XLOOKUP(A561,MktTitle,MktTotVol,0)</f>
        <v/>
      </c>
      <c r="K561">
        <f>IF(H561&gt;WhaleThreshold,"WHALE","")</f>
        <v/>
      </c>
    </row>
    <row r="562">
      <c r="A562" t="inlineStr">
        <is>
          <t>Will Mexico win the 2026 FIFA World Cup?</t>
        </is>
      </c>
      <c r="B562" s="4" t="n">
        <v>46205</v>
      </c>
      <c r="C562" s="5" t="n">
        <v>46205.9641550926</v>
      </c>
      <c r="D562" t="inlineStr">
        <is>
          <t>BUY</t>
        </is>
      </c>
      <c r="E562" t="inlineStr">
        <is>
          <t>No</t>
        </is>
      </c>
      <c r="F562" s="2" t="n">
        <v>0.969</v>
      </c>
      <c r="G562" s="6" t="n">
        <v>32.69</v>
      </c>
      <c r="H562" s="6">
        <f>F562*G562</f>
        <v/>
      </c>
      <c r="I562">
        <f>_xlfn.XLOOKUP(A562,MktTitle,MktCat,"n/a")</f>
        <v/>
      </c>
      <c r="J562" s="3">
        <f>_xlfn.XLOOKUP(A562,MktTitle,MktTotVol,0)</f>
        <v/>
      </c>
      <c r="K562">
        <f>IF(H562&gt;WhaleThreshold,"WHALE","")</f>
        <v/>
      </c>
    </row>
    <row r="563">
      <c r="A563" t="inlineStr">
        <is>
          <t>Will Mexico win the 2026 FIFA World Cup?</t>
        </is>
      </c>
      <c r="B563" s="4" t="n">
        <v>46205</v>
      </c>
      <c r="C563" s="5" t="n">
        <v>46205.9641550926</v>
      </c>
      <c r="D563" t="inlineStr">
        <is>
          <t>BUY</t>
        </is>
      </c>
      <c r="E563" t="inlineStr">
        <is>
          <t>No</t>
        </is>
      </c>
      <c r="F563" s="2" t="n">
        <v>0.969</v>
      </c>
      <c r="G563" s="6" t="n">
        <v>15</v>
      </c>
      <c r="H563" s="6">
        <f>F563*G563</f>
        <v/>
      </c>
      <c r="I563">
        <f>_xlfn.XLOOKUP(A563,MktTitle,MktCat,"n/a")</f>
        <v/>
      </c>
      <c r="J563" s="3">
        <f>_xlfn.XLOOKUP(A563,MktTitle,MktTotVol,0)</f>
        <v/>
      </c>
      <c r="K563">
        <f>IF(H563&gt;WhaleThreshold,"WHALE","")</f>
        <v/>
      </c>
    </row>
    <row r="564">
      <c r="A564" t="inlineStr">
        <is>
          <t>Will Mexico win the 2026 FIFA World Cup?</t>
        </is>
      </c>
      <c r="B564" s="4" t="n">
        <v>46205</v>
      </c>
      <c r="C564" s="5" t="n">
        <v>46205.9641550926</v>
      </c>
      <c r="D564" t="inlineStr">
        <is>
          <t>BUY</t>
        </is>
      </c>
      <c r="E564" t="inlineStr">
        <is>
          <t>No</t>
        </is>
      </c>
      <c r="F564" s="2" t="n">
        <v>0.969</v>
      </c>
      <c r="G564" s="6" t="n">
        <v>41.7</v>
      </c>
      <c r="H564" s="6">
        <f>F564*G564</f>
        <v/>
      </c>
      <c r="I564">
        <f>_xlfn.XLOOKUP(A564,MktTitle,MktCat,"n/a")</f>
        <v/>
      </c>
      <c r="J564" s="3">
        <f>_xlfn.XLOOKUP(A564,MktTitle,MktTotVol,0)</f>
        <v/>
      </c>
      <c r="K564">
        <f>IF(H564&gt;WhaleThreshold,"WHALE","")</f>
        <v/>
      </c>
    </row>
    <row r="565">
      <c r="A565" t="inlineStr">
        <is>
          <t>Will Mexico win the 2026 FIFA World Cup?</t>
        </is>
      </c>
      <c r="B565" s="4" t="n">
        <v>46205</v>
      </c>
      <c r="C565" s="5" t="n">
        <v>46205.9641550926</v>
      </c>
      <c r="D565" t="inlineStr">
        <is>
          <t>BUY</t>
        </is>
      </c>
      <c r="E565" t="inlineStr">
        <is>
          <t>No</t>
        </is>
      </c>
      <c r="F565" s="2" t="n">
        <v>0.969</v>
      </c>
      <c r="G565" s="6" t="n">
        <v>39</v>
      </c>
      <c r="H565" s="6">
        <f>F565*G565</f>
        <v/>
      </c>
      <c r="I565">
        <f>_xlfn.XLOOKUP(A565,MktTitle,MktCat,"n/a")</f>
        <v/>
      </c>
      <c r="J565" s="3">
        <f>_xlfn.XLOOKUP(A565,MktTitle,MktTotVol,0)</f>
        <v/>
      </c>
      <c r="K565">
        <f>IF(H565&gt;WhaleThreshold,"WHALE","")</f>
        <v/>
      </c>
    </row>
    <row r="566">
      <c r="A566" t="inlineStr">
        <is>
          <t>Will Mexico win the 2026 FIFA World Cup?</t>
        </is>
      </c>
      <c r="B566" s="4" t="n">
        <v>46205</v>
      </c>
      <c r="C566" s="5" t="n">
        <v>46205.96412037037</v>
      </c>
      <c r="D566" t="inlineStr">
        <is>
          <t>BUY</t>
        </is>
      </c>
      <c r="E566" t="inlineStr">
        <is>
          <t>No</t>
        </is>
      </c>
      <c r="F566" s="2" t="n">
        <v>0.969</v>
      </c>
      <c r="G566" s="6" t="n">
        <v>116</v>
      </c>
      <c r="H566" s="6">
        <f>F566*G566</f>
        <v/>
      </c>
      <c r="I566">
        <f>_xlfn.XLOOKUP(A566,MktTitle,MktCat,"n/a")</f>
        <v/>
      </c>
      <c r="J566" s="3">
        <f>_xlfn.XLOOKUP(A566,MktTitle,MktTotVol,0)</f>
        <v/>
      </c>
      <c r="K566">
        <f>IF(H566&gt;WhaleThreshold,"WHALE","")</f>
        <v/>
      </c>
    </row>
    <row r="567">
      <c r="A567" t="inlineStr">
        <is>
          <t>Will Mexico win the 2026 FIFA World Cup?</t>
        </is>
      </c>
      <c r="B567" s="4" t="n">
        <v>46205</v>
      </c>
      <c r="C567" s="5" t="n">
        <v>46205.96412037037</v>
      </c>
      <c r="D567" t="inlineStr">
        <is>
          <t>BUY</t>
        </is>
      </c>
      <c r="E567" t="inlineStr">
        <is>
          <t>No</t>
        </is>
      </c>
      <c r="F567" s="2" t="n">
        <v>0.969</v>
      </c>
      <c r="G567" s="6" t="n">
        <v>62</v>
      </c>
      <c r="H567" s="6">
        <f>F567*G567</f>
        <v/>
      </c>
      <c r="I567">
        <f>_xlfn.XLOOKUP(A567,MktTitle,MktCat,"n/a")</f>
        <v/>
      </c>
      <c r="J567" s="3">
        <f>_xlfn.XLOOKUP(A567,MktTitle,MktTotVol,0)</f>
        <v/>
      </c>
      <c r="K567">
        <f>IF(H567&gt;WhaleThreshold,"WHALE","")</f>
        <v/>
      </c>
    </row>
    <row r="568">
      <c r="A568" t="inlineStr">
        <is>
          <t>Will Mexico win the 2026 FIFA World Cup?</t>
        </is>
      </c>
      <c r="B568" s="4" t="n">
        <v>46205</v>
      </c>
      <c r="C568" s="5" t="n">
        <v>46205.9641087963</v>
      </c>
      <c r="D568" t="inlineStr">
        <is>
          <t>BUY</t>
        </is>
      </c>
      <c r="E568" t="inlineStr">
        <is>
          <t>No</t>
        </is>
      </c>
      <c r="F568" s="2" t="n">
        <v>0.969</v>
      </c>
      <c r="G568" s="6" t="n">
        <v>110</v>
      </c>
      <c r="H568" s="6">
        <f>F568*G568</f>
        <v/>
      </c>
      <c r="I568">
        <f>_xlfn.XLOOKUP(A568,MktTitle,MktCat,"n/a")</f>
        <v/>
      </c>
      <c r="J568" s="3">
        <f>_xlfn.XLOOKUP(A568,MktTitle,MktTotVol,0)</f>
        <v/>
      </c>
      <c r="K568">
        <f>IF(H568&gt;WhaleThreshold,"WHALE","")</f>
        <v/>
      </c>
    </row>
    <row r="569">
      <c r="A569" t="inlineStr">
        <is>
          <t>Will Mexico win the 2026 FIFA World Cup?</t>
        </is>
      </c>
      <c r="B569" s="4" t="n">
        <v>46205</v>
      </c>
      <c r="C569" s="5" t="n">
        <v>46205.96408564815</v>
      </c>
      <c r="D569" t="inlineStr">
        <is>
          <t>BUY</t>
        </is>
      </c>
      <c r="E569" t="inlineStr">
        <is>
          <t>No</t>
        </is>
      </c>
      <c r="F569" s="2" t="n">
        <v>0.969</v>
      </c>
      <c r="G569" s="6" t="n">
        <v>40.15</v>
      </c>
      <c r="H569" s="6">
        <f>F569*G569</f>
        <v/>
      </c>
      <c r="I569">
        <f>_xlfn.XLOOKUP(A569,MktTitle,MktCat,"n/a")</f>
        <v/>
      </c>
      <c r="J569" s="3">
        <f>_xlfn.XLOOKUP(A569,MktTitle,MktTotVol,0)</f>
        <v/>
      </c>
      <c r="K569">
        <f>IF(H569&gt;WhaleThreshold,"WHALE","")</f>
        <v/>
      </c>
    </row>
    <row r="570">
      <c r="A570" t="inlineStr">
        <is>
          <t>Will Mexico win the 2026 FIFA World Cup?</t>
        </is>
      </c>
      <c r="B570" s="4" t="n">
        <v>46205</v>
      </c>
      <c r="C570" s="5" t="n">
        <v>46205.96408564815</v>
      </c>
      <c r="D570" t="inlineStr">
        <is>
          <t>BUY</t>
        </is>
      </c>
      <c r="E570" t="inlineStr">
        <is>
          <t>No</t>
        </is>
      </c>
      <c r="F570" s="2" t="n">
        <v>0.969</v>
      </c>
      <c r="G570" s="6" t="n">
        <v>42.23</v>
      </c>
      <c r="H570" s="6">
        <f>F570*G570</f>
        <v/>
      </c>
      <c r="I570">
        <f>_xlfn.XLOOKUP(A570,MktTitle,MktCat,"n/a")</f>
        <v/>
      </c>
      <c r="J570" s="3">
        <f>_xlfn.XLOOKUP(A570,MktTitle,MktTotVol,0)</f>
        <v/>
      </c>
      <c r="K570">
        <f>IF(H570&gt;WhaleThreshold,"WHALE","")</f>
        <v/>
      </c>
    </row>
    <row r="571">
      <c r="A571" t="inlineStr">
        <is>
          <t>Will Mexico win the 2026 FIFA World Cup?</t>
        </is>
      </c>
      <c r="B571" s="4" t="n">
        <v>46205</v>
      </c>
      <c r="C571" s="5" t="n">
        <v>46205.96408564815</v>
      </c>
      <c r="D571" t="inlineStr">
        <is>
          <t>BUY</t>
        </is>
      </c>
      <c r="E571" t="inlineStr">
        <is>
          <t>No</t>
        </is>
      </c>
      <c r="F571" s="2" t="n">
        <v>0.969</v>
      </c>
      <c r="G571" s="6" t="n">
        <v>48.9</v>
      </c>
      <c r="H571" s="6">
        <f>F571*G571</f>
        <v/>
      </c>
      <c r="I571">
        <f>_xlfn.XLOOKUP(A571,MktTitle,MktCat,"n/a")</f>
        <v/>
      </c>
      <c r="J571" s="3">
        <f>_xlfn.XLOOKUP(A571,MktTitle,MktTotVol,0)</f>
        <v/>
      </c>
      <c r="K571">
        <f>IF(H571&gt;WhaleThreshold,"WHALE","")</f>
        <v/>
      </c>
    </row>
    <row r="572">
      <c r="A572" t="inlineStr">
        <is>
          <t>Will Mexico win the 2026 FIFA World Cup?</t>
        </is>
      </c>
      <c r="B572" s="4" t="n">
        <v>46205</v>
      </c>
      <c r="C572" s="5" t="n">
        <v>46205.96408564815</v>
      </c>
      <c r="D572" t="inlineStr">
        <is>
          <t>BUY</t>
        </is>
      </c>
      <c r="E572" t="inlineStr">
        <is>
          <t>No</t>
        </is>
      </c>
      <c r="F572" s="2" t="n">
        <v>0.969</v>
      </c>
      <c r="G572" s="6" t="n">
        <v>110</v>
      </c>
      <c r="H572" s="6">
        <f>F572*G572</f>
        <v/>
      </c>
      <c r="I572">
        <f>_xlfn.XLOOKUP(A572,MktTitle,MktCat,"n/a")</f>
        <v/>
      </c>
      <c r="J572" s="3">
        <f>_xlfn.XLOOKUP(A572,MktTitle,MktTotVol,0)</f>
        <v/>
      </c>
      <c r="K572">
        <f>IF(H572&gt;WhaleThreshold,"WHALE","")</f>
        <v/>
      </c>
    </row>
    <row r="573">
      <c r="A573" t="inlineStr">
        <is>
          <t>Will Mexico win the 2026 FIFA World Cup?</t>
        </is>
      </c>
      <c r="B573" s="4" t="n">
        <v>46205</v>
      </c>
      <c r="C573" s="5" t="n">
        <v>46205.96408564815</v>
      </c>
      <c r="D573" t="inlineStr">
        <is>
          <t>BUY</t>
        </is>
      </c>
      <c r="E573" t="inlineStr">
        <is>
          <t>No</t>
        </is>
      </c>
      <c r="F573" s="2" t="n">
        <v>0.969</v>
      </c>
      <c r="G573" s="6" t="n">
        <v>25.5</v>
      </c>
      <c r="H573" s="6">
        <f>F573*G573</f>
        <v/>
      </c>
      <c r="I573">
        <f>_xlfn.XLOOKUP(A573,MktTitle,MktCat,"n/a")</f>
        <v/>
      </c>
      <c r="J573" s="3">
        <f>_xlfn.XLOOKUP(A573,MktTitle,MktTotVol,0)</f>
        <v/>
      </c>
      <c r="K573">
        <f>IF(H573&gt;WhaleThreshold,"WHALE","")</f>
        <v/>
      </c>
    </row>
    <row r="574">
      <c r="A574" t="inlineStr">
        <is>
          <t>Will Mexico win the 2026 FIFA World Cup?</t>
        </is>
      </c>
      <c r="B574" s="4" t="n">
        <v>46205</v>
      </c>
      <c r="C574" s="5" t="n">
        <v>46205.96408564815</v>
      </c>
      <c r="D574" t="inlineStr">
        <is>
          <t>BUY</t>
        </is>
      </c>
      <c r="E574" t="inlineStr">
        <is>
          <t>No</t>
        </is>
      </c>
      <c r="F574" s="2" t="n">
        <v>0.969</v>
      </c>
      <c r="G574" s="6" t="n">
        <v>10</v>
      </c>
      <c r="H574" s="6">
        <f>F574*G574</f>
        <v/>
      </c>
      <c r="I574">
        <f>_xlfn.XLOOKUP(A574,MktTitle,MktCat,"n/a")</f>
        <v/>
      </c>
      <c r="J574" s="3">
        <f>_xlfn.XLOOKUP(A574,MktTitle,MktTotVol,0)</f>
        <v/>
      </c>
      <c r="K574">
        <f>IF(H574&gt;WhaleThreshold,"WHALE","")</f>
        <v/>
      </c>
    </row>
    <row r="575">
      <c r="A575" t="inlineStr">
        <is>
          <t>Will Mexico win the 2026 FIFA World Cup?</t>
        </is>
      </c>
      <c r="B575" s="4" t="n">
        <v>46205</v>
      </c>
      <c r="C575" s="5" t="n">
        <v>46205.96407407407</v>
      </c>
      <c r="D575" t="inlineStr">
        <is>
          <t>BUY</t>
        </is>
      </c>
      <c r="E575" t="inlineStr">
        <is>
          <t>No</t>
        </is>
      </c>
      <c r="F575" s="2" t="n">
        <v>0.969</v>
      </c>
      <c r="G575" s="6" t="n">
        <v>110</v>
      </c>
      <c r="H575" s="6">
        <f>F575*G575</f>
        <v/>
      </c>
      <c r="I575">
        <f>_xlfn.XLOOKUP(A575,MktTitle,MktCat,"n/a")</f>
        <v/>
      </c>
      <c r="J575" s="3">
        <f>_xlfn.XLOOKUP(A575,MktTitle,MktTotVol,0)</f>
        <v/>
      </c>
      <c r="K575">
        <f>IF(H575&gt;WhaleThreshold,"WHALE","")</f>
        <v/>
      </c>
    </row>
    <row r="576">
      <c r="A576" t="inlineStr">
        <is>
          <t>Will Mexico win the 2026 FIFA World Cup?</t>
        </is>
      </c>
      <c r="B576" s="4" t="n">
        <v>46205</v>
      </c>
      <c r="C576" s="5" t="n">
        <v>46205.96407407407</v>
      </c>
      <c r="D576" t="inlineStr">
        <is>
          <t>BUY</t>
        </is>
      </c>
      <c r="E576" t="inlineStr">
        <is>
          <t>No</t>
        </is>
      </c>
      <c r="F576" s="2" t="n">
        <v>0.969</v>
      </c>
      <c r="G576" s="6" t="n">
        <v>51.1</v>
      </c>
      <c r="H576" s="6">
        <f>F576*G576</f>
        <v/>
      </c>
      <c r="I576">
        <f>_xlfn.XLOOKUP(A576,MktTitle,MktCat,"n/a")</f>
        <v/>
      </c>
      <c r="J576" s="3">
        <f>_xlfn.XLOOKUP(A576,MktTitle,MktTotVol,0)</f>
        <v/>
      </c>
      <c r="K576">
        <f>IF(H576&gt;WhaleThreshold,"WHALE","")</f>
        <v/>
      </c>
    </row>
    <row r="577">
      <c r="A577" t="inlineStr">
        <is>
          <t>Will Mexico win the 2026 FIFA World Cup?</t>
        </is>
      </c>
      <c r="B577" s="4" t="n">
        <v>46205</v>
      </c>
      <c r="C577" s="5" t="n">
        <v>46205.96407407407</v>
      </c>
      <c r="D577" t="inlineStr">
        <is>
          <t>BUY</t>
        </is>
      </c>
      <c r="E577" t="inlineStr">
        <is>
          <t>No</t>
        </is>
      </c>
      <c r="F577" s="2" t="n">
        <v>0.969</v>
      </c>
      <c r="G577" s="6" t="n">
        <v>5</v>
      </c>
      <c r="H577" s="6">
        <f>F577*G577</f>
        <v/>
      </c>
      <c r="I577">
        <f>_xlfn.XLOOKUP(A577,MktTitle,MktCat,"n/a")</f>
        <v/>
      </c>
      <c r="J577" s="3">
        <f>_xlfn.XLOOKUP(A577,MktTitle,MktTotVol,0)</f>
        <v/>
      </c>
      <c r="K577">
        <f>IF(H577&gt;WhaleThreshold,"WHALE","")</f>
        <v/>
      </c>
    </row>
    <row r="578">
      <c r="A578" t="inlineStr">
        <is>
          <t>Will Mexico win the 2026 FIFA World Cup?</t>
        </is>
      </c>
      <c r="B578" s="4" t="n">
        <v>46205</v>
      </c>
      <c r="C578" s="5" t="n">
        <v>46205.96407407407</v>
      </c>
      <c r="D578" t="inlineStr">
        <is>
          <t>BUY</t>
        </is>
      </c>
      <c r="E578" t="inlineStr">
        <is>
          <t>No</t>
        </is>
      </c>
      <c r="F578" s="2" t="n">
        <v>0.969</v>
      </c>
      <c r="G578" s="6" t="n">
        <v>73.59999999999999</v>
      </c>
      <c r="H578" s="6">
        <f>F578*G578</f>
        <v/>
      </c>
      <c r="I578">
        <f>_xlfn.XLOOKUP(A578,MktTitle,MktCat,"n/a")</f>
        <v/>
      </c>
      <c r="J578" s="3">
        <f>_xlfn.XLOOKUP(A578,MktTitle,MktTotVol,0)</f>
        <v/>
      </c>
      <c r="K578">
        <f>IF(H578&gt;WhaleThreshold,"WHALE","")</f>
        <v/>
      </c>
    </row>
    <row r="579">
      <c r="A579" t="inlineStr">
        <is>
          <t>Will Mexico win the 2026 FIFA World Cup?</t>
        </is>
      </c>
      <c r="B579" s="4" t="n">
        <v>46205</v>
      </c>
      <c r="C579" s="5" t="n">
        <v>46205.96405092593</v>
      </c>
      <c r="D579" t="inlineStr">
        <is>
          <t>BUY</t>
        </is>
      </c>
      <c r="E579" t="inlineStr">
        <is>
          <t>No</t>
        </is>
      </c>
      <c r="F579" s="2" t="n">
        <v>0.969</v>
      </c>
      <c r="G579" s="6" t="n">
        <v>115</v>
      </c>
      <c r="H579" s="6">
        <f>F579*G579</f>
        <v/>
      </c>
      <c r="I579">
        <f>_xlfn.XLOOKUP(A579,MktTitle,MktCat,"n/a")</f>
        <v/>
      </c>
      <c r="J579" s="3">
        <f>_xlfn.XLOOKUP(A579,MktTitle,MktTotVol,0)</f>
        <v/>
      </c>
      <c r="K579">
        <f>IF(H579&gt;WhaleThreshold,"WHALE","")</f>
        <v/>
      </c>
    </row>
    <row r="580">
      <c r="A580" t="inlineStr">
        <is>
          <t>Will Mexico win the 2026 FIFA World Cup?</t>
        </is>
      </c>
      <c r="B580" s="4" t="n">
        <v>46205</v>
      </c>
      <c r="C580" s="5" t="n">
        <v>46205.96383101852</v>
      </c>
      <c r="D580" t="inlineStr">
        <is>
          <t>BUY</t>
        </is>
      </c>
      <c r="E580" t="inlineStr">
        <is>
          <t>No</t>
        </is>
      </c>
      <c r="F580" s="2" t="n">
        <v>0.969</v>
      </c>
      <c r="G580" s="6" t="n">
        <v>19.7729</v>
      </c>
      <c r="H580" s="6">
        <f>F580*G580</f>
        <v/>
      </c>
      <c r="I580">
        <f>_xlfn.XLOOKUP(A580,MktTitle,MktCat,"n/a")</f>
        <v/>
      </c>
      <c r="J580" s="3">
        <f>_xlfn.XLOOKUP(A580,MktTitle,MktTotVol,0)</f>
        <v/>
      </c>
      <c r="K580">
        <f>IF(H580&gt;WhaleThreshold,"WHALE","")</f>
        <v/>
      </c>
    </row>
    <row r="581">
      <c r="A581" t="inlineStr">
        <is>
          <t>Will Mexico win the 2026 FIFA World Cup?</t>
        </is>
      </c>
      <c r="B581" s="4" t="n">
        <v>46205</v>
      </c>
      <c r="C581" s="5" t="n">
        <v>46205.96377314815</v>
      </c>
      <c r="D581" t="inlineStr">
        <is>
          <t>BUY</t>
        </is>
      </c>
      <c r="E581" t="inlineStr">
        <is>
          <t>Yes</t>
        </is>
      </c>
      <c r="F581" s="2" t="n">
        <v>0.034</v>
      </c>
      <c r="G581" s="6" t="n">
        <v>2196.4706</v>
      </c>
      <c r="H581" s="6">
        <f>F581*G581</f>
        <v/>
      </c>
      <c r="I581">
        <f>_xlfn.XLOOKUP(A581,MktTitle,MktCat,"n/a")</f>
        <v/>
      </c>
      <c r="J581" s="3">
        <f>_xlfn.XLOOKUP(A581,MktTitle,MktTotVol,0)</f>
        <v/>
      </c>
      <c r="K581">
        <f>IF(H581&gt;WhaleThreshold,"WHALE","")</f>
        <v/>
      </c>
    </row>
    <row r="582">
      <c r="A582" t="inlineStr">
        <is>
          <t>Will Mexico win the 2026 FIFA World Cup?</t>
        </is>
      </c>
      <c r="B582" s="4" t="n">
        <v>46205</v>
      </c>
      <c r="C582" s="5" t="n">
        <v>46205.96337962963</v>
      </c>
      <c r="D582" t="inlineStr">
        <is>
          <t>BUY</t>
        </is>
      </c>
      <c r="E582" t="inlineStr">
        <is>
          <t>Yes</t>
        </is>
      </c>
      <c r="F582" s="2" t="n">
        <v>0.034</v>
      </c>
      <c r="G582" s="6" t="n">
        <v>135.2941</v>
      </c>
      <c r="H582" s="6">
        <f>F582*G582</f>
        <v/>
      </c>
      <c r="I582">
        <f>_xlfn.XLOOKUP(A582,MktTitle,MktCat,"n/a")</f>
        <v/>
      </c>
      <c r="J582" s="3">
        <f>_xlfn.XLOOKUP(A582,MktTitle,MktTotVol,0)</f>
        <v/>
      </c>
      <c r="K582">
        <f>IF(H582&gt;WhaleThreshold,"WHALE","")</f>
        <v/>
      </c>
    </row>
    <row r="583">
      <c r="A583" t="inlineStr">
        <is>
          <t>Will Mexico win the 2026 FIFA World Cup?</t>
        </is>
      </c>
      <c r="B583" s="4" t="n">
        <v>46205</v>
      </c>
      <c r="C583" s="5" t="n">
        <v>46205.96327546296</v>
      </c>
      <c r="D583" t="inlineStr">
        <is>
          <t>SELL</t>
        </is>
      </c>
      <c r="E583" t="inlineStr">
        <is>
          <t>Yes</t>
        </is>
      </c>
      <c r="F583" s="2" t="n">
        <v>0.031</v>
      </c>
      <c r="G583" s="6" t="n">
        <v>35</v>
      </c>
      <c r="H583" s="6">
        <f>F583*G583</f>
        <v/>
      </c>
      <c r="I583">
        <f>_xlfn.XLOOKUP(A583,MktTitle,MktCat,"n/a")</f>
        <v/>
      </c>
      <c r="J583" s="3">
        <f>_xlfn.XLOOKUP(A583,MktTitle,MktTotVol,0)</f>
        <v/>
      </c>
      <c r="K583">
        <f>IF(H583&gt;WhaleThreshold,"WHALE","")</f>
        <v/>
      </c>
    </row>
    <row r="584">
      <c r="A584" t="inlineStr">
        <is>
          <t>Will Mexico win the 2026 FIFA World Cup?</t>
        </is>
      </c>
      <c r="B584" s="4" t="n">
        <v>46205</v>
      </c>
      <c r="C584" s="5" t="n">
        <v>46205.96325231482</v>
      </c>
      <c r="D584" t="inlineStr">
        <is>
          <t>BUY</t>
        </is>
      </c>
      <c r="E584" t="inlineStr">
        <is>
          <t>No</t>
        </is>
      </c>
      <c r="F584" s="2" t="n">
        <v>0.969</v>
      </c>
      <c r="G584" s="6" t="n">
        <v>20</v>
      </c>
      <c r="H584" s="6">
        <f>F584*G584</f>
        <v/>
      </c>
      <c r="I584">
        <f>_xlfn.XLOOKUP(A584,MktTitle,MktCat,"n/a")</f>
        <v/>
      </c>
      <c r="J584" s="3">
        <f>_xlfn.XLOOKUP(A584,MktTitle,MktTotVol,0)</f>
        <v/>
      </c>
      <c r="K584">
        <f>IF(H584&gt;WhaleThreshold,"WHALE","")</f>
        <v/>
      </c>
    </row>
    <row r="585">
      <c r="A585" t="inlineStr">
        <is>
          <t>Will Mexico win the 2026 FIFA World Cup?</t>
        </is>
      </c>
      <c r="B585" s="4" t="n">
        <v>46205</v>
      </c>
      <c r="C585" s="5" t="n">
        <v>46205.96325231482</v>
      </c>
      <c r="D585" t="inlineStr">
        <is>
          <t>BUY</t>
        </is>
      </c>
      <c r="E585" t="inlineStr">
        <is>
          <t>No</t>
        </is>
      </c>
      <c r="F585" s="2" t="n">
        <v>0.969</v>
      </c>
      <c r="G585" s="6" t="n">
        <v>16</v>
      </c>
      <c r="H585" s="6">
        <f>F585*G585</f>
        <v/>
      </c>
      <c r="I585">
        <f>_xlfn.XLOOKUP(A585,MktTitle,MktCat,"n/a")</f>
        <v/>
      </c>
      <c r="J585" s="3">
        <f>_xlfn.XLOOKUP(A585,MktTitle,MktTotVol,0)</f>
        <v/>
      </c>
      <c r="K585">
        <f>IF(H585&gt;WhaleThreshold,"WHALE","")</f>
        <v/>
      </c>
    </row>
    <row r="586">
      <c r="A586" t="inlineStr">
        <is>
          <t>Will Mexico win the 2026 FIFA World Cup?</t>
        </is>
      </c>
      <c r="B586" s="4" t="n">
        <v>46205</v>
      </c>
      <c r="C586" s="5" t="n">
        <v>46205.96324074074</v>
      </c>
      <c r="D586" t="inlineStr">
        <is>
          <t>BUY</t>
        </is>
      </c>
      <c r="E586" t="inlineStr">
        <is>
          <t>Yes</t>
        </is>
      </c>
      <c r="F586" s="2" t="n">
        <v>0.031</v>
      </c>
      <c r="G586" s="6" t="n">
        <v>589.6</v>
      </c>
      <c r="H586" s="6">
        <f>F586*G586</f>
        <v/>
      </c>
      <c r="I586">
        <f>_xlfn.XLOOKUP(A586,MktTitle,MktCat,"n/a")</f>
        <v/>
      </c>
      <c r="J586" s="3">
        <f>_xlfn.XLOOKUP(A586,MktTitle,MktTotVol,0)</f>
        <v/>
      </c>
      <c r="K586">
        <f>IF(H586&gt;WhaleThreshold,"WHALE","")</f>
        <v/>
      </c>
    </row>
    <row r="587">
      <c r="A587" t="inlineStr">
        <is>
          <t>Will Mexico win the 2026 FIFA World Cup?</t>
        </is>
      </c>
      <c r="B587" s="4" t="n">
        <v>46205</v>
      </c>
      <c r="C587" s="5" t="n">
        <v>46205.96321759259</v>
      </c>
      <c r="D587" t="inlineStr">
        <is>
          <t>BUY</t>
        </is>
      </c>
      <c r="E587" t="inlineStr">
        <is>
          <t>No</t>
        </is>
      </c>
      <c r="F587" s="2" t="n">
        <v>0.97</v>
      </c>
      <c r="G587" s="6" t="n">
        <v>2.1</v>
      </c>
      <c r="H587" s="6">
        <f>F587*G587</f>
        <v/>
      </c>
      <c r="I587">
        <f>_xlfn.XLOOKUP(A587,MktTitle,MktCat,"n/a")</f>
        <v/>
      </c>
      <c r="J587" s="3">
        <f>_xlfn.XLOOKUP(A587,MktTitle,MktTotVol,0)</f>
        <v/>
      </c>
      <c r="K587">
        <f>IF(H587&gt;WhaleThreshold,"WHALE","")</f>
        <v/>
      </c>
    </row>
    <row r="588">
      <c r="A588" t="inlineStr">
        <is>
          <t>Will Mexico win the 2026 FIFA World Cup?</t>
        </is>
      </c>
      <c r="B588" s="4" t="n">
        <v>46205</v>
      </c>
      <c r="C588" s="5" t="n">
        <v>46205.96300925926</v>
      </c>
      <c r="D588" t="inlineStr">
        <is>
          <t>BUY</t>
        </is>
      </c>
      <c r="E588" t="inlineStr">
        <is>
          <t>No</t>
        </is>
      </c>
      <c r="F588" s="2" t="n">
        <v>0.97</v>
      </c>
      <c r="G588" s="6" t="n">
        <v>10</v>
      </c>
      <c r="H588" s="6">
        <f>F588*G588</f>
        <v/>
      </c>
      <c r="I588">
        <f>_xlfn.XLOOKUP(A588,MktTitle,MktCat,"n/a")</f>
        <v/>
      </c>
      <c r="J588" s="3">
        <f>_xlfn.XLOOKUP(A588,MktTitle,MktTotVol,0)</f>
        <v/>
      </c>
      <c r="K588">
        <f>IF(H588&gt;WhaleThreshold,"WHALE","")</f>
        <v/>
      </c>
    </row>
    <row r="589">
      <c r="A589" t="inlineStr">
        <is>
          <t>Will Mexico win the 2026 FIFA World Cup?</t>
        </is>
      </c>
      <c r="B589" s="4" t="n">
        <v>46205</v>
      </c>
      <c r="C589" s="5" t="n">
        <v>46205.96292824074</v>
      </c>
      <c r="D589" t="inlineStr">
        <is>
          <t>SELL</t>
        </is>
      </c>
      <c r="E589" t="inlineStr">
        <is>
          <t>No</t>
        </is>
      </c>
      <c r="F589" s="2" t="n">
        <v>0.969</v>
      </c>
      <c r="G589" s="6" t="n">
        <v>6.04</v>
      </c>
      <c r="H589" s="6">
        <f>F589*G589</f>
        <v/>
      </c>
      <c r="I589">
        <f>_xlfn.XLOOKUP(A589,MktTitle,MktCat,"n/a")</f>
        <v/>
      </c>
      <c r="J589" s="3">
        <f>_xlfn.XLOOKUP(A589,MktTitle,MktTotVol,0)</f>
        <v/>
      </c>
      <c r="K589">
        <f>IF(H589&gt;WhaleThreshold,"WHALE","")</f>
        <v/>
      </c>
    </row>
    <row r="590">
      <c r="A590" t="inlineStr">
        <is>
          <t>Will Mexico win the 2026 FIFA World Cup?</t>
        </is>
      </c>
      <c r="B590" s="4" t="n">
        <v>46205</v>
      </c>
      <c r="C590" s="5" t="n">
        <v>46205.96289351852</v>
      </c>
      <c r="D590" t="inlineStr">
        <is>
          <t>SELL</t>
        </is>
      </c>
      <c r="E590" t="inlineStr">
        <is>
          <t>No</t>
        </is>
      </c>
      <c r="F590" s="2" t="n">
        <v>0.969</v>
      </c>
      <c r="G590" s="6" t="n">
        <v>25.97</v>
      </c>
      <c r="H590" s="6">
        <f>F590*G590</f>
        <v/>
      </c>
      <c r="I590">
        <f>_xlfn.XLOOKUP(A590,MktTitle,MktCat,"n/a")</f>
        <v/>
      </c>
      <c r="J590" s="3">
        <f>_xlfn.XLOOKUP(A590,MktTitle,MktTotVol,0)</f>
        <v/>
      </c>
      <c r="K590">
        <f>IF(H590&gt;WhaleThreshold,"WHALE","")</f>
        <v/>
      </c>
    </row>
    <row r="591">
      <c r="A591" t="inlineStr">
        <is>
          <t>Will Mexico win the 2026 FIFA World Cup?</t>
        </is>
      </c>
      <c r="B591" s="4" t="n">
        <v>46205</v>
      </c>
      <c r="C591" s="5" t="n">
        <v>46205.96285879629</v>
      </c>
      <c r="D591" t="inlineStr">
        <is>
          <t>SELL</t>
        </is>
      </c>
      <c r="E591" t="inlineStr">
        <is>
          <t>No</t>
        </is>
      </c>
      <c r="F591" s="2" t="n">
        <v>0.969</v>
      </c>
      <c r="G591" s="6" t="n">
        <v>7.1</v>
      </c>
      <c r="H591" s="6">
        <f>F591*G591</f>
        <v/>
      </c>
      <c r="I591">
        <f>_xlfn.XLOOKUP(A591,MktTitle,MktCat,"n/a")</f>
        <v/>
      </c>
      <c r="J591" s="3">
        <f>_xlfn.XLOOKUP(A591,MktTitle,MktTotVol,0)</f>
        <v/>
      </c>
      <c r="K591">
        <f>IF(H591&gt;WhaleThreshold,"WHALE","")</f>
        <v/>
      </c>
    </row>
    <row r="592">
      <c r="A592" t="inlineStr">
        <is>
          <t>Will Mexico win the 2026 FIFA World Cup?</t>
        </is>
      </c>
      <c r="B592" s="4" t="n">
        <v>46205</v>
      </c>
      <c r="C592" s="5" t="n">
        <v>46205.96282407407</v>
      </c>
      <c r="D592" t="inlineStr">
        <is>
          <t>SELL</t>
        </is>
      </c>
      <c r="E592" t="inlineStr">
        <is>
          <t>No</t>
        </is>
      </c>
      <c r="F592" s="2" t="n">
        <v>0.969</v>
      </c>
      <c r="G592" s="6" t="n">
        <v>17.09</v>
      </c>
      <c r="H592" s="6">
        <f>F592*G592</f>
        <v/>
      </c>
      <c r="I592">
        <f>_xlfn.XLOOKUP(A592,MktTitle,MktCat,"n/a")</f>
        <v/>
      </c>
      <c r="J592" s="3">
        <f>_xlfn.XLOOKUP(A592,MktTitle,MktTotVol,0)</f>
        <v/>
      </c>
      <c r="K592">
        <f>IF(H592&gt;WhaleThreshold,"WHALE","")</f>
        <v/>
      </c>
    </row>
    <row r="593">
      <c r="A593" t="inlineStr">
        <is>
          <t>Will Mexico win the 2026 FIFA World Cup?</t>
        </is>
      </c>
      <c r="B593" s="4" t="n">
        <v>46205</v>
      </c>
      <c r="C593" s="5" t="n">
        <v>46205.96280092592</v>
      </c>
      <c r="D593" t="inlineStr">
        <is>
          <t>SELL</t>
        </is>
      </c>
      <c r="E593" t="inlineStr">
        <is>
          <t>No</t>
        </is>
      </c>
      <c r="F593" s="2" t="n">
        <v>0.969</v>
      </c>
      <c r="G593" s="6" t="n">
        <v>31.3</v>
      </c>
      <c r="H593" s="6">
        <f>F593*G593</f>
        <v/>
      </c>
      <c r="I593">
        <f>_xlfn.XLOOKUP(A593,MktTitle,MktCat,"n/a")</f>
        <v/>
      </c>
      <c r="J593" s="3">
        <f>_xlfn.XLOOKUP(A593,MktTitle,MktTotVol,0)</f>
        <v/>
      </c>
      <c r="K593">
        <f>IF(H593&gt;WhaleThreshold,"WHALE","")</f>
        <v/>
      </c>
    </row>
    <row r="594">
      <c r="A594" t="inlineStr">
        <is>
          <t>Will Mexico win the 2026 FIFA World Cup?</t>
        </is>
      </c>
      <c r="B594" s="4" t="n">
        <v>46205</v>
      </c>
      <c r="C594" s="5" t="n">
        <v>46205.96280092592</v>
      </c>
      <c r="D594" t="inlineStr">
        <is>
          <t>SELL</t>
        </is>
      </c>
      <c r="E594" t="inlineStr">
        <is>
          <t>No</t>
        </is>
      </c>
      <c r="F594" s="2" t="n">
        <v>0.969</v>
      </c>
      <c r="G594" s="6" t="n">
        <v>12.63</v>
      </c>
      <c r="H594" s="6">
        <f>F594*G594</f>
        <v/>
      </c>
      <c r="I594">
        <f>_xlfn.XLOOKUP(A594,MktTitle,MktCat,"n/a")</f>
        <v/>
      </c>
      <c r="J594" s="3">
        <f>_xlfn.XLOOKUP(A594,MktTitle,MktTotVol,0)</f>
        <v/>
      </c>
      <c r="K594">
        <f>IF(H594&gt;WhaleThreshold,"WHALE","")</f>
        <v/>
      </c>
    </row>
    <row r="595">
      <c r="A595" t="inlineStr">
        <is>
          <t>Will Mexico win the 2026 FIFA World Cup?</t>
        </is>
      </c>
      <c r="B595" s="4" t="n">
        <v>46205</v>
      </c>
      <c r="C595" s="5" t="n">
        <v>46205.9627662037</v>
      </c>
      <c r="D595" t="inlineStr">
        <is>
          <t>SELL</t>
        </is>
      </c>
      <c r="E595" t="inlineStr">
        <is>
          <t>No</t>
        </is>
      </c>
      <c r="F595" s="2" t="n">
        <v>0.969</v>
      </c>
      <c r="G595" s="6" t="n">
        <v>20.99</v>
      </c>
      <c r="H595" s="6">
        <f>F595*G595</f>
        <v/>
      </c>
      <c r="I595">
        <f>_xlfn.XLOOKUP(A595,MktTitle,MktCat,"n/a")</f>
        <v/>
      </c>
      <c r="J595" s="3">
        <f>_xlfn.XLOOKUP(A595,MktTitle,MktTotVol,0)</f>
        <v/>
      </c>
      <c r="K595">
        <f>IF(H595&gt;WhaleThreshold,"WHALE","")</f>
        <v/>
      </c>
    </row>
    <row r="596">
      <c r="A596" t="inlineStr">
        <is>
          <t>Will Mexico win the 2026 FIFA World Cup?</t>
        </is>
      </c>
      <c r="B596" s="4" t="n">
        <v>46205</v>
      </c>
      <c r="C596" s="5" t="n">
        <v>46205.96275462963</v>
      </c>
      <c r="D596" t="inlineStr">
        <is>
          <t>SELL</t>
        </is>
      </c>
      <c r="E596" t="inlineStr">
        <is>
          <t>No</t>
        </is>
      </c>
      <c r="F596" s="2" t="n">
        <v>0.969</v>
      </c>
      <c r="G596" s="6" t="n">
        <v>20.99</v>
      </c>
      <c r="H596" s="6">
        <f>F596*G596</f>
        <v/>
      </c>
      <c r="I596">
        <f>_xlfn.XLOOKUP(A596,MktTitle,MktCat,"n/a")</f>
        <v/>
      </c>
      <c r="J596" s="3">
        <f>_xlfn.XLOOKUP(A596,MktTitle,MktTotVol,0)</f>
        <v/>
      </c>
      <c r="K596">
        <f>IF(H596&gt;WhaleThreshold,"WHALE","")</f>
        <v/>
      </c>
    </row>
    <row r="597">
      <c r="A597" t="inlineStr">
        <is>
          <t>Will Mexico win the 2026 FIFA World Cup?</t>
        </is>
      </c>
      <c r="B597" s="4" t="n">
        <v>46205</v>
      </c>
      <c r="C597" s="5" t="n">
        <v>46205.96275462963</v>
      </c>
      <c r="D597" t="inlineStr">
        <is>
          <t>BUY</t>
        </is>
      </c>
      <c r="E597" t="inlineStr">
        <is>
          <t>No</t>
        </is>
      </c>
      <c r="F597" s="2" t="n">
        <v>0.97</v>
      </c>
      <c r="G597" s="6" t="n">
        <v>50</v>
      </c>
      <c r="H597" s="6">
        <f>F597*G597</f>
        <v/>
      </c>
      <c r="I597">
        <f>_xlfn.XLOOKUP(A597,MktTitle,MktCat,"n/a")</f>
        <v/>
      </c>
      <c r="J597" s="3">
        <f>_xlfn.XLOOKUP(A597,MktTitle,MktTotVol,0)</f>
        <v/>
      </c>
      <c r="K597">
        <f>IF(H597&gt;WhaleThreshold,"WHALE","")</f>
        <v/>
      </c>
    </row>
    <row r="598">
      <c r="A598" t="inlineStr">
        <is>
          <t>Will Mexico win the 2026 FIFA World Cup?</t>
        </is>
      </c>
      <c r="B598" s="4" t="n">
        <v>46205</v>
      </c>
      <c r="C598" s="5" t="n">
        <v>46205.96273148148</v>
      </c>
      <c r="D598" t="inlineStr">
        <is>
          <t>SELL</t>
        </is>
      </c>
      <c r="E598" t="inlineStr">
        <is>
          <t>No</t>
        </is>
      </c>
      <c r="F598" s="2" t="n">
        <v>0.969</v>
      </c>
      <c r="G598" s="6" t="n">
        <v>25.97</v>
      </c>
      <c r="H598" s="6">
        <f>F598*G598</f>
        <v/>
      </c>
      <c r="I598">
        <f>_xlfn.XLOOKUP(A598,MktTitle,MktCat,"n/a")</f>
        <v/>
      </c>
      <c r="J598" s="3">
        <f>_xlfn.XLOOKUP(A598,MktTitle,MktTotVol,0)</f>
        <v/>
      </c>
      <c r="K598">
        <f>IF(H598&gt;WhaleThreshold,"WHALE","")</f>
        <v/>
      </c>
    </row>
    <row r="599">
      <c r="A599" t="inlineStr">
        <is>
          <t>Will Mexico win the 2026 FIFA World Cup?</t>
        </is>
      </c>
      <c r="B599" s="4" t="n">
        <v>46205</v>
      </c>
      <c r="C599" s="5" t="n">
        <v>46205.96273148148</v>
      </c>
      <c r="D599" t="inlineStr">
        <is>
          <t>SELL</t>
        </is>
      </c>
      <c r="E599" t="inlineStr">
        <is>
          <t>No</t>
        </is>
      </c>
      <c r="F599" s="2" t="n">
        <v>0.969</v>
      </c>
      <c r="G599" s="6" t="n">
        <v>25.66</v>
      </c>
      <c r="H599" s="6">
        <f>F599*G599</f>
        <v/>
      </c>
      <c r="I599">
        <f>_xlfn.XLOOKUP(A599,MktTitle,MktCat,"n/a")</f>
        <v/>
      </c>
      <c r="J599" s="3">
        <f>_xlfn.XLOOKUP(A599,MktTitle,MktTotVol,0)</f>
        <v/>
      </c>
      <c r="K599">
        <f>IF(H599&gt;WhaleThreshold,"WHALE","")</f>
        <v/>
      </c>
    </row>
    <row r="600">
      <c r="A600" t="inlineStr">
        <is>
          <t>Will Mexico win the 2026 FIFA World Cup?</t>
        </is>
      </c>
      <c r="B600" s="4" t="n">
        <v>46205</v>
      </c>
      <c r="C600" s="5" t="n">
        <v>46205.96271990741</v>
      </c>
      <c r="D600" t="inlineStr">
        <is>
          <t>SELL</t>
        </is>
      </c>
      <c r="E600" t="inlineStr">
        <is>
          <t>No</t>
        </is>
      </c>
      <c r="F600" s="2" t="n">
        <v>0.969</v>
      </c>
      <c r="G600" s="6" t="n">
        <v>25.7</v>
      </c>
      <c r="H600" s="6">
        <f>F600*G600</f>
        <v/>
      </c>
      <c r="I600">
        <f>_xlfn.XLOOKUP(A600,MktTitle,MktCat,"n/a")</f>
        <v/>
      </c>
      <c r="J600" s="3">
        <f>_xlfn.XLOOKUP(A600,MktTitle,MktTotVol,0)</f>
        <v/>
      </c>
      <c r="K600">
        <f>IF(H600&gt;WhaleThreshold,"WHALE","")</f>
        <v/>
      </c>
    </row>
    <row r="601">
      <c r="A601" t="inlineStr">
        <is>
          <t>Will Mexico win the 2026 FIFA World Cup?</t>
        </is>
      </c>
      <c r="B601" s="4" t="n">
        <v>46205</v>
      </c>
      <c r="C601" s="5" t="n">
        <v>46205.96269675926</v>
      </c>
      <c r="D601" t="inlineStr">
        <is>
          <t>SELL</t>
        </is>
      </c>
      <c r="E601" t="inlineStr">
        <is>
          <t>No</t>
        </is>
      </c>
      <c r="F601" s="2" t="n">
        <v>0.969</v>
      </c>
      <c r="G601" s="6" t="n">
        <v>21.62</v>
      </c>
      <c r="H601" s="6">
        <f>F601*G601</f>
        <v/>
      </c>
      <c r="I601">
        <f>_xlfn.XLOOKUP(A601,MktTitle,MktCat,"n/a")</f>
        <v/>
      </c>
      <c r="J601" s="3">
        <f>_xlfn.XLOOKUP(A601,MktTitle,MktTotVol,0)</f>
        <v/>
      </c>
      <c r="K601">
        <f>IF(H601&gt;WhaleThreshold,"WHALE","")</f>
        <v/>
      </c>
    </row>
    <row r="602">
      <c r="A602" t="inlineStr">
        <is>
          <t>Will Morocco win the 2026 FIFA World Cup?</t>
        </is>
      </c>
      <c r="B602" s="4" t="n">
        <v>46206</v>
      </c>
      <c r="C602" s="5" t="n">
        <v>46206.08509259259</v>
      </c>
      <c r="D602" t="inlineStr">
        <is>
          <t>SELL</t>
        </is>
      </c>
      <c r="E602" t="inlineStr">
        <is>
          <t>Yes</t>
        </is>
      </c>
      <c r="F602" s="2" t="n">
        <v>0.023</v>
      </c>
      <c r="G602" s="6" t="n">
        <v>500</v>
      </c>
      <c r="H602" s="6">
        <f>F602*G602</f>
        <v/>
      </c>
      <c r="I602">
        <f>_xlfn.XLOOKUP(A602,MktTitle,MktCat,"n/a")</f>
        <v/>
      </c>
      <c r="J602" s="3">
        <f>_xlfn.XLOOKUP(A602,MktTitle,MktTotVol,0)</f>
        <v/>
      </c>
      <c r="K602">
        <f>IF(H602&gt;WhaleThreshold,"WHALE","")</f>
        <v/>
      </c>
    </row>
    <row r="603">
      <c r="A603" t="inlineStr">
        <is>
          <t>Will Morocco win the 2026 FIFA World Cup?</t>
        </is>
      </c>
      <c r="B603" s="4" t="n">
        <v>46206</v>
      </c>
      <c r="C603" s="5" t="n">
        <v>46206.0821412037</v>
      </c>
      <c r="D603" t="inlineStr">
        <is>
          <t>BUY</t>
        </is>
      </c>
      <c r="E603" t="inlineStr">
        <is>
          <t>Yes</t>
        </is>
      </c>
      <c r="F603" s="2" t="n">
        <v>0.024</v>
      </c>
      <c r="G603" s="6" t="n">
        <v>890</v>
      </c>
      <c r="H603" s="6">
        <f>F603*G603</f>
        <v/>
      </c>
      <c r="I603">
        <f>_xlfn.XLOOKUP(A603,MktTitle,MktCat,"n/a")</f>
        <v/>
      </c>
      <c r="J603" s="3">
        <f>_xlfn.XLOOKUP(A603,MktTitle,MktTotVol,0)</f>
        <v/>
      </c>
      <c r="K603">
        <f>IF(H603&gt;WhaleThreshold,"WHALE","")</f>
        <v/>
      </c>
    </row>
    <row r="604">
      <c r="A604" t="inlineStr">
        <is>
          <t>Will Morocco win the 2026 FIFA World Cup?</t>
        </is>
      </c>
      <c r="B604" s="4" t="n">
        <v>46206</v>
      </c>
      <c r="C604" s="5" t="n">
        <v>46206.08155092593</v>
      </c>
      <c r="D604" t="inlineStr">
        <is>
          <t>SELL</t>
        </is>
      </c>
      <c r="E604" t="inlineStr">
        <is>
          <t>No</t>
        </is>
      </c>
      <c r="F604" s="2" t="n">
        <v>0.976</v>
      </c>
      <c r="G604" s="6" t="n">
        <v>51.93</v>
      </c>
      <c r="H604" s="6">
        <f>F604*G604</f>
        <v/>
      </c>
      <c r="I604">
        <f>_xlfn.XLOOKUP(A604,MktTitle,MktCat,"n/a")</f>
        <v/>
      </c>
      <c r="J604" s="3">
        <f>_xlfn.XLOOKUP(A604,MktTitle,MktTotVol,0)</f>
        <v/>
      </c>
      <c r="K604">
        <f>IF(H604&gt;WhaleThreshold,"WHALE","")</f>
        <v/>
      </c>
    </row>
    <row r="605">
      <c r="A605" t="inlineStr">
        <is>
          <t>Will Morocco win the 2026 FIFA World Cup?</t>
        </is>
      </c>
      <c r="B605" s="4" t="n">
        <v>46206</v>
      </c>
      <c r="C605" s="5" t="n">
        <v>46206.07950231482</v>
      </c>
      <c r="D605" t="inlineStr">
        <is>
          <t>SELL</t>
        </is>
      </c>
      <c r="E605" t="inlineStr">
        <is>
          <t>Yes</t>
        </is>
      </c>
      <c r="F605" s="2" t="n">
        <v>0.023</v>
      </c>
      <c r="G605" s="6" t="n">
        <v>4516.99</v>
      </c>
      <c r="H605" s="6">
        <f>F605*G605</f>
        <v/>
      </c>
      <c r="I605">
        <f>_xlfn.XLOOKUP(A605,MktTitle,MktCat,"n/a")</f>
        <v/>
      </c>
      <c r="J605" s="3">
        <f>_xlfn.XLOOKUP(A605,MktTitle,MktTotVol,0)</f>
        <v/>
      </c>
      <c r="K605">
        <f>IF(H605&gt;WhaleThreshold,"WHALE","")</f>
        <v/>
      </c>
    </row>
    <row r="606">
      <c r="A606" t="inlineStr">
        <is>
          <t>Will Morocco win the 2026 FIFA World Cup?</t>
        </is>
      </c>
      <c r="B606" s="4" t="n">
        <v>46206</v>
      </c>
      <c r="C606" s="5" t="n">
        <v>46206.07740740741</v>
      </c>
      <c r="D606" t="inlineStr">
        <is>
          <t>SELL</t>
        </is>
      </c>
      <c r="E606" t="inlineStr">
        <is>
          <t>Yes</t>
        </is>
      </c>
      <c r="F606" s="2" t="n">
        <v>0.023</v>
      </c>
      <c r="G606" s="6" t="n">
        <v>227.27</v>
      </c>
      <c r="H606" s="6">
        <f>F606*G606</f>
        <v/>
      </c>
      <c r="I606">
        <f>_xlfn.XLOOKUP(A606,MktTitle,MktCat,"n/a")</f>
        <v/>
      </c>
      <c r="J606" s="3">
        <f>_xlfn.XLOOKUP(A606,MktTitle,MktTotVol,0)</f>
        <v/>
      </c>
      <c r="K606">
        <f>IF(H606&gt;WhaleThreshold,"WHALE","")</f>
        <v/>
      </c>
    </row>
    <row r="607">
      <c r="A607" t="inlineStr">
        <is>
          <t>Will Morocco win the 2026 FIFA World Cup?</t>
        </is>
      </c>
      <c r="B607" s="4" t="n">
        <v>46206</v>
      </c>
      <c r="C607" s="5" t="n">
        <v>46206.07532407407</v>
      </c>
      <c r="D607" t="inlineStr">
        <is>
          <t>SELL</t>
        </is>
      </c>
      <c r="E607" t="inlineStr">
        <is>
          <t>Yes</t>
        </is>
      </c>
      <c r="F607" s="2" t="n">
        <v>0.023</v>
      </c>
      <c r="G607" s="6" t="n">
        <v>25.64</v>
      </c>
      <c r="H607" s="6">
        <f>F607*G607</f>
        <v/>
      </c>
      <c r="I607">
        <f>_xlfn.XLOOKUP(A607,MktTitle,MktCat,"n/a")</f>
        <v/>
      </c>
      <c r="J607" s="3">
        <f>_xlfn.XLOOKUP(A607,MktTitle,MktTotVol,0)</f>
        <v/>
      </c>
      <c r="K607">
        <f>IF(H607&gt;WhaleThreshold,"WHALE","")</f>
        <v/>
      </c>
    </row>
    <row r="608">
      <c r="A608" t="inlineStr">
        <is>
          <t>Will Morocco win the 2026 FIFA World Cup?</t>
        </is>
      </c>
      <c r="B608" s="4" t="n">
        <v>46206</v>
      </c>
      <c r="C608" s="5" t="n">
        <v>46206.07480324074</v>
      </c>
      <c r="D608" t="inlineStr">
        <is>
          <t>BUY</t>
        </is>
      </c>
      <c r="E608" t="inlineStr">
        <is>
          <t>Yes</t>
        </is>
      </c>
      <c r="F608" s="2" t="n">
        <v>0.024</v>
      </c>
      <c r="G608" s="6" t="n">
        <v>10000</v>
      </c>
      <c r="H608" s="6">
        <f>F608*G608</f>
        <v/>
      </c>
      <c r="I608">
        <f>_xlfn.XLOOKUP(A608,MktTitle,MktCat,"n/a")</f>
        <v/>
      </c>
      <c r="J608" s="3">
        <f>_xlfn.XLOOKUP(A608,MktTitle,MktTotVol,0)</f>
        <v/>
      </c>
      <c r="K608">
        <f>IF(H608&gt;WhaleThreshold,"WHALE","")</f>
        <v/>
      </c>
    </row>
    <row r="609">
      <c r="A609" t="inlineStr">
        <is>
          <t>Will Morocco win the 2026 FIFA World Cup?</t>
        </is>
      </c>
      <c r="B609" s="4" t="n">
        <v>46206</v>
      </c>
      <c r="C609" s="5" t="n">
        <v>46206.07408564815</v>
      </c>
      <c r="D609" t="inlineStr">
        <is>
          <t>BUY</t>
        </is>
      </c>
      <c r="E609" t="inlineStr">
        <is>
          <t>Yes</t>
        </is>
      </c>
      <c r="F609" s="2" t="n">
        <v>0.024</v>
      </c>
      <c r="G609" s="6" t="n">
        <v>41.6667</v>
      </c>
      <c r="H609" s="6">
        <f>F609*G609</f>
        <v/>
      </c>
      <c r="I609">
        <f>_xlfn.XLOOKUP(A609,MktTitle,MktCat,"n/a")</f>
        <v/>
      </c>
      <c r="J609" s="3">
        <f>_xlfn.XLOOKUP(A609,MktTitle,MktTotVol,0)</f>
        <v/>
      </c>
      <c r="K609">
        <f>IF(H609&gt;WhaleThreshold,"WHALE","")</f>
        <v/>
      </c>
    </row>
    <row r="610">
      <c r="A610" t="inlineStr">
        <is>
          <t>Will Morocco win the 2026 FIFA World Cup?</t>
        </is>
      </c>
      <c r="B610" s="4" t="n">
        <v>46206</v>
      </c>
      <c r="C610" s="5" t="n">
        <v>46206.07344907407</v>
      </c>
      <c r="D610" t="inlineStr">
        <is>
          <t>BUY</t>
        </is>
      </c>
      <c r="E610" t="inlineStr">
        <is>
          <t>No</t>
        </is>
      </c>
      <c r="F610" s="2" t="n">
        <v>0.977</v>
      </c>
      <c r="G610" s="6" t="n">
        <v>96</v>
      </c>
      <c r="H610" s="6">
        <f>F610*G610</f>
        <v/>
      </c>
      <c r="I610">
        <f>_xlfn.XLOOKUP(A610,MktTitle,MktCat,"n/a")</f>
        <v/>
      </c>
      <c r="J610" s="3">
        <f>_xlfn.XLOOKUP(A610,MktTitle,MktTotVol,0)</f>
        <v/>
      </c>
      <c r="K610">
        <f>IF(H610&gt;WhaleThreshold,"WHALE","")</f>
        <v/>
      </c>
    </row>
    <row r="611">
      <c r="A611" t="inlineStr">
        <is>
          <t>Will Morocco win the 2026 FIFA World Cup?</t>
        </is>
      </c>
      <c r="B611" s="4" t="n">
        <v>46206</v>
      </c>
      <c r="C611" s="5" t="n">
        <v>46206.07237268519</v>
      </c>
      <c r="D611" t="inlineStr">
        <is>
          <t>BUY</t>
        </is>
      </c>
      <c r="E611" t="inlineStr">
        <is>
          <t>Yes</t>
        </is>
      </c>
      <c r="F611" s="2" t="n">
        <v>0.024</v>
      </c>
      <c r="G611" s="6" t="n">
        <v>804.1667</v>
      </c>
      <c r="H611" s="6">
        <f>F611*G611</f>
        <v/>
      </c>
      <c r="I611">
        <f>_xlfn.XLOOKUP(A611,MktTitle,MktCat,"n/a")</f>
        <v/>
      </c>
      <c r="J611" s="3">
        <f>_xlfn.XLOOKUP(A611,MktTitle,MktTotVol,0)</f>
        <v/>
      </c>
      <c r="K611">
        <f>IF(H611&gt;WhaleThreshold,"WHALE","")</f>
        <v/>
      </c>
    </row>
    <row r="612">
      <c r="A612" t="inlineStr">
        <is>
          <t>Will Morocco win the 2026 FIFA World Cup?</t>
        </is>
      </c>
      <c r="B612" s="4" t="n">
        <v>46206</v>
      </c>
      <c r="C612" s="5" t="n">
        <v>46206.07106481482</v>
      </c>
      <c r="D612" t="inlineStr">
        <is>
          <t>BUY</t>
        </is>
      </c>
      <c r="E612" t="inlineStr">
        <is>
          <t>Yes</t>
        </is>
      </c>
      <c r="F612" s="2" t="n">
        <v>0.024</v>
      </c>
      <c r="G612" s="6" t="n">
        <v>20833.3333</v>
      </c>
      <c r="H612" s="6">
        <f>F612*G612</f>
        <v/>
      </c>
      <c r="I612">
        <f>_xlfn.XLOOKUP(A612,MktTitle,MktCat,"n/a")</f>
        <v/>
      </c>
      <c r="J612" s="3">
        <f>_xlfn.XLOOKUP(A612,MktTitle,MktTotVol,0)</f>
        <v/>
      </c>
      <c r="K612">
        <f>IF(H612&gt;WhaleThreshold,"WHALE","")</f>
        <v/>
      </c>
    </row>
    <row r="613">
      <c r="A613" t="inlineStr">
        <is>
          <t>Will Morocco win the 2026 FIFA World Cup?</t>
        </is>
      </c>
      <c r="B613" s="4" t="n">
        <v>46206</v>
      </c>
      <c r="C613" s="5" t="n">
        <v>46206.07103009259</v>
      </c>
      <c r="D613" t="inlineStr">
        <is>
          <t>BUY</t>
        </is>
      </c>
      <c r="E613" t="inlineStr">
        <is>
          <t>Yes</t>
        </is>
      </c>
      <c r="F613" s="2" t="n">
        <v>0.024</v>
      </c>
      <c r="G613" s="6" t="n">
        <v>125</v>
      </c>
      <c r="H613" s="6">
        <f>F613*G613</f>
        <v/>
      </c>
      <c r="I613">
        <f>_xlfn.XLOOKUP(A613,MktTitle,MktCat,"n/a")</f>
        <v/>
      </c>
      <c r="J613" s="3">
        <f>_xlfn.XLOOKUP(A613,MktTitle,MktTotVol,0)</f>
        <v/>
      </c>
      <c r="K613">
        <f>IF(H613&gt;WhaleThreshold,"WHALE","")</f>
        <v/>
      </c>
    </row>
    <row r="614">
      <c r="A614" t="inlineStr">
        <is>
          <t>Will Morocco win the 2026 FIFA World Cup?</t>
        </is>
      </c>
      <c r="B614" s="4" t="n">
        <v>46206</v>
      </c>
      <c r="C614" s="5" t="n">
        <v>46206.06953703704</v>
      </c>
      <c r="D614" t="inlineStr">
        <is>
          <t>SELL</t>
        </is>
      </c>
      <c r="E614" t="inlineStr">
        <is>
          <t>No</t>
        </is>
      </c>
      <c r="F614" s="2" t="n">
        <v>0.976</v>
      </c>
      <c r="G614" s="6" t="n">
        <v>38.62</v>
      </c>
      <c r="H614" s="6">
        <f>F614*G614</f>
        <v/>
      </c>
      <c r="I614">
        <f>_xlfn.XLOOKUP(A614,MktTitle,MktCat,"n/a")</f>
        <v/>
      </c>
      <c r="J614" s="3">
        <f>_xlfn.XLOOKUP(A614,MktTitle,MktTotVol,0)</f>
        <v/>
      </c>
      <c r="K614">
        <f>IF(H614&gt;WhaleThreshold,"WHALE","")</f>
        <v/>
      </c>
    </row>
    <row r="615">
      <c r="A615" t="inlineStr">
        <is>
          <t>Will Morocco win the 2026 FIFA World Cup?</t>
        </is>
      </c>
      <c r="B615" s="4" t="n">
        <v>46206</v>
      </c>
      <c r="C615" s="5" t="n">
        <v>46206.06949074074</v>
      </c>
      <c r="D615" t="inlineStr">
        <is>
          <t>BUY</t>
        </is>
      </c>
      <c r="E615" t="inlineStr">
        <is>
          <t>Yes</t>
        </is>
      </c>
      <c r="F615" s="2" t="n">
        <v>0.024</v>
      </c>
      <c r="G615" s="6" t="n">
        <v>208.3333</v>
      </c>
      <c r="H615" s="6">
        <f>F615*G615</f>
        <v/>
      </c>
      <c r="I615">
        <f>_xlfn.XLOOKUP(A615,MktTitle,MktCat,"n/a")</f>
        <v/>
      </c>
      <c r="J615" s="3">
        <f>_xlfn.XLOOKUP(A615,MktTitle,MktTotVol,0)</f>
        <v/>
      </c>
      <c r="K615">
        <f>IF(H615&gt;WhaleThreshold,"WHALE","")</f>
        <v/>
      </c>
    </row>
    <row r="616">
      <c r="A616" t="inlineStr">
        <is>
          <t>Will Morocco win the 2026 FIFA World Cup?</t>
        </is>
      </c>
      <c r="B616" s="4" t="n">
        <v>46206</v>
      </c>
      <c r="C616" s="5" t="n">
        <v>46206.06946759259</v>
      </c>
      <c r="D616" t="inlineStr">
        <is>
          <t>SELL</t>
        </is>
      </c>
      <c r="E616" t="inlineStr">
        <is>
          <t>No</t>
        </is>
      </c>
      <c r="F616" s="2" t="n">
        <v>0.976</v>
      </c>
      <c r="G616" s="6" t="n">
        <v>68.48</v>
      </c>
      <c r="H616" s="6">
        <f>F616*G616</f>
        <v/>
      </c>
      <c r="I616">
        <f>_xlfn.XLOOKUP(A616,MktTitle,MktCat,"n/a")</f>
        <v/>
      </c>
      <c r="J616" s="3">
        <f>_xlfn.XLOOKUP(A616,MktTitle,MktTotVol,0)</f>
        <v/>
      </c>
      <c r="K616">
        <f>IF(H616&gt;WhaleThreshold,"WHALE","")</f>
        <v/>
      </c>
    </row>
    <row r="617">
      <c r="A617" t="inlineStr">
        <is>
          <t>Will Morocco win the 2026 FIFA World Cup?</t>
        </is>
      </c>
      <c r="B617" s="4" t="n">
        <v>46206</v>
      </c>
      <c r="C617" s="5" t="n">
        <v>46206.0687962963</v>
      </c>
      <c r="D617" t="inlineStr">
        <is>
          <t>SELL</t>
        </is>
      </c>
      <c r="E617" t="inlineStr">
        <is>
          <t>No</t>
        </is>
      </c>
      <c r="F617" s="2" t="n">
        <v>0.976</v>
      </c>
      <c r="G617" s="6" t="n">
        <v>49.33</v>
      </c>
      <c r="H617" s="6">
        <f>F617*G617</f>
        <v/>
      </c>
      <c r="I617">
        <f>_xlfn.XLOOKUP(A617,MktTitle,MktCat,"n/a")</f>
        <v/>
      </c>
      <c r="J617" s="3">
        <f>_xlfn.XLOOKUP(A617,MktTitle,MktTotVol,0)</f>
        <v/>
      </c>
      <c r="K617">
        <f>IF(H617&gt;WhaleThreshold,"WHALE","")</f>
        <v/>
      </c>
    </row>
    <row r="618">
      <c r="A618" t="inlineStr">
        <is>
          <t>Will Morocco win the 2026 FIFA World Cup?</t>
        </is>
      </c>
      <c r="B618" s="4" t="n">
        <v>46206</v>
      </c>
      <c r="C618" s="5" t="n">
        <v>46206.06793981481</v>
      </c>
      <c r="D618" t="inlineStr">
        <is>
          <t>BUY</t>
        </is>
      </c>
      <c r="E618" t="inlineStr">
        <is>
          <t>Yes</t>
        </is>
      </c>
      <c r="F618" s="2" t="n">
        <v>0.024</v>
      </c>
      <c r="G618" s="6" t="n">
        <v>5000</v>
      </c>
      <c r="H618" s="6">
        <f>F618*G618</f>
        <v/>
      </c>
      <c r="I618">
        <f>_xlfn.XLOOKUP(A618,MktTitle,MktCat,"n/a")</f>
        <v/>
      </c>
      <c r="J618" s="3">
        <f>_xlfn.XLOOKUP(A618,MktTitle,MktTotVol,0)</f>
        <v/>
      </c>
      <c r="K618">
        <f>IF(H618&gt;WhaleThreshold,"WHALE","")</f>
        <v/>
      </c>
    </row>
    <row r="619">
      <c r="A619" t="inlineStr">
        <is>
          <t>Will Morocco win the 2026 FIFA World Cup?</t>
        </is>
      </c>
      <c r="B619" s="4" t="n">
        <v>46206</v>
      </c>
      <c r="C619" s="5" t="n">
        <v>46206.06450231482</v>
      </c>
      <c r="D619" t="inlineStr">
        <is>
          <t>BUY</t>
        </is>
      </c>
      <c r="E619" t="inlineStr">
        <is>
          <t>Yes</t>
        </is>
      </c>
      <c r="F619" s="2" t="n">
        <v>0.024</v>
      </c>
      <c r="G619" s="6" t="n">
        <v>833.3333</v>
      </c>
      <c r="H619" s="6">
        <f>F619*G619</f>
        <v/>
      </c>
      <c r="I619">
        <f>_xlfn.XLOOKUP(A619,MktTitle,MktCat,"n/a")</f>
        <v/>
      </c>
      <c r="J619" s="3">
        <f>_xlfn.XLOOKUP(A619,MktTitle,MktTotVol,0)</f>
        <v/>
      </c>
      <c r="K619">
        <f>IF(H619&gt;WhaleThreshold,"WHALE","")</f>
        <v/>
      </c>
    </row>
    <row r="620">
      <c r="A620" t="inlineStr">
        <is>
          <t>Will Morocco win the 2026 FIFA World Cup?</t>
        </is>
      </c>
      <c r="B620" s="4" t="n">
        <v>46206</v>
      </c>
      <c r="C620" s="5" t="n">
        <v>46206.0633912037</v>
      </c>
      <c r="D620" t="inlineStr">
        <is>
          <t>BUY</t>
        </is>
      </c>
      <c r="E620" t="inlineStr">
        <is>
          <t>Yes</t>
        </is>
      </c>
      <c r="F620" s="2" t="n">
        <v>0.024</v>
      </c>
      <c r="G620" s="6" t="n">
        <v>10416.6667</v>
      </c>
      <c r="H620" s="6">
        <f>F620*G620</f>
        <v/>
      </c>
      <c r="I620">
        <f>_xlfn.XLOOKUP(A620,MktTitle,MktCat,"n/a")</f>
        <v/>
      </c>
      <c r="J620" s="3">
        <f>_xlfn.XLOOKUP(A620,MktTitle,MktTotVol,0)</f>
        <v/>
      </c>
      <c r="K620">
        <f>IF(H620&gt;WhaleThreshold,"WHALE","")</f>
        <v/>
      </c>
    </row>
    <row r="621">
      <c r="A621" t="inlineStr">
        <is>
          <t>Will Morocco win the 2026 FIFA World Cup?</t>
        </is>
      </c>
      <c r="B621" s="4" t="n">
        <v>46206</v>
      </c>
      <c r="C621" s="5" t="n">
        <v>46206.06325231482</v>
      </c>
      <c r="D621" t="inlineStr">
        <is>
          <t>BUY</t>
        </is>
      </c>
      <c r="E621" t="inlineStr">
        <is>
          <t>Yes</t>
        </is>
      </c>
      <c r="F621" s="2" t="n">
        <v>0.024</v>
      </c>
      <c r="G621" s="6" t="n">
        <v>416.6667</v>
      </c>
      <c r="H621" s="6">
        <f>F621*G621</f>
        <v/>
      </c>
      <c r="I621">
        <f>_xlfn.XLOOKUP(A621,MktTitle,MktCat,"n/a")</f>
        <v/>
      </c>
      <c r="J621" s="3">
        <f>_xlfn.XLOOKUP(A621,MktTitle,MktTotVol,0)</f>
        <v/>
      </c>
      <c r="K621">
        <f>IF(H621&gt;WhaleThreshold,"WHALE","")</f>
        <v/>
      </c>
    </row>
    <row r="622">
      <c r="A622" t="inlineStr">
        <is>
          <t>Will Morocco win the 2026 FIFA World Cup?</t>
        </is>
      </c>
      <c r="B622" s="4" t="n">
        <v>46206</v>
      </c>
      <c r="C622" s="5" t="n">
        <v>46206.06299768519</v>
      </c>
      <c r="D622" t="inlineStr">
        <is>
          <t>SELL</t>
        </is>
      </c>
      <c r="E622" t="inlineStr">
        <is>
          <t>No</t>
        </is>
      </c>
      <c r="F622" s="2" t="n">
        <v>0.976</v>
      </c>
      <c r="G622" s="6" t="n">
        <v>37.68</v>
      </c>
      <c r="H622" s="6">
        <f>F622*G622</f>
        <v/>
      </c>
      <c r="I622">
        <f>_xlfn.XLOOKUP(A622,MktTitle,MktCat,"n/a")</f>
        <v/>
      </c>
      <c r="J622" s="3">
        <f>_xlfn.XLOOKUP(A622,MktTitle,MktTotVol,0)</f>
        <v/>
      </c>
      <c r="K622">
        <f>IF(H622&gt;WhaleThreshold,"WHALE","")</f>
        <v/>
      </c>
    </row>
    <row r="623">
      <c r="A623" t="inlineStr">
        <is>
          <t>Will Morocco win the 2026 FIFA World Cup?</t>
        </is>
      </c>
      <c r="B623" s="4" t="n">
        <v>46206</v>
      </c>
      <c r="C623" s="5" t="n">
        <v>46206.06248842592</v>
      </c>
      <c r="D623" t="inlineStr">
        <is>
          <t>SELL</t>
        </is>
      </c>
      <c r="E623" t="inlineStr">
        <is>
          <t>Yes</t>
        </is>
      </c>
      <c r="F623" s="2" t="n">
        <v>0.023</v>
      </c>
      <c r="G623" s="6" t="n">
        <v>14999.74</v>
      </c>
      <c r="H623" s="6">
        <f>F623*G623</f>
        <v/>
      </c>
      <c r="I623">
        <f>_xlfn.XLOOKUP(A623,MktTitle,MktCat,"n/a")</f>
        <v/>
      </c>
      <c r="J623" s="3">
        <f>_xlfn.XLOOKUP(A623,MktTitle,MktTotVol,0)</f>
        <v/>
      </c>
      <c r="K623">
        <f>IF(H623&gt;WhaleThreshold,"WHALE","")</f>
        <v/>
      </c>
    </row>
    <row r="624">
      <c r="A624" t="inlineStr">
        <is>
          <t>Will Morocco win the 2026 FIFA World Cup?</t>
        </is>
      </c>
      <c r="B624" s="4" t="n">
        <v>46206</v>
      </c>
      <c r="C624" s="5" t="n">
        <v>46206.06046296296</v>
      </c>
      <c r="D624" t="inlineStr">
        <is>
          <t>BUY</t>
        </is>
      </c>
      <c r="E624" t="inlineStr">
        <is>
          <t>No</t>
        </is>
      </c>
      <c r="F624" s="2" t="n">
        <v>0.977</v>
      </c>
      <c r="G624" s="6" t="n">
        <v>38</v>
      </c>
      <c r="H624" s="6">
        <f>F624*G624</f>
        <v/>
      </c>
      <c r="I624">
        <f>_xlfn.XLOOKUP(A624,MktTitle,MktCat,"n/a")</f>
        <v/>
      </c>
      <c r="J624" s="3">
        <f>_xlfn.XLOOKUP(A624,MktTitle,MktTotVol,0)</f>
        <v/>
      </c>
      <c r="K624">
        <f>IF(H624&gt;WhaleThreshold,"WHALE","")</f>
        <v/>
      </c>
    </row>
    <row r="625">
      <c r="A625" t="inlineStr">
        <is>
          <t>Will Morocco win the 2026 FIFA World Cup?</t>
        </is>
      </c>
      <c r="B625" s="4" t="n">
        <v>46206</v>
      </c>
      <c r="C625" s="5" t="n">
        <v>46206.05931712963</v>
      </c>
      <c r="D625" t="inlineStr">
        <is>
          <t>SELL</t>
        </is>
      </c>
      <c r="E625" t="inlineStr">
        <is>
          <t>No</t>
        </is>
      </c>
      <c r="F625" s="2" t="n">
        <v>0.976</v>
      </c>
      <c r="G625" s="6" t="n">
        <v>36.26</v>
      </c>
      <c r="H625" s="6">
        <f>F625*G625</f>
        <v/>
      </c>
      <c r="I625">
        <f>_xlfn.XLOOKUP(A625,MktTitle,MktCat,"n/a")</f>
        <v/>
      </c>
      <c r="J625" s="3">
        <f>_xlfn.XLOOKUP(A625,MktTitle,MktTotVol,0)</f>
        <v/>
      </c>
      <c r="K625">
        <f>IF(H625&gt;WhaleThreshold,"WHALE","")</f>
        <v/>
      </c>
    </row>
    <row r="626">
      <c r="A626" t="inlineStr">
        <is>
          <t>Will Morocco win the 2026 FIFA World Cup?</t>
        </is>
      </c>
      <c r="B626" s="4" t="n">
        <v>46206</v>
      </c>
      <c r="C626" s="5" t="n">
        <v>46206.05668981482</v>
      </c>
      <c r="D626" t="inlineStr">
        <is>
          <t>SELL</t>
        </is>
      </c>
      <c r="E626" t="inlineStr">
        <is>
          <t>No</t>
        </is>
      </c>
      <c r="F626" s="2" t="n">
        <v>0.976</v>
      </c>
      <c r="G626" s="6" t="n">
        <v>111.28</v>
      </c>
      <c r="H626" s="6">
        <f>F626*G626</f>
        <v/>
      </c>
      <c r="I626">
        <f>_xlfn.XLOOKUP(A626,MktTitle,MktCat,"n/a")</f>
        <v/>
      </c>
      <c r="J626" s="3">
        <f>_xlfn.XLOOKUP(A626,MktTitle,MktTotVol,0)</f>
        <v/>
      </c>
      <c r="K626">
        <f>IF(H626&gt;WhaleThreshold,"WHALE","")</f>
        <v/>
      </c>
    </row>
    <row r="627">
      <c r="A627" t="inlineStr">
        <is>
          <t>Will Morocco win the 2026 FIFA World Cup?</t>
        </is>
      </c>
      <c r="B627" s="4" t="n">
        <v>46206</v>
      </c>
      <c r="C627" s="5" t="n">
        <v>46206.05646990741</v>
      </c>
      <c r="D627" t="inlineStr">
        <is>
          <t>BUY</t>
        </is>
      </c>
      <c r="E627" t="inlineStr">
        <is>
          <t>Yes</t>
        </is>
      </c>
      <c r="F627" s="2" t="n">
        <v>0.024</v>
      </c>
      <c r="G627" s="6" t="n">
        <v>430.4167</v>
      </c>
      <c r="H627" s="6">
        <f>F627*G627</f>
        <v/>
      </c>
      <c r="I627">
        <f>_xlfn.XLOOKUP(A627,MktTitle,MktCat,"n/a")</f>
        <v/>
      </c>
      <c r="J627" s="3">
        <f>_xlfn.XLOOKUP(A627,MktTitle,MktTotVol,0)</f>
        <v/>
      </c>
      <c r="K627">
        <f>IF(H627&gt;WhaleThreshold,"WHALE","")</f>
        <v/>
      </c>
    </row>
    <row r="628">
      <c r="A628" t="inlineStr">
        <is>
          <t>Will Morocco win the 2026 FIFA World Cup?</t>
        </is>
      </c>
      <c r="B628" s="4" t="n">
        <v>46206</v>
      </c>
      <c r="C628" s="5" t="n">
        <v>46206.05634259259</v>
      </c>
      <c r="D628" t="inlineStr">
        <is>
          <t>BUY</t>
        </is>
      </c>
      <c r="E628" t="inlineStr">
        <is>
          <t>Yes</t>
        </is>
      </c>
      <c r="F628" s="2" t="n">
        <v>0.024</v>
      </c>
      <c r="G628" s="6" t="n">
        <v>545.8333</v>
      </c>
      <c r="H628" s="6">
        <f>F628*G628</f>
        <v/>
      </c>
      <c r="I628">
        <f>_xlfn.XLOOKUP(A628,MktTitle,MktCat,"n/a")</f>
        <v/>
      </c>
      <c r="J628" s="3">
        <f>_xlfn.XLOOKUP(A628,MktTitle,MktTotVol,0)</f>
        <v/>
      </c>
      <c r="K628">
        <f>IF(H628&gt;WhaleThreshold,"WHALE","")</f>
        <v/>
      </c>
    </row>
    <row r="629">
      <c r="A629" t="inlineStr">
        <is>
          <t>Will Morocco win the 2026 FIFA World Cup?</t>
        </is>
      </c>
      <c r="B629" s="4" t="n">
        <v>46206</v>
      </c>
      <c r="C629" s="5" t="n">
        <v>46206.05623842592</v>
      </c>
      <c r="D629" t="inlineStr">
        <is>
          <t>BUY</t>
        </is>
      </c>
      <c r="E629" t="inlineStr">
        <is>
          <t>Yes</t>
        </is>
      </c>
      <c r="F629" s="2" t="n">
        <v>0.024</v>
      </c>
      <c r="G629" s="6" t="n">
        <v>1460.8333</v>
      </c>
      <c r="H629" s="6">
        <f>F629*G629</f>
        <v/>
      </c>
      <c r="I629">
        <f>_xlfn.XLOOKUP(A629,MktTitle,MktCat,"n/a")</f>
        <v/>
      </c>
      <c r="J629" s="3">
        <f>_xlfn.XLOOKUP(A629,MktTitle,MktTotVol,0)</f>
        <v/>
      </c>
      <c r="K629">
        <f>IF(H629&gt;WhaleThreshold,"WHALE","")</f>
        <v/>
      </c>
    </row>
    <row r="630">
      <c r="A630" t="inlineStr">
        <is>
          <t>Will Morocco win the 2026 FIFA World Cup?</t>
        </is>
      </c>
      <c r="B630" s="4" t="n">
        <v>46206</v>
      </c>
      <c r="C630" s="5" t="n">
        <v>46206.05571759259</v>
      </c>
      <c r="D630" t="inlineStr">
        <is>
          <t>BUY</t>
        </is>
      </c>
      <c r="E630" t="inlineStr">
        <is>
          <t>Yes</t>
        </is>
      </c>
      <c r="F630" s="2" t="n">
        <v>0.024</v>
      </c>
      <c r="G630" s="6" t="n">
        <v>208.3333</v>
      </c>
      <c r="H630" s="6">
        <f>F630*G630</f>
        <v/>
      </c>
      <c r="I630">
        <f>_xlfn.XLOOKUP(A630,MktTitle,MktCat,"n/a")</f>
        <v/>
      </c>
      <c r="J630" s="3">
        <f>_xlfn.XLOOKUP(A630,MktTitle,MktTotVol,0)</f>
        <v/>
      </c>
      <c r="K630">
        <f>IF(H630&gt;WhaleThreshold,"WHALE","")</f>
        <v/>
      </c>
    </row>
    <row r="631">
      <c r="A631" t="inlineStr">
        <is>
          <t>Will Morocco win the 2026 FIFA World Cup?</t>
        </is>
      </c>
      <c r="B631" s="4" t="n">
        <v>46206</v>
      </c>
      <c r="C631" s="5" t="n">
        <v>46206.05467592592</v>
      </c>
      <c r="D631" t="inlineStr">
        <is>
          <t>BUY</t>
        </is>
      </c>
      <c r="E631" t="inlineStr">
        <is>
          <t>Yes</t>
        </is>
      </c>
      <c r="F631" s="2" t="n">
        <v>0.024</v>
      </c>
      <c r="G631" s="6" t="n">
        <v>625</v>
      </c>
      <c r="H631" s="6">
        <f>F631*G631</f>
        <v/>
      </c>
      <c r="I631">
        <f>_xlfn.XLOOKUP(A631,MktTitle,MktCat,"n/a")</f>
        <v/>
      </c>
      <c r="J631" s="3">
        <f>_xlfn.XLOOKUP(A631,MktTitle,MktTotVol,0)</f>
        <v/>
      </c>
      <c r="K631">
        <f>IF(H631&gt;WhaleThreshold,"WHALE","")</f>
        <v/>
      </c>
    </row>
    <row r="632">
      <c r="A632" t="inlineStr">
        <is>
          <t>Will Morocco win the 2026 FIFA World Cup?</t>
        </is>
      </c>
      <c r="B632" s="4" t="n">
        <v>46206</v>
      </c>
      <c r="C632" s="5" t="n">
        <v>46206.05452546296</v>
      </c>
      <c r="D632" t="inlineStr">
        <is>
          <t>BUY</t>
        </is>
      </c>
      <c r="E632" t="inlineStr">
        <is>
          <t>Yes</t>
        </is>
      </c>
      <c r="F632" s="2" t="n">
        <v>0.024</v>
      </c>
      <c r="G632" s="6" t="n">
        <v>103.3333</v>
      </c>
      <c r="H632" s="6">
        <f>F632*G632</f>
        <v/>
      </c>
      <c r="I632">
        <f>_xlfn.XLOOKUP(A632,MktTitle,MktCat,"n/a")</f>
        <v/>
      </c>
      <c r="J632" s="3">
        <f>_xlfn.XLOOKUP(A632,MktTitle,MktTotVol,0)</f>
        <v/>
      </c>
      <c r="K632">
        <f>IF(H632&gt;WhaleThreshold,"WHALE","")</f>
        <v/>
      </c>
    </row>
    <row r="633">
      <c r="A633" t="inlineStr">
        <is>
          <t>Will Morocco win the 2026 FIFA World Cup?</t>
        </is>
      </c>
      <c r="B633" s="4" t="n">
        <v>46206</v>
      </c>
      <c r="C633" s="5" t="n">
        <v>46206.05452546296</v>
      </c>
      <c r="D633" t="inlineStr">
        <is>
          <t>BUY</t>
        </is>
      </c>
      <c r="E633" t="inlineStr">
        <is>
          <t>Yes</t>
        </is>
      </c>
      <c r="F633" s="2" t="n">
        <v>0.024</v>
      </c>
      <c r="G633" s="6" t="n">
        <v>1000</v>
      </c>
      <c r="H633" s="6">
        <f>F633*G633</f>
        <v/>
      </c>
      <c r="I633">
        <f>_xlfn.XLOOKUP(A633,MktTitle,MktCat,"n/a")</f>
        <v/>
      </c>
      <c r="J633" s="3">
        <f>_xlfn.XLOOKUP(A633,MktTitle,MktTotVol,0)</f>
        <v/>
      </c>
      <c r="K633">
        <f>IF(H633&gt;WhaleThreshold,"WHALE","")</f>
        <v/>
      </c>
    </row>
    <row r="634">
      <c r="A634" t="inlineStr">
        <is>
          <t>Will Morocco win the 2026 FIFA World Cup?</t>
        </is>
      </c>
      <c r="B634" s="4" t="n">
        <v>46206</v>
      </c>
      <c r="C634" s="5" t="n">
        <v>46206.05445601852</v>
      </c>
      <c r="D634" t="inlineStr">
        <is>
          <t>BUY</t>
        </is>
      </c>
      <c r="E634" t="inlineStr">
        <is>
          <t>Yes</t>
        </is>
      </c>
      <c r="F634" s="2" t="n">
        <v>0.024</v>
      </c>
      <c r="G634" s="6" t="n">
        <v>2083.3333</v>
      </c>
      <c r="H634" s="6">
        <f>F634*G634</f>
        <v/>
      </c>
      <c r="I634">
        <f>_xlfn.XLOOKUP(A634,MktTitle,MktCat,"n/a")</f>
        <v/>
      </c>
      <c r="J634" s="3">
        <f>_xlfn.XLOOKUP(A634,MktTitle,MktTotVol,0)</f>
        <v/>
      </c>
      <c r="K634">
        <f>IF(H634&gt;WhaleThreshold,"WHALE","")</f>
        <v/>
      </c>
    </row>
    <row r="635">
      <c r="A635" t="inlineStr">
        <is>
          <t>Will Morocco win the 2026 FIFA World Cup?</t>
        </is>
      </c>
      <c r="B635" s="4" t="n">
        <v>46206</v>
      </c>
      <c r="C635" s="5" t="n">
        <v>46206.05424768518</v>
      </c>
      <c r="D635" t="inlineStr">
        <is>
          <t>SELL</t>
        </is>
      </c>
      <c r="E635" t="inlineStr">
        <is>
          <t>No</t>
        </is>
      </c>
      <c r="F635" s="2" t="n">
        <v>0.976</v>
      </c>
      <c r="G635" s="6" t="n">
        <v>102.35</v>
      </c>
      <c r="H635" s="6">
        <f>F635*G635</f>
        <v/>
      </c>
      <c r="I635">
        <f>_xlfn.XLOOKUP(A635,MktTitle,MktCat,"n/a")</f>
        <v/>
      </c>
      <c r="J635" s="3">
        <f>_xlfn.XLOOKUP(A635,MktTitle,MktTotVol,0)</f>
        <v/>
      </c>
      <c r="K635">
        <f>IF(H635&gt;WhaleThreshold,"WHALE","")</f>
        <v/>
      </c>
    </row>
    <row r="636">
      <c r="A636" t="inlineStr">
        <is>
          <t>Will Morocco win the 2026 FIFA World Cup?</t>
        </is>
      </c>
      <c r="B636" s="4" t="n">
        <v>46206</v>
      </c>
      <c r="C636" s="5" t="n">
        <v>46206.05401620371</v>
      </c>
      <c r="D636" t="inlineStr">
        <is>
          <t>BUY</t>
        </is>
      </c>
      <c r="E636" t="inlineStr">
        <is>
          <t>Yes</t>
        </is>
      </c>
      <c r="F636" s="2" t="n">
        <v>0.024</v>
      </c>
      <c r="G636" s="6" t="n">
        <v>295.03</v>
      </c>
      <c r="H636" s="6">
        <f>F636*G636</f>
        <v/>
      </c>
      <c r="I636">
        <f>_xlfn.XLOOKUP(A636,MktTitle,MktCat,"n/a")</f>
        <v/>
      </c>
      <c r="J636" s="3">
        <f>_xlfn.XLOOKUP(A636,MktTitle,MktTotVol,0)</f>
        <v/>
      </c>
      <c r="K636">
        <f>IF(H636&gt;WhaleThreshold,"WHALE","")</f>
        <v/>
      </c>
    </row>
    <row r="637">
      <c r="A637" t="inlineStr">
        <is>
          <t>Will Morocco win the 2026 FIFA World Cup?</t>
        </is>
      </c>
      <c r="B637" s="4" t="n">
        <v>46206</v>
      </c>
      <c r="C637" s="5" t="n">
        <v>46206.05369212963</v>
      </c>
      <c r="D637" t="inlineStr">
        <is>
          <t>BUY</t>
        </is>
      </c>
      <c r="E637" t="inlineStr">
        <is>
          <t>Yes</t>
        </is>
      </c>
      <c r="F637" s="2" t="n">
        <v>0.024</v>
      </c>
      <c r="G637" s="6" t="n">
        <v>4166.6667</v>
      </c>
      <c r="H637" s="6">
        <f>F637*G637</f>
        <v/>
      </c>
      <c r="I637">
        <f>_xlfn.XLOOKUP(A637,MktTitle,MktCat,"n/a")</f>
        <v/>
      </c>
      <c r="J637" s="3">
        <f>_xlfn.XLOOKUP(A637,MktTitle,MktTotVol,0)</f>
        <v/>
      </c>
      <c r="K637">
        <f>IF(H637&gt;WhaleThreshold,"WHALE","")</f>
        <v/>
      </c>
    </row>
    <row r="638">
      <c r="A638" t="inlineStr">
        <is>
          <t>Will Morocco win the 2026 FIFA World Cup?</t>
        </is>
      </c>
      <c r="B638" s="4" t="n">
        <v>46206</v>
      </c>
      <c r="C638" s="5" t="n">
        <v>46206.05358796296</v>
      </c>
      <c r="D638" t="inlineStr">
        <is>
          <t>BUY</t>
        </is>
      </c>
      <c r="E638" t="inlineStr">
        <is>
          <t>Yes</t>
        </is>
      </c>
      <c r="F638" s="2" t="n">
        <v>0.024</v>
      </c>
      <c r="G638" s="6" t="n">
        <v>41.6667</v>
      </c>
      <c r="H638" s="6">
        <f>F638*G638</f>
        <v/>
      </c>
      <c r="I638">
        <f>_xlfn.XLOOKUP(A638,MktTitle,MktCat,"n/a")</f>
        <v/>
      </c>
      <c r="J638" s="3">
        <f>_xlfn.XLOOKUP(A638,MktTitle,MktTotVol,0)</f>
        <v/>
      </c>
      <c r="K638">
        <f>IF(H638&gt;WhaleThreshold,"WHALE","")</f>
        <v/>
      </c>
    </row>
    <row r="639">
      <c r="A639" t="inlineStr">
        <is>
          <t>Will Morocco win the 2026 FIFA World Cup?</t>
        </is>
      </c>
      <c r="B639" s="4" t="n">
        <v>46206</v>
      </c>
      <c r="C639" s="5" t="n">
        <v>46206.05355324074</v>
      </c>
      <c r="D639" t="inlineStr">
        <is>
          <t>BUY</t>
        </is>
      </c>
      <c r="E639" t="inlineStr">
        <is>
          <t>Yes</t>
        </is>
      </c>
      <c r="F639" s="2" t="n">
        <v>0.024</v>
      </c>
      <c r="G639" s="6" t="n">
        <v>83.33329999999999</v>
      </c>
      <c r="H639" s="6">
        <f>F639*G639</f>
        <v/>
      </c>
      <c r="I639">
        <f>_xlfn.XLOOKUP(A639,MktTitle,MktCat,"n/a")</f>
        <v/>
      </c>
      <c r="J639" s="3">
        <f>_xlfn.XLOOKUP(A639,MktTitle,MktTotVol,0)</f>
        <v/>
      </c>
      <c r="K639">
        <f>IF(H639&gt;WhaleThreshold,"WHALE","")</f>
        <v/>
      </c>
    </row>
    <row r="640">
      <c r="A640" t="inlineStr">
        <is>
          <t>Will Morocco win the 2026 FIFA World Cup?</t>
        </is>
      </c>
      <c r="B640" s="4" t="n">
        <v>46206</v>
      </c>
      <c r="C640" s="5" t="n">
        <v>46206.05331018518</v>
      </c>
      <c r="D640" t="inlineStr">
        <is>
          <t>BUY</t>
        </is>
      </c>
      <c r="E640" t="inlineStr">
        <is>
          <t>No</t>
        </is>
      </c>
      <c r="F640" s="2" t="n">
        <v>0.977</v>
      </c>
      <c r="G640" s="6" t="n">
        <v>103</v>
      </c>
      <c r="H640" s="6">
        <f>F640*G640</f>
        <v/>
      </c>
      <c r="I640">
        <f>_xlfn.XLOOKUP(A640,MktTitle,MktCat,"n/a")</f>
        <v/>
      </c>
      <c r="J640" s="3">
        <f>_xlfn.XLOOKUP(A640,MktTitle,MktTotVol,0)</f>
        <v/>
      </c>
      <c r="K640">
        <f>IF(H640&gt;WhaleThreshold,"WHALE","")</f>
        <v/>
      </c>
    </row>
    <row r="641">
      <c r="A641" t="inlineStr">
        <is>
          <t>Will Morocco win the 2026 FIFA World Cup?</t>
        </is>
      </c>
      <c r="B641" s="4" t="n">
        <v>46206</v>
      </c>
      <c r="C641" s="5" t="n">
        <v>46206.05268518518</v>
      </c>
      <c r="D641" t="inlineStr">
        <is>
          <t>BUY</t>
        </is>
      </c>
      <c r="E641" t="inlineStr">
        <is>
          <t>Yes</t>
        </is>
      </c>
      <c r="F641" s="2" t="n">
        <v>0.024</v>
      </c>
      <c r="G641" s="6" t="n">
        <v>45.8333</v>
      </c>
      <c r="H641" s="6">
        <f>F641*G641</f>
        <v/>
      </c>
      <c r="I641">
        <f>_xlfn.XLOOKUP(A641,MktTitle,MktCat,"n/a")</f>
        <v/>
      </c>
      <c r="J641" s="3">
        <f>_xlfn.XLOOKUP(A641,MktTitle,MktTotVol,0)</f>
        <v/>
      </c>
      <c r="K641">
        <f>IF(H641&gt;WhaleThreshold,"WHALE","")</f>
        <v/>
      </c>
    </row>
    <row r="642">
      <c r="A642" t="inlineStr">
        <is>
          <t>Will Morocco win the 2026 FIFA World Cup?</t>
        </is>
      </c>
      <c r="B642" s="4" t="n">
        <v>46206</v>
      </c>
      <c r="C642" s="5" t="n">
        <v>46206.05247685185</v>
      </c>
      <c r="D642" t="inlineStr">
        <is>
          <t>BUY</t>
        </is>
      </c>
      <c r="E642" t="inlineStr">
        <is>
          <t>Yes</t>
        </is>
      </c>
      <c r="F642" s="2" t="n">
        <v>0.024</v>
      </c>
      <c r="G642" s="6" t="n">
        <v>41.6667</v>
      </c>
      <c r="H642" s="6">
        <f>F642*G642</f>
        <v/>
      </c>
      <c r="I642">
        <f>_xlfn.XLOOKUP(A642,MktTitle,MktCat,"n/a")</f>
        <v/>
      </c>
      <c r="J642" s="3">
        <f>_xlfn.XLOOKUP(A642,MktTitle,MktTotVol,0)</f>
        <v/>
      </c>
      <c r="K642">
        <f>IF(H642&gt;WhaleThreshold,"WHALE","")</f>
        <v/>
      </c>
    </row>
    <row r="643">
      <c r="A643" t="inlineStr">
        <is>
          <t>Will Morocco win the 2026 FIFA World Cup?</t>
        </is>
      </c>
      <c r="B643" s="4" t="n">
        <v>46206</v>
      </c>
      <c r="C643" s="5" t="n">
        <v>46206.05245370371</v>
      </c>
      <c r="D643" t="inlineStr">
        <is>
          <t>BUY</t>
        </is>
      </c>
      <c r="E643" t="inlineStr">
        <is>
          <t>Yes</t>
        </is>
      </c>
      <c r="F643" s="2" t="n">
        <v>0.024</v>
      </c>
      <c r="G643" s="6" t="n">
        <v>13125.4167</v>
      </c>
      <c r="H643" s="6">
        <f>F643*G643</f>
        <v/>
      </c>
      <c r="I643">
        <f>_xlfn.XLOOKUP(A643,MktTitle,MktCat,"n/a")</f>
        <v/>
      </c>
      <c r="J643" s="3">
        <f>_xlfn.XLOOKUP(A643,MktTitle,MktTotVol,0)</f>
        <v/>
      </c>
      <c r="K643">
        <f>IF(H643&gt;WhaleThreshold,"WHALE","")</f>
        <v/>
      </c>
    </row>
    <row r="644">
      <c r="A644" t="inlineStr">
        <is>
          <t>Will Morocco win the 2026 FIFA World Cup?</t>
        </is>
      </c>
      <c r="B644" s="4" t="n">
        <v>46206</v>
      </c>
      <c r="C644" s="5" t="n">
        <v>46206.05144675926</v>
      </c>
      <c r="D644" t="inlineStr">
        <is>
          <t>SELL</t>
        </is>
      </c>
      <c r="E644" t="inlineStr">
        <is>
          <t>Yes</t>
        </is>
      </c>
      <c r="F644" s="2" t="n">
        <v>0.023</v>
      </c>
      <c r="G644" s="6" t="n">
        <v>83.33</v>
      </c>
      <c r="H644" s="6">
        <f>F644*G644</f>
        <v/>
      </c>
      <c r="I644">
        <f>_xlfn.XLOOKUP(A644,MktTitle,MktCat,"n/a")</f>
        <v/>
      </c>
      <c r="J644" s="3">
        <f>_xlfn.XLOOKUP(A644,MktTitle,MktTotVol,0)</f>
        <v/>
      </c>
      <c r="K644">
        <f>IF(H644&gt;WhaleThreshold,"WHALE","")</f>
        <v/>
      </c>
    </row>
    <row r="645">
      <c r="A645" t="inlineStr">
        <is>
          <t>Will Morocco win the 2026 FIFA World Cup?</t>
        </is>
      </c>
      <c r="B645" s="4" t="n">
        <v>46206</v>
      </c>
      <c r="C645" s="5" t="n">
        <v>46206.05127314815</v>
      </c>
      <c r="D645" t="inlineStr">
        <is>
          <t>BUY</t>
        </is>
      </c>
      <c r="E645" t="inlineStr">
        <is>
          <t>Yes</t>
        </is>
      </c>
      <c r="F645" s="2" t="n">
        <v>0.024</v>
      </c>
      <c r="G645" s="6" t="n">
        <v>416.6667</v>
      </c>
      <c r="H645" s="6">
        <f>F645*G645</f>
        <v/>
      </c>
      <c r="I645">
        <f>_xlfn.XLOOKUP(A645,MktTitle,MktCat,"n/a")</f>
        <v/>
      </c>
      <c r="J645" s="3">
        <f>_xlfn.XLOOKUP(A645,MktTitle,MktTotVol,0)</f>
        <v/>
      </c>
      <c r="K645">
        <f>IF(H645&gt;WhaleThreshold,"WHALE","")</f>
        <v/>
      </c>
    </row>
    <row r="646">
      <c r="A646" t="inlineStr">
        <is>
          <t>Will Morocco win the 2026 FIFA World Cup?</t>
        </is>
      </c>
      <c r="B646" s="4" t="n">
        <v>46206</v>
      </c>
      <c r="C646" s="5" t="n">
        <v>46206.05123842593</v>
      </c>
      <c r="D646" t="inlineStr">
        <is>
          <t>BUY</t>
        </is>
      </c>
      <c r="E646" t="inlineStr">
        <is>
          <t>Yes</t>
        </is>
      </c>
      <c r="F646" s="2" t="n">
        <v>0.024</v>
      </c>
      <c r="G646" s="6" t="n">
        <v>2625</v>
      </c>
      <c r="H646" s="6">
        <f>F646*G646</f>
        <v/>
      </c>
      <c r="I646">
        <f>_xlfn.XLOOKUP(A646,MktTitle,MktCat,"n/a")</f>
        <v/>
      </c>
      <c r="J646" s="3">
        <f>_xlfn.XLOOKUP(A646,MktTitle,MktTotVol,0)</f>
        <v/>
      </c>
      <c r="K646">
        <f>IF(H646&gt;WhaleThreshold,"WHALE","")</f>
        <v/>
      </c>
    </row>
    <row r="647">
      <c r="A647" t="inlineStr">
        <is>
          <t>Will Morocco win the 2026 FIFA World Cup?</t>
        </is>
      </c>
      <c r="B647" s="4" t="n">
        <v>46206</v>
      </c>
      <c r="C647" s="5" t="n">
        <v>46206.05106481481</v>
      </c>
      <c r="D647" t="inlineStr">
        <is>
          <t>SELL</t>
        </is>
      </c>
      <c r="E647" t="inlineStr">
        <is>
          <t>No</t>
        </is>
      </c>
      <c r="F647" s="2" t="n">
        <v>0.976</v>
      </c>
      <c r="G647" s="6" t="n">
        <v>38.75</v>
      </c>
      <c r="H647" s="6">
        <f>F647*G647</f>
        <v/>
      </c>
      <c r="I647">
        <f>_xlfn.XLOOKUP(A647,MktTitle,MktCat,"n/a")</f>
        <v/>
      </c>
      <c r="J647" s="3">
        <f>_xlfn.XLOOKUP(A647,MktTitle,MktTotVol,0)</f>
        <v/>
      </c>
      <c r="K647">
        <f>IF(H647&gt;WhaleThreshold,"WHALE","")</f>
        <v/>
      </c>
    </row>
    <row r="648">
      <c r="A648" t="inlineStr">
        <is>
          <t>Will Morocco win the 2026 FIFA World Cup?</t>
        </is>
      </c>
      <c r="B648" s="4" t="n">
        <v>46206</v>
      </c>
      <c r="C648" s="5" t="n">
        <v>46206.04918981482</v>
      </c>
      <c r="D648" t="inlineStr">
        <is>
          <t>BUY</t>
        </is>
      </c>
      <c r="E648" t="inlineStr">
        <is>
          <t>Yes</t>
        </is>
      </c>
      <c r="F648" s="2" t="n">
        <v>0.024</v>
      </c>
      <c r="G648" s="6" t="n">
        <v>83.33329999999999</v>
      </c>
      <c r="H648" s="6">
        <f>F648*G648</f>
        <v/>
      </c>
      <c r="I648">
        <f>_xlfn.XLOOKUP(A648,MktTitle,MktCat,"n/a")</f>
        <v/>
      </c>
      <c r="J648" s="3">
        <f>_xlfn.XLOOKUP(A648,MktTitle,MktTotVol,0)</f>
        <v/>
      </c>
      <c r="K648">
        <f>IF(H648&gt;WhaleThreshold,"WHALE","")</f>
        <v/>
      </c>
    </row>
    <row r="649">
      <c r="A649" t="inlineStr">
        <is>
          <t>Will Morocco win the 2026 FIFA World Cup?</t>
        </is>
      </c>
      <c r="B649" s="4" t="n">
        <v>46206</v>
      </c>
      <c r="C649" s="5" t="n">
        <v>46206.04905092593</v>
      </c>
      <c r="D649" t="inlineStr">
        <is>
          <t>SELL</t>
        </is>
      </c>
      <c r="E649" t="inlineStr">
        <is>
          <t>Yes</t>
        </is>
      </c>
      <c r="F649" s="2" t="n">
        <v>0.023</v>
      </c>
      <c r="G649" s="6" t="n">
        <v>733.33</v>
      </c>
      <c r="H649" s="6">
        <f>F649*G649</f>
        <v/>
      </c>
      <c r="I649">
        <f>_xlfn.XLOOKUP(A649,MktTitle,MktCat,"n/a")</f>
        <v/>
      </c>
      <c r="J649" s="3">
        <f>_xlfn.XLOOKUP(A649,MktTitle,MktTotVol,0)</f>
        <v/>
      </c>
      <c r="K649">
        <f>IF(H649&gt;WhaleThreshold,"WHALE","")</f>
        <v/>
      </c>
    </row>
    <row r="650">
      <c r="A650" t="inlineStr">
        <is>
          <t>Will Morocco win the 2026 FIFA World Cup?</t>
        </is>
      </c>
      <c r="B650" s="4" t="n">
        <v>46206</v>
      </c>
      <c r="C650" s="5" t="n">
        <v>46206.04498842593</v>
      </c>
      <c r="D650" t="inlineStr">
        <is>
          <t>BUY</t>
        </is>
      </c>
      <c r="E650" t="inlineStr">
        <is>
          <t>No</t>
        </is>
      </c>
      <c r="F650" s="2" t="n">
        <v>0.977</v>
      </c>
      <c r="G650" s="6" t="n">
        <v>5</v>
      </c>
      <c r="H650" s="6">
        <f>F650*G650</f>
        <v/>
      </c>
      <c r="I650">
        <f>_xlfn.XLOOKUP(A650,MktTitle,MktCat,"n/a")</f>
        <v/>
      </c>
      <c r="J650" s="3">
        <f>_xlfn.XLOOKUP(A650,MktTitle,MktTotVol,0)</f>
        <v/>
      </c>
      <c r="K650">
        <f>IF(H650&gt;WhaleThreshold,"WHALE","")</f>
        <v/>
      </c>
    </row>
    <row r="651">
      <c r="A651" t="inlineStr">
        <is>
          <t>Will Morocco win the 2026 FIFA World Cup?</t>
        </is>
      </c>
      <c r="B651" s="4" t="n">
        <v>46206</v>
      </c>
      <c r="C651" s="5" t="n">
        <v>46206.04300925926</v>
      </c>
      <c r="D651" t="inlineStr">
        <is>
          <t>BUY</t>
        </is>
      </c>
      <c r="E651" t="inlineStr">
        <is>
          <t>Yes</t>
        </is>
      </c>
      <c r="F651" s="2" t="n">
        <v>0.024</v>
      </c>
      <c r="G651" s="6" t="n">
        <v>41.6667</v>
      </c>
      <c r="H651" s="6">
        <f>F651*G651</f>
        <v/>
      </c>
      <c r="I651">
        <f>_xlfn.XLOOKUP(A651,MktTitle,MktCat,"n/a")</f>
        <v/>
      </c>
      <c r="J651" s="3">
        <f>_xlfn.XLOOKUP(A651,MktTitle,MktTotVol,0)</f>
        <v/>
      </c>
      <c r="K651">
        <f>IF(H651&gt;WhaleThreshold,"WHALE","")</f>
        <v/>
      </c>
    </row>
    <row r="652">
      <c r="A652" t="inlineStr">
        <is>
          <t>Will Morocco win the 2026 FIFA World Cup?</t>
        </is>
      </c>
      <c r="B652" s="4" t="n">
        <v>46206</v>
      </c>
      <c r="C652" s="5" t="n">
        <v>46206.04241898148</v>
      </c>
      <c r="D652" t="inlineStr">
        <is>
          <t>SELL</t>
        </is>
      </c>
      <c r="E652" t="inlineStr">
        <is>
          <t>Yes</t>
        </is>
      </c>
      <c r="F652" s="2" t="n">
        <v>0.023</v>
      </c>
      <c r="G652" s="6" t="n">
        <v>400</v>
      </c>
      <c r="H652" s="6">
        <f>F652*G652</f>
        <v/>
      </c>
      <c r="I652">
        <f>_xlfn.XLOOKUP(A652,MktTitle,MktCat,"n/a")</f>
        <v/>
      </c>
      <c r="J652" s="3">
        <f>_xlfn.XLOOKUP(A652,MktTitle,MktTotVol,0)</f>
        <v/>
      </c>
      <c r="K652">
        <f>IF(H652&gt;WhaleThreshold,"WHALE","")</f>
        <v/>
      </c>
    </row>
    <row r="653">
      <c r="A653" t="inlineStr">
        <is>
          <t>Will Morocco win the 2026 FIFA World Cup?</t>
        </is>
      </c>
      <c r="B653" s="4" t="n">
        <v>46206</v>
      </c>
      <c r="C653" s="5" t="n">
        <v>46206.04056712963</v>
      </c>
      <c r="D653" t="inlineStr">
        <is>
          <t>SELL</t>
        </is>
      </c>
      <c r="E653" t="inlineStr">
        <is>
          <t>Yes</t>
        </is>
      </c>
      <c r="F653" s="2" t="n">
        <v>0.023</v>
      </c>
      <c r="G653" s="6" t="n">
        <v>260.57</v>
      </c>
      <c r="H653" s="6">
        <f>F653*G653</f>
        <v/>
      </c>
      <c r="I653">
        <f>_xlfn.XLOOKUP(A653,MktTitle,MktCat,"n/a")</f>
        <v/>
      </c>
      <c r="J653" s="3">
        <f>_xlfn.XLOOKUP(A653,MktTitle,MktTotVol,0)</f>
        <v/>
      </c>
      <c r="K653">
        <f>IF(H653&gt;WhaleThreshold,"WHALE","")</f>
        <v/>
      </c>
    </row>
    <row r="654">
      <c r="A654" t="inlineStr">
        <is>
          <t>Will Morocco win the 2026 FIFA World Cup?</t>
        </is>
      </c>
      <c r="B654" s="4" t="n">
        <v>46206</v>
      </c>
      <c r="C654" s="5" t="n">
        <v>46206.03994212963</v>
      </c>
      <c r="D654" t="inlineStr">
        <is>
          <t>BUY</t>
        </is>
      </c>
      <c r="E654" t="inlineStr">
        <is>
          <t>No</t>
        </is>
      </c>
      <c r="F654" s="2" t="n">
        <v>0.977</v>
      </c>
      <c r="G654" s="6" t="n">
        <v>30</v>
      </c>
      <c r="H654" s="6">
        <f>F654*G654</f>
        <v/>
      </c>
      <c r="I654">
        <f>_xlfn.XLOOKUP(A654,MktTitle,MktCat,"n/a")</f>
        <v/>
      </c>
      <c r="J654" s="3">
        <f>_xlfn.XLOOKUP(A654,MktTitle,MktTotVol,0)</f>
        <v/>
      </c>
      <c r="K654">
        <f>IF(H654&gt;WhaleThreshold,"WHALE","")</f>
        <v/>
      </c>
    </row>
    <row r="655">
      <c r="A655" t="inlineStr">
        <is>
          <t>Will Morocco win the 2026 FIFA World Cup?</t>
        </is>
      </c>
      <c r="B655" s="4" t="n">
        <v>46206</v>
      </c>
      <c r="C655" s="5" t="n">
        <v>46206.03994212963</v>
      </c>
      <c r="D655" t="inlineStr">
        <is>
          <t>SELL</t>
        </is>
      </c>
      <c r="E655" t="inlineStr">
        <is>
          <t>Yes</t>
        </is>
      </c>
      <c r="F655" s="2" t="n">
        <v>0.023</v>
      </c>
      <c r="G655" s="6" t="n">
        <v>50</v>
      </c>
      <c r="H655" s="6">
        <f>F655*G655</f>
        <v/>
      </c>
      <c r="I655">
        <f>_xlfn.XLOOKUP(A655,MktTitle,MktCat,"n/a")</f>
        <v/>
      </c>
      <c r="J655" s="3">
        <f>_xlfn.XLOOKUP(A655,MktTitle,MktTotVol,0)</f>
        <v/>
      </c>
      <c r="K655">
        <f>IF(H655&gt;WhaleThreshold,"WHALE","")</f>
        <v/>
      </c>
    </row>
    <row r="656">
      <c r="A656" t="inlineStr">
        <is>
          <t>Will Morocco win the 2026 FIFA World Cup?</t>
        </is>
      </c>
      <c r="B656" s="4" t="n">
        <v>46206</v>
      </c>
      <c r="C656" s="5" t="n">
        <v>46206.03915509259</v>
      </c>
      <c r="D656" t="inlineStr">
        <is>
          <t>SELL</t>
        </is>
      </c>
      <c r="E656" t="inlineStr">
        <is>
          <t>Yes</t>
        </is>
      </c>
      <c r="F656" s="2" t="n">
        <v>0.023</v>
      </c>
      <c r="G656" s="6" t="n">
        <v>166.67</v>
      </c>
      <c r="H656" s="6">
        <f>F656*G656</f>
        <v/>
      </c>
      <c r="I656">
        <f>_xlfn.XLOOKUP(A656,MktTitle,MktCat,"n/a")</f>
        <v/>
      </c>
      <c r="J656" s="3">
        <f>_xlfn.XLOOKUP(A656,MktTitle,MktTotVol,0)</f>
        <v/>
      </c>
      <c r="K656">
        <f>IF(H656&gt;WhaleThreshold,"WHALE","")</f>
        <v/>
      </c>
    </row>
    <row r="657">
      <c r="A657" t="inlineStr">
        <is>
          <t>Will Morocco win the 2026 FIFA World Cup?</t>
        </is>
      </c>
      <c r="B657" s="4" t="n">
        <v>46206</v>
      </c>
      <c r="C657" s="5" t="n">
        <v>46206.03849537037</v>
      </c>
      <c r="D657" t="inlineStr">
        <is>
          <t>BUY</t>
        </is>
      </c>
      <c r="E657" t="inlineStr">
        <is>
          <t>No</t>
        </is>
      </c>
      <c r="F657" s="2" t="n">
        <v>0.977</v>
      </c>
      <c r="G657" s="6" t="n">
        <v>115</v>
      </c>
      <c r="H657" s="6">
        <f>F657*G657</f>
        <v/>
      </c>
      <c r="I657">
        <f>_xlfn.XLOOKUP(A657,MktTitle,MktCat,"n/a")</f>
        <v/>
      </c>
      <c r="J657" s="3">
        <f>_xlfn.XLOOKUP(A657,MktTitle,MktTotVol,0)</f>
        <v/>
      </c>
      <c r="K657">
        <f>IF(H657&gt;WhaleThreshold,"WHALE","")</f>
        <v/>
      </c>
    </row>
    <row r="658">
      <c r="A658" t="inlineStr">
        <is>
          <t>Will Morocco win the 2026 FIFA World Cup?</t>
        </is>
      </c>
      <c r="B658" s="4" t="n">
        <v>46206</v>
      </c>
      <c r="C658" s="5" t="n">
        <v>46206.03650462963</v>
      </c>
      <c r="D658" t="inlineStr">
        <is>
          <t>BUY</t>
        </is>
      </c>
      <c r="E658" t="inlineStr">
        <is>
          <t>Yes</t>
        </is>
      </c>
      <c r="F658" s="2" t="n">
        <v>0.024</v>
      </c>
      <c r="G658" s="6" t="n">
        <v>60</v>
      </c>
      <c r="H658" s="6">
        <f>F658*G658</f>
        <v/>
      </c>
      <c r="I658">
        <f>_xlfn.XLOOKUP(A658,MktTitle,MktCat,"n/a")</f>
        <v/>
      </c>
      <c r="J658" s="3">
        <f>_xlfn.XLOOKUP(A658,MktTitle,MktTotVol,0)</f>
        <v/>
      </c>
      <c r="K658">
        <f>IF(H658&gt;WhaleThreshold,"WHALE","")</f>
        <v/>
      </c>
    </row>
    <row r="659">
      <c r="A659" t="inlineStr">
        <is>
          <t>Will Morocco win the 2026 FIFA World Cup?</t>
        </is>
      </c>
      <c r="B659" s="4" t="n">
        <v>46206</v>
      </c>
      <c r="C659" s="5" t="n">
        <v>46206.0358912037</v>
      </c>
      <c r="D659" t="inlineStr">
        <is>
          <t>BUY</t>
        </is>
      </c>
      <c r="E659" t="inlineStr">
        <is>
          <t>No</t>
        </is>
      </c>
      <c r="F659" s="2" t="n">
        <v>0.977</v>
      </c>
      <c r="G659" s="6" t="n">
        <v>1286.46</v>
      </c>
      <c r="H659" s="6">
        <f>F659*G659</f>
        <v/>
      </c>
      <c r="I659">
        <f>_xlfn.XLOOKUP(A659,MktTitle,MktCat,"n/a")</f>
        <v/>
      </c>
      <c r="J659" s="3">
        <f>_xlfn.XLOOKUP(A659,MktTitle,MktTotVol,0)</f>
        <v/>
      </c>
      <c r="K659">
        <f>IF(H659&gt;WhaleThreshold,"WHALE","")</f>
        <v/>
      </c>
    </row>
    <row r="660">
      <c r="A660" t="inlineStr">
        <is>
          <t>Will Morocco win the 2026 FIFA World Cup?</t>
        </is>
      </c>
      <c r="B660" s="4" t="n">
        <v>46206</v>
      </c>
      <c r="C660" s="5" t="n">
        <v>46206.0358912037</v>
      </c>
      <c r="D660" t="inlineStr">
        <is>
          <t>BUY</t>
        </is>
      </c>
      <c r="E660" t="inlineStr">
        <is>
          <t>No</t>
        </is>
      </c>
      <c r="F660" s="2" t="n">
        <v>0.977</v>
      </c>
      <c r="G660" s="6" t="n">
        <v>55.1484</v>
      </c>
      <c r="H660" s="6">
        <f>F660*G660</f>
        <v/>
      </c>
      <c r="I660">
        <f>_xlfn.XLOOKUP(A660,MktTitle,MktCat,"n/a")</f>
        <v/>
      </c>
      <c r="J660" s="3">
        <f>_xlfn.XLOOKUP(A660,MktTitle,MktTotVol,0)</f>
        <v/>
      </c>
      <c r="K660">
        <f>IF(H660&gt;WhaleThreshold,"WHALE","")</f>
        <v/>
      </c>
    </row>
    <row r="661">
      <c r="A661" t="inlineStr">
        <is>
          <t>Will Morocco win the 2026 FIFA World Cup?</t>
        </is>
      </c>
      <c r="B661" s="4" t="n">
        <v>46206</v>
      </c>
      <c r="C661" s="5" t="n">
        <v>46206.0353587963</v>
      </c>
      <c r="D661" t="inlineStr">
        <is>
          <t>BUY</t>
        </is>
      </c>
      <c r="E661" t="inlineStr">
        <is>
          <t>Yes</t>
        </is>
      </c>
      <c r="F661" s="2" t="n">
        <v>0.024</v>
      </c>
      <c r="G661" s="6" t="n">
        <v>200</v>
      </c>
      <c r="H661" s="6">
        <f>F661*G661</f>
        <v/>
      </c>
      <c r="I661">
        <f>_xlfn.XLOOKUP(A661,MktTitle,MktCat,"n/a")</f>
        <v/>
      </c>
      <c r="J661" s="3">
        <f>_xlfn.XLOOKUP(A661,MktTitle,MktTotVol,0)</f>
        <v/>
      </c>
      <c r="K661">
        <f>IF(H661&gt;WhaleThreshold,"WHALE","")</f>
        <v/>
      </c>
    </row>
    <row r="662">
      <c r="A662" t="inlineStr">
        <is>
          <t>Will Morocco win the 2026 FIFA World Cup?</t>
        </is>
      </c>
      <c r="B662" s="4" t="n">
        <v>46206</v>
      </c>
      <c r="C662" s="5" t="n">
        <v>46206.02813657407</v>
      </c>
      <c r="D662" t="inlineStr">
        <is>
          <t>BUY</t>
        </is>
      </c>
      <c r="E662" t="inlineStr">
        <is>
          <t>No</t>
        </is>
      </c>
      <c r="F662" s="2" t="n">
        <v>0.977</v>
      </c>
      <c r="G662" s="6" t="n">
        <v>3000</v>
      </c>
      <c r="H662" s="6">
        <f>F662*G662</f>
        <v/>
      </c>
      <c r="I662">
        <f>_xlfn.XLOOKUP(A662,MktTitle,MktCat,"n/a")</f>
        <v/>
      </c>
      <c r="J662" s="3">
        <f>_xlfn.XLOOKUP(A662,MktTitle,MktTotVol,0)</f>
        <v/>
      </c>
      <c r="K662">
        <f>IF(H662&gt;WhaleThreshold,"WHALE","")</f>
        <v/>
      </c>
    </row>
    <row r="663">
      <c r="A663" t="inlineStr">
        <is>
          <t>Will Morocco win the 2026 FIFA World Cup?</t>
        </is>
      </c>
      <c r="B663" s="4" t="n">
        <v>46206</v>
      </c>
      <c r="C663" s="5" t="n">
        <v>46206.02811342593</v>
      </c>
      <c r="D663" t="inlineStr">
        <is>
          <t>BUY</t>
        </is>
      </c>
      <c r="E663" t="inlineStr">
        <is>
          <t>No</t>
        </is>
      </c>
      <c r="F663" s="2" t="n">
        <v>0.977</v>
      </c>
      <c r="G663" s="6" t="n">
        <v>500</v>
      </c>
      <c r="H663" s="6">
        <f>F663*G663</f>
        <v/>
      </c>
      <c r="I663">
        <f>_xlfn.XLOOKUP(A663,MktTitle,MktCat,"n/a")</f>
        <v/>
      </c>
      <c r="J663" s="3">
        <f>_xlfn.XLOOKUP(A663,MktTitle,MktTotVol,0)</f>
        <v/>
      </c>
      <c r="K663">
        <f>IF(H663&gt;WhaleThreshold,"WHALE","")</f>
        <v/>
      </c>
    </row>
    <row r="664">
      <c r="A664" t="inlineStr">
        <is>
          <t>Will Morocco win the 2026 FIFA World Cup?</t>
        </is>
      </c>
      <c r="B664" s="4" t="n">
        <v>46206</v>
      </c>
      <c r="C664" s="5" t="n">
        <v>46206.02765046297</v>
      </c>
      <c r="D664" t="inlineStr">
        <is>
          <t>BUY</t>
        </is>
      </c>
      <c r="E664" t="inlineStr">
        <is>
          <t>No</t>
        </is>
      </c>
      <c r="F664" s="2" t="n">
        <v>0.977</v>
      </c>
      <c r="G664" s="6" t="n">
        <v>6000</v>
      </c>
      <c r="H664" s="6">
        <f>F664*G664</f>
        <v/>
      </c>
      <c r="I664">
        <f>_xlfn.XLOOKUP(A664,MktTitle,MktCat,"n/a")</f>
        <v/>
      </c>
      <c r="J664" s="3">
        <f>_xlfn.XLOOKUP(A664,MktTitle,MktTotVol,0)</f>
        <v/>
      </c>
      <c r="K664">
        <f>IF(H664&gt;WhaleThreshold,"WHALE","")</f>
        <v/>
      </c>
    </row>
    <row r="665">
      <c r="A665" t="inlineStr">
        <is>
          <t>Will Morocco win the 2026 FIFA World Cup?</t>
        </is>
      </c>
      <c r="B665" s="4" t="n">
        <v>46206</v>
      </c>
      <c r="C665" s="5" t="n">
        <v>46206.02561342593</v>
      </c>
      <c r="D665" t="inlineStr">
        <is>
          <t>SELL</t>
        </is>
      </c>
      <c r="E665" t="inlineStr">
        <is>
          <t>No</t>
        </is>
      </c>
      <c r="F665" s="2" t="n">
        <v>0.976</v>
      </c>
      <c r="G665" s="6" t="n">
        <v>55.54</v>
      </c>
      <c r="H665" s="6">
        <f>F665*G665</f>
        <v/>
      </c>
      <c r="I665">
        <f>_xlfn.XLOOKUP(A665,MktTitle,MktCat,"n/a")</f>
        <v/>
      </c>
      <c r="J665" s="3">
        <f>_xlfn.XLOOKUP(A665,MktTitle,MktTotVol,0)</f>
        <v/>
      </c>
      <c r="K665">
        <f>IF(H665&gt;WhaleThreshold,"WHALE","")</f>
        <v/>
      </c>
    </row>
    <row r="666">
      <c r="A666" t="inlineStr">
        <is>
          <t>Will Morocco win the 2026 FIFA World Cup?</t>
        </is>
      </c>
      <c r="B666" s="4" t="n">
        <v>46206</v>
      </c>
      <c r="C666" s="5" t="n">
        <v>46206.02546296296</v>
      </c>
      <c r="D666" t="inlineStr">
        <is>
          <t>SELL</t>
        </is>
      </c>
      <c r="E666" t="inlineStr">
        <is>
          <t>No</t>
        </is>
      </c>
      <c r="F666" s="2" t="n">
        <v>0.976</v>
      </c>
      <c r="G666" s="6" t="n">
        <v>19.78</v>
      </c>
      <c r="H666" s="6">
        <f>F666*G666</f>
        <v/>
      </c>
      <c r="I666">
        <f>_xlfn.XLOOKUP(A666,MktTitle,MktCat,"n/a")</f>
        <v/>
      </c>
      <c r="J666" s="3">
        <f>_xlfn.XLOOKUP(A666,MktTitle,MktTotVol,0)</f>
        <v/>
      </c>
      <c r="K666">
        <f>IF(H666&gt;WhaleThreshold,"WHALE","")</f>
        <v/>
      </c>
    </row>
    <row r="667">
      <c r="A667" t="inlineStr">
        <is>
          <t>Will Morocco win the 2026 FIFA World Cup?</t>
        </is>
      </c>
      <c r="B667" s="4" t="n">
        <v>46206</v>
      </c>
      <c r="C667" s="5" t="n">
        <v>46206.02543981482</v>
      </c>
      <c r="D667" t="inlineStr">
        <is>
          <t>SELL</t>
        </is>
      </c>
      <c r="E667" t="inlineStr">
        <is>
          <t>No</t>
        </is>
      </c>
      <c r="F667" s="2" t="n">
        <v>0.976</v>
      </c>
      <c r="G667" s="6" t="n">
        <v>29.48</v>
      </c>
      <c r="H667" s="6">
        <f>F667*G667</f>
        <v/>
      </c>
      <c r="I667">
        <f>_xlfn.XLOOKUP(A667,MktTitle,MktCat,"n/a")</f>
        <v/>
      </c>
      <c r="J667" s="3">
        <f>_xlfn.XLOOKUP(A667,MktTitle,MktTotVol,0)</f>
        <v/>
      </c>
      <c r="K667">
        <f>IF(H667&gt;WhaleThreshold,"WHALE","")</f>
        <v/>
      </c>
    </row>
    <row r="668">
      <c r="A668" t="inlineStr">
        <is>
          <t>Will Morocco win the 2026 FIFA World Cup?</t>
        </is>
      </c>
      <c r="B668" s="4" t="n">
        <v>46206</v>
      </c>
      <c r="C668" s="5" t="n">
        <v>46206.02542824074</v>
      </c>
      <c r="D668" t="inlineStr">
        <is>
          <t>BUY</t>
        </is>
      </c>
      <c r="E668" t="inlineStr">
        <is>
          <t>Yes</t>
        </is>
      </c>
      <c r="F668" s="2" t="n">
        <v>0.024</v>
      </c>
      <c r="G668" s="6" t="n">
        <v>41666.6667</v>
      </c>
      <c r="H668" s="6">
        <f>F668*G668</f>
        <v/>
      </c>
      <c r="I668">
        <f>_xlfn.XLOOKUP(A668,MktTitle,MktCat,"n/a")</f>
        <v/>
      </c>
      <c r="J668" s="3">
        <f>_xlfn.XLOOKUP(A668,MktTitle,MktTotVol,0)</f>
        <v/>
      </c>
      <c r="K668">
        <f>IF(H668&gt;WhaleThreshold,"WHALE","")</f>
        <v/>
      </c>
    </row>
    <row r="669">
      <c r="A669" t="inlineStr">
        <is>
          <t>Will Morocco win the 2026 FIFA World Cup?</t>
        </is>
      </c>
      <c r="B669" s="4" t="n">
        <v>46206</v>
      </c>
      <c r="C669" s="5" t="n">
        <v>46206.02391203704</v>
      </c>
      <c r="D669" t="inlineStr">
        <is>
          <t>BUY</t>
        </is>
      </c>
      <c r="E669" t="inlineStr">
        <is>
          <t>No</t>
        </is>
      </c>
      <c r="F669" s="2" t="n">
        <v>0.977</v>
      </c>
      <c r="G669" s="6" t="n">
        <v>51.9345</v>
      </c>
      <c r="H669" s="6">
        <f>F669*G669</f>
        <v/>
      </c>
      <c r="I669">
        <f>_xlfn.XLOOKUP(A669,MktTitle,MktCat,"n/a")</f>
        <v/>
      </c>
      <c r="J669" s="3">
        <f>_xlfn.XLOOKUP(A669,MktTitle,MktTotVol,0)</f>
        <v/>
      </c>
      <c r="K669">
        <f>IF(H669&gt;WhaleThreshold,"WHALE","")</f>
        <v/>
      </c>
    </row>
    <row r="670">
      <c r="A670" t="inlineStr">
        <is>
          <t>Will Morocco win the 2026 FIFA World Cup?</t>
        </is>
      </c>
      <c r="B670" s="4" t="n">
        <v>46206</v>
      </c>
      <c r="C670" s="5" t="n">
        <v>46206.02380787037</v>
      </c>
      <c r="D670" t="inlineStr">
        <is>
          <t>BUY</t>
        </is>
      </c>
      <c r="E670" t="inlineStr">
        <is>
          <t>Yes</t>
        </is>
      </c>
      <c r="F670" s="2" t="n">
        <v>0.024</v>
      </c>
      <c r="G670" s="6" t="n">
        <v>403</v>
      </c>
      <c r="H670" s="6">
        <f>F670*G670</f>
        <v/>
      </c>
      <c r="I670">
        <f>_xlfn.XLOOKUP(A670,MktTitle,MktCat,"n/a")</f>
        <v/>
      </c>
      <c r="J670" s="3">
        <f>_xlfn.XLOOKUP(A670,MktTitle,MktTotVol,0)</f>
        <v/>
      </c>
      <c r="K670">
        <f>IF(H670&gt;WhaleThreshold,"WHALE","")</f>
        <v/>
      </c>
    </row>
    <row r="671">
      <c r="A671" t="inlineStr">
        <is>
          <t>Will Morocco win the 2026 FIFA World Cup?</t>
        </is>
      </c>
      <c r="B671" s="4" t="n">
        <v>46206</v>
      </c>
      <c r="C671" s="5" t="n">
        <v>46206.02335648148</v>
      </c>
      <c r="D671" t="inlineStr">
        <is>
          <t>SELL</t>
        </is>
      </c>
      <c r="E671" t="inlineStr">
        <is>
          <t>No</t>
        </is>
      </c>
      <c r="F671" s="2" t="n">
        <v>0.976</v>
      </c>
      <c r="G671" s="6" t="n">
        <v>276.63</v>
      </c>
      <c r="H671" s="6">
        <f>F671*G671</f>
        <v/>
      </c>
      <c r="I671">
        <f>_xlfn.XLOOKUP(A671,MktTitle,MktCat,"n/a")</f>
        <v/>
      </c>
      <c r="J671" s="3">
        <f>_xlfn.XLOOKUP(A671,MktTitle,MktTotVol,0)</f>
        <v/>
      </c>
      <c r="K671">
        <f>IF(H671&gt;WhaleThreshold,"WHALE","")</f>
        <v/>
      </c>
    </row>
    <row r="672">
      <c r="A672" t="inlineStr">
        <is>
          <t>Will Morocco win the 2026 FIFA World Cup?</t>
        </is>
      </c>
      <c r="B672" s="4" t="n">
        <v>46206</v>
      </c>
      <c r="C672" s="5" t="n">
        <v>46206.02209490741</v>
      </c>
      <c r="D672" t="inlineStr">
        <is>
          <t>BUY</t>
        </is>
      </c>
      <c r="E672" t="inlineStr">
        <is>
          <t>Yes</t>
        </is>
      </c>
      <c r="F672" s="2" t="n">
        <v>0.024</v>
      </c>
      <c r="G672" s="6" t="n">
        <v>166.6667</v>
      </c>
      <c r="H672" s="6">
        <f>F672*G672</f>
        <v/>
      </c>
      <c r="I672">
        <f>_xlfn.XLOOKUP(A672,MktTitle,MktCat,"n/a")</f>
        <v/>
      </c>
      <c r="J672" s="3">
        <f>_xlfn.XLOOKUP(A672,MktTitle,MktTotVol,0)</f>
        <v/>
      </c>
      <c r="K672">
        <f>IF(H672&gt;WhaleThreshold,"WHALE","")</f>
        <v/>
      </c>
    </row>
    <row r="673">
      <c r="A673" t="inlineStr">
        <is>
          <t>Will Morocco win the 2026 FIFA World Cup?</t>
        </is>
      </c>
      <c r="B673" s="4" t="n">
        <v>46206</v>
      </c>
      <c r="C673" s="5" t="n">
        <v>46206.02168981481</v>
      </c>
      <c r="D673" t="inlineStr">
        <is>
          <t>BUY</t>
        </is>
      </c>
      <c r="E673" t="inlineStr">
        <is>
          <t>No</t>
        </is>
      </c>
      <c r="F673" s="2" t="n">
        <v>0.977</v>
      </c>
      <c r="G673" s="6" t="n">
        <v>276.63</v>
      </c>
      <c r="H673" s="6">
        <f>F673*G673</f>
        <v/>
      </c>
      <c r="I673">
        <f>_xlfn.XLOOKUP(A673,MktTitle,MktCat,"n/a")</f>
        <v/>
      </c>
      <c r="J673" s="3">
        <f>_xlfn.XLOOKUP(A673,MktTitle,MktTotVol,0)</f>
        <v/>
      </c>
      <c r="K673">
        <f>IF(H673&gt;WhaleThreshold,"WHALE","")</f>
        <v/>
      </c>
    </row>
    <row r="674">
      <c r="A674" t="inlineStr">
        <is>
          <t>Will Morocco win the 2026 FIFA World Cup?</t>
        </is>
      </c>
      <c r="B674" s="4" t="n">
        <v>46206</v>
      </c>
      <c r="C674" s="5" t="n">
        <v>46206.01967592593</v>
      </c>
      <c r="D674" t="inlineStr">
        <is>
          <t>BUY</t>
        </is>
      </c>
      <c r="E674" t="inlineStr">
        <is>
          <t>Yes</t>
        </is>
      </c>
      <c r="F674" s="2" t="n">
        <v>0.024</v>
      </c>
      <c r="G674" s="6" t="n">
        <v>125</v>
      </c>
      <c r="H674" s="6">
        <f>F674*G674</f>
        <v/>
      </c>
      <c r="I674">
        <f>_xlfn.XLOOKUP(A674,MktTitle,MktCat,"n/a")</f>
        <v/>
      </c>
      <c r="J674" s="3">
        <f>_xlfn.XLOOKUP(A674,MktTitle,MktTotVol,0)</f>
        <v/>
      </c>
      <c r="K674">
        <f>IF(H674&gt;WhaleThreshold,"WHALE","")</f>
        <v/>
      </c>
    </row>
    <row r="675">
      <c r="A675" t="inlineStr">
        <is>
          <t>Will Morocco win the 2026 FIFA World Cup?</t>
        </is>
      </c>
      <c r="B675" s="4" t="n">
        <v>46206</v>
      </c>
      <c r="C675" s="5" t="n">
        <v>46206.01862268519</v>
      </c>
      <c r="D675" t="inlineStr">
        <is>
          <t>SELL</t>
        </is>
      </c>
      <c r="E675" t="inlineStr">
        <is>
          <t>Yes</t>
        </is>
      </c>
      <c r="F675" s="2" t="n">
        <v>0.023</v>
      </c>
      <c r="G675" s="6" t="n">
        <v>6.6</v>
      </c>
      <c r="H675" s="6">
        <f>F675*G675</f>
        <v/>
      </c>
      <c r="I675">
        <f>_xlfn.XLOOKUP(A675,MktTitle,MktCat,"n/a")</f>
        <v/>
      </c>
      <c r="J675" s="3">
        <f>_xlfn.XLOOKUP(A675,MktTitle,MktTotVol,0)</f>
        <v/>
      </c>
      <c r="K675">
        <f>IF(H675&gt;WhaleThreshold,"WHALE","")</f>
        <v/>
      </c>
    </row>
    <row r="676">
      <c r="A676" t="inlineStr">
        <is>
          <t>Will Morocco win the 2026 FIFA World Cup?</t>
        </is>
      </c>
      <c r="B676" s="4" t="n">
        <v>46206</v>
      </c>
      <c r="C676" s="5" t="n">
        <v>46206.01783564815</v>
      </c>
      <c r="D676" t="inlineStr">
        <is>
          <t>BUY</t>
        </is>
      </c>
      <c r="E676" t="inlineStr">
        <is>
          <t>Yes</t>
        </is>
      </c>
      <c r="F676" s="2" t="n">
        <v>0.024</v>
      </c>
      <c r="G676" s="6" t="n">
        <v>7500</v>
      </c>
      <c r="H676" s="6">
        <f>F676*G676</f>
        <v/>
      </c>
      <c r="I676">
        <f>_xlfn.XLOOKUP(A676,MktTitle,MktCat,"n/a")</f>
        <v/>
      </c>
      <c r="J676" s="3">
        <f>_xlfn.XLOOKUP(A676,MktTitle,MktTotVol,0)</f>
        <v/>
      </c>
      <c r="K676">
        <f>IF(H676&gt;WhaleThreshold,"WHALE","")</f>
        <v/>
      </c>
    </row>
    <row r="677">
      <c r="A677" t="inlineStr">
        <is>
          <t>Will Morocco win the 2026 FIFA World Cup?</t>
        </is>
      </c>
      <c r="B677" s="4" t="n">
        <v>46206</v>
      </c>
      <c r="C677" s="5" t="n">
        <v>46206.01769675926</v>
      </c>
      <c r="D677" t="inlineStr">
        <is>
          <t>SELL</t>
        </is>
      </c>
      <c r="E677" t="inlineStr">
        <is>
          <t>Yes</t>
        </is>
      </c>
      <c r="F677" s="2" t="n">
        <v>0.023</v>
      </c>
      <c r="G677" s="6" t="n">
        <v>1849.99</v>
      </c>
      <c r="H677" s="6">
        <f>F677*G677</f>
        <v/>
      </c>
      <c r="I677">
        <f>_xlfn.XLOOKUP(A677,MktTitle,MktCat,"n/a")</f>
        <v/>
      </c>
      <c r="J677" s="3">
        <f>_xlfn.XLOOKUP(A677,MktTitle,MktTotVol,0)</f>
        <v/>
      </c>
      <c r="K677">
        <f>IF(H677&gt;WhaleThreshold,"WHALE","")</f>
        <v/>
      </c>
    </row>
    <row r="678">
      <c r="A678" t="inlineStr">
        <is>
          <t>Will Morocco win the 2026 FIFA World Cup?</t>
        </is>
      </c>
      <c r="B678" s="4" t="n">
        <v>46206</v>
      </c>
      <c r="C678" s="5" t="n">
        <v>46206.01608796296</v>
      </c>
      <c r="D678" t="inlineStr">
        <is>
          <t>BUY</t>
        </is>
      </c>
      <c r="E678" t="inlineStr">
        <is>
          <t>Yes</t>
        </is>
      </c>
      <c r="F678" s="2" t="n">
        <v>0.024</v>
      </c>
      <c r="G678" s="6" t="n">
        <v>207.9167</v>
      </c>
      <c r="H678" s="6">
        <f>F678*G678</f>
        <v/>
      </c>
      <c r="I678">
        <f>_xlfn.XLOOKUP(A678,MktTitle,MktCat,"n/a")</f>
        <v/>
      </c>
      <c r="J678" s="3">
        <f>_xlfn.XLOOKUP(A678,MktTitle,MktTotVol,0)</f>
        <v/>
      </c>
      <c r="K678">
        <f>IF(H678&gt;WhaleThreshold,"WHALE","")</f>
        <v/>
      </c>
    </row>
    <row r="679">
      <c r="A679" t="inlineStr">
        <is>
          <t>Will Morocco win the 2026 FIFA World Cup?</t>
        </is>
      </c>
      <c r="B679" s="4" t="n">
        <v>46206</v>
      </c>
      <c r="C679" s="5" t="n">
        <v>46206.01390046296</v>
      </c>
      <c r="D679" t="inlineStr">
        <is>
          <t>BUY</t>
        </is>
      </c>
      <c r="E679" t="inlineStr">
        <is>
          <t>Yes</t>
        </is>
      </c>
      <c r="F679" s="2" t="n">
        <v>0.024</v>
      </c>
      <c r="G679" s="6" t="n">
        <v>416.6667</v>
      </c>
      <c r="H679" s="6">
        <f>F679*G679</f>
        <v/>
      </c>
      <c r="I679">
        <f>_xlfn.XLOOKUP(A679,MktTitle,MktCat,"n/a")</f>
        <v/>
      </c>
      <c r="J679" s="3">
        <f>_xlfn.XLOOKUP(A679,MktTitle,MktTotVol,0)</f>
        <v/>
      </c>
      <c r="K679">
        <f>IF(H679&gt;WhaleThreshold,"WHALE","")</f>
        <v/>
      </c>
    </row>
    <row r="680">
      <c r="A680" t="inlineStr">
        <is>
          <t>Will Morocco win the 2026 FIFA World Cup?</t>
        </is>
      </c>
      <c r="B680" s="4" t="n">
        <v>46206</v>
      </c>
      <c r="C680" s="5" t="n">
        <v>46206.01386574074</v>
      </c>
      <c r="D680" t="inlineStr">
        <is>
          <t>BUY</t>
        </is>
      </c>
      <c r="E680" t="inlineStr">
        <is>
          <t>Yes</t>
        </is>
      </c>
      <c r="F680" s="2" t="n">
        <v>0.024</v>
      </c>
      <c r="G680" s="6" t="n">
        <v>1041.6667</v>
      </c>
      <c r="H680" s="6">
        <f>F680*G680</f>
        <v/>
      </c>
      <c r="I680">
        <f>_xlfn.XLOOKUP(A680,MktTitle,MktCat,"n/a")</f>
        <v/>
      </c>
      <c r="J680" s="3">
        <f>_xlfn.XLOOKUP(A680,MktTitle,MktTotVol,0)</f>
        <v/>
      </c>
      <c r="K680">
        <f>IF(H680&gt;WhaleThreshold,"WHALE","")</f>
        <v/>
      </c>
    </row>
    <row r="681">
      <c r="A681" t="inlineStr">
        <is>
          <t>Will Morocco win the 2026 FIFA World Cup?</t>
        </is>
      </c>
      <c r="B681" s="4" t="n">
        <v>46206</v>
      </c>
      <c r="C681" s="5" t="n">
        <v>46206.01311342593</v>
      </c>
      <c r="D681" t="inlineStr">
        <is>
          <t>SELL</t>
        </is>
      </c>
      <c r="E681" t="inlineStr">
        <is>
          <t>Yes</t>
        </is>
      </c>
      <c r="F681" s="2" t="n">
        <v>0.023</v>
      </c>
      <c r="G681" s="6" t="n">
        <v>115.39</v>
      </c>
      <c r="H681" s="6">
        <f>F681*G681</f>
        <v/>
      </c>
      <c r="I681">
        <f>_xlfn.XLOOKUP(A681,MktTitle,MktCat,"n/a")</f>
        <v/>
      </c>
      <c r="J681" s="3">
        <f>_xlfn.XLOOKUP(A681,MktTitle,MktTotVol,0)</f>
        <v/>
      </c>
      <c r="K681">
        <f>IF(H681&gt;WhaleThreshold,"WHALE","")</f>
        <v/>
      </c>
    </row>
    <row r="682">
      <c r="A682" t="inlineStr">
        <is>
          <t>Will Morocco win the 2026 FIFA World Cup?</t>
        </is>
      </c>
      <c r="B682" s="4" t="n">
        <v>46206</v>
      </c>
      <c r="C682" s="5" t="n">
        <v>46206.01203703704</v>
      </c>
      <c r="D682" t="inlineStr">
        <is>
          <t>SELL</t>
        </is>
      </c>
      <c r="E682" t="inlineStr">
        <is>
          <t>Yes</t>
        </is>
      </c>
      <c r="F682" s="2" t="n">
        <v>0.023</v>
      </c>
      <c r="G682" s="6" t="n">
        <v>950</v>
      </c>
      <c r="H682" s="6">
        <f>F682*G682</f>
        <v/>
      </c>
      <c r="I682">
        <f>_xlfn.XLOOKUP(A682,MktTitle,MktCat,"n/a")</f>
        <v/>
      </c>
      <c r="J682" s="3">
        <f>_xlfn.XLOOKUP(A682,MktTitle,MktTotVol,0)</f>
        <v/>
      </c>
      <c r="K682">
        <f>IF(H682&gt;WhaleThreshold,"WHALE","")</f>
        <v/>
      </c>
    </row>
    <row r="683">
      <c r="A683" t="inlineStr">
        <is>
          <t>Will Morocco win the 2026 FIFA World Cup?</t>
        </is>
      </c>
      <c r="B683" s="4" t="n">
        <v>46206</v>
      </c>
      <c r="C683" s="5" t="n">
        <v>46206.01164351852</v>
      </c>
      <c r="D683" t="inlineStr">
        <is>
          <t>BUY</t>
        </is>
      </c>
      <c r="E683" t="inlineStr">
        <is>
          <t>Yes</t>
        </is>
      </c>
      <c r="F683" s="2" t="n">
        <v>0.024</v>
      </c>
      <c r="G683" s="6" t="n">
        <v>2500</v>
      </c>
      <c r="H683" s="6">
        <f>F683*G683</f>
        <v/>
      </c>
      <c r="I683">
        <f>_xlfn.XLOOKUP(A683,MktTitle,MktCat,"n/a")</f>
        <v/>
      </c>
      <c r="J683" s="3">
        <f>_xlfn.XLOOKUP(A683,MktTitle,MktTotVol,0)</f>
        <v/>
      </c>
      <c r="K683">
        <f>IF(H683&gt;WhaleThreshold,"WHALE","")</f>
        <v/>
      </c>
    </row>
    <row r="684">
      <c r="A684" t="inlineStr">
        <is>
          <t>Will Morocco win the 2026 FIFA World Cup?</t>
        </is>
      </c>
      <c r="B684" s="4" t="n">
        <v>46206</v>
      </c>
      <c r="C684" s="5" t="n">
        <v>46206.01126157407</v>
      </c>
      <c r="D684" t="inlineStr">
        <is>
          <t>SELL</t>
        </is>
      </c>
      <c r="E684" t="inlineStr">
        <is>
          <t>Yes</t>
        </is>
      </c>
      <c r="F684" s="2" t="n">
        <v>0.023</v>
      </c>
      <c r="G684" s="6" t="n">
        <v>222.71</v>
      </c>
      <c r="H684" s="6">
        <f>F684*G684</f>
        <v/>
      </c>
      <c r="I684">
        <f>_xlfn.XLOOKUP(A684,MktTitle,MktCat,"n/a")</f>
        <v/>
      </c>
      <c r="J684" s="3">
        <f>_xlfn.XLOOKUP(A684,MktTitle,MktTotVol,0)</f>
        <v/>
      </c>
      <c r="K684">
        <f>IF(H684&gt;WhaleThreshold,"WHALE","")</f>
        <v/>
      </c>
    </row>
    <row r="685">
      <c r="A685" t="inlineStr">
        <is>
          <t>Will Morocco win the 2026 FIFA World Cup?</t>
        </is>
      </c>
      <c r="B685" s="4" t="n">
        <v>46206</v>
      </c>
      <c r="C685" s="5" t="n">
        <v>46206.0112037037</v>
      </c>
      <c r="D685" t="inlineStr">
        <is>
          <t>BUY</t>
        </is>
      </c>
      <c r="E685" t="inlineStr">
        <is>
          <t>Yes</t>
        </is>
      </c>
      <c r="F685" s="2" t="n">
        <v>0.024</v>
      </c>
      <c r="G685" s="6" t="n">
        <v>20400</v>
      </c>
      <c r="H685" s="6">
        <f>F685*G685</f>
        <v/>
      </c>
      <c r="I685">
        <f>_xlfn.XLOOKUP(A685,MktTitle,MktCat,"n/a")</f>
        <v/>
      </c>
      <c r="J685" s="3">
        <f>_xlfn.XLOOKUP(A685,MktTitle,MktTotVol,0)</f>
        <v/>
      </c>
      <c r="K685">
        <f>IF(H685&gt;WhaleThreshold,"WHALE","")</f>
        <v/>
      </c>
    </row>
    <row r="686">
      <c r="A686" t="inlineStr">
        <is>
          <t>Will Morocco win the 2026 FIFA World Cup?</t>
        </is>
      </c>
      <c r="B686" s="4" t="n">
        <v>46206</v>
      </c>
      <c r="C686" s="5" t="n">
        <v>46206.01101851852</v>
      </c>
      <c r="D686" t="inlineStr">
        <is>
          <t>SELL</t>
        </is>
      </c>
      <c r="E686" t="inlineStr">
        <is>
          <t>Yes</t>
        </is>
      </c>
      <c r="F686" s="2" t="n">
        <v>0.023</v>
      </c>
      <c r="G686" s="6" t="n">
        <v>7142.86</v>
      </c>
      <c r="H686" s="6">
        <f>F686*G686</f>
        <v/>
      </c>
      <c r="I686">
        <f>_xlfn.XLOOKUP(A686,MktTitle,MktCat,"n/a")</f>
        <v/>
      </c>
      <c r="J686" s="3">
        <f>_xlfn.XLOOKUP(A686,MktTitle,MktTotVol,0)</f>
        <v/>
      </c>
      <c r="K686">
        <f>IF(H686&gt;WhaleThreshold,"WHALE","")</f>
        <v/>
      </c>
    </row>
    <row r="687">
      <c r="A687" t="inlineStr">
        <is>
          <t>Will Morocco win the 2026 FIFA World Cup?</t>
        </is>
      </c>
      <c r="B687" s="4" t="n">
        <v>46206</v>
      </c>
      <c r="C687" s="5" t="n">
        <v>46206.01092592593</v>
      </c>
      <c r="D687" t="inlineStr">
        <is>
          <t>SELL</t>
        </is>
      </c>
      <c r="E687" t="inlineStr">
        <is>
          <t>Yes</t>
        </is>
      </c>
      <c r="F687" s="2" t="n">
        <v>0.023</v>
      </c>
      <c r="G687" s="6" t="n">
        <v>295.98</v>
      </c>
      <c r="H687" s="6">
        <f>F687*G687</f>
        <v/>
      </c>
      <c r="I687">
        <f>_xlfn.XLOOKUP(A687,MktTitle,MktCat,"n/a")</f>
        <v/>
      </c>
      <c r="J687" s="3">
        <f>_xlfn.XLOOKUP(A687,MktTitle,MktTotVol,0)</f>
        <v/>
      </c>
      <c r="K687">
        <f>IF(H687&gt;WhaleThreshold,"WHALE","")</f>
        <v/>
      </c>
    </row>
    <row r="688">
      <c r="A688" t="inlineStr">
        <is>
          <t>Will Morocco win the 2026 FIFA World Cup?</t>
        </is>
      </c>
      <c r="B688" s="4" t="n">
        <v>46206</v>
      </c>
      <c r="C688" s="5" t="n">
        <v>46206.01077546296</v>
      </c>
      <c r="D688" t="inlineStr">
        <is>
          <t>BUY</t>
        </is>
      </c>
      <c r="E688" t="inlineStr">
        <is>
          <t>Yes</t>
        </is>
      </c>
      <c r="F688" s="2" t="n">
        <v>0.024</v>
      </c>
      <c r="G688" s="6" t="n">
        <v>2005.8333</v>
      </c>
      <c r="H688" s="6">
        <f>F688*G688</f>
        <v/>
      </c>
      <c r="I688">
        <f>_xlfn.XLOOKUP(A688,MktTitle,MktCat,"n/a")</f>
        <v/>
      </c>
      <c r="J688" s="3">
        <f>_xlfn.XLOOKUP(A688,MktTitle,MktTotVol,0)</f>
        <v/>
      </c>
      <c r="K688">
        <f>IF(H688&gt;WhaleThreshold,"WHALE","")</f>
        <v/>
      </c>
    </row>
    <row r="689">
      <c r="A689" t="inlineStr">
        <is>
          <t>Will Morocco win the 2026 FIFA World Cup?</t>
        </is>
      </c>
      <c r="B689" s="4" t="n">
        <v>46206</v>
      </c>
      <c r="C689" s="5" t="n">
        <v>46206.00936342592</v>
      </c>
      <c r="D689" t="inlineStr">
        <is>
          <t>BUY</t>
        </is>
      </c>
      <c r="E689" t="inlineStr">
        <is>
          <t>Yes</t>
        </is>
      </c>
      <c r="F689" s="2" t="n">
        <v>0.024</v>
      </c>
      <c r="G689" s="6" t="n">
        <v>416.6667</v>
      </c>
      <c r="H689" s="6">
        <f>F689*G689</f>
        <v/>
      </c>
      <c r="I689">
        <f>_xlfn.XLOOKUP(A689,MktTitle,MktCat,"n/a")</f>
        <v/>
      </c>
      <c r="J689" s="3">
        <f>_xlfn.XLOOKUP(A689,MktTitle,MktTotVol,0)</f>
        <v/>
      </c>
      <c r="K689">
        <f>IF(H689&gt;WhaleThreshold,"WHALE","")</f>
        <v/>
      </c>
    </row>
    <row r="690">
      <c r="A690" t="inlineStr">
        <is>
          <t>Will Morocco win the 2026 FIFA World Cup?</t>
        </is>
      </c>
      <c r="B690" s="4" t="n">
        <v>46206</v>
      </c>
      <c r="C690" s="5" t="n">
        <v>46206.00856481482</v>
      </c>
      <c r="D690" t="inlineStr">
        <is>
          <t>BUY</t>
        </is>
      </c>
      <c r="E690" t="inlineStr">
        <is>
          <t>Yes</t>
        </is>
      </c>
      <c r="F690" s="2" t="n">
        <v>0.024</v>
      </c>
      <c r="G690" s="6" t="n">
        <v>630</v>
      </c>
      <c r="H690" s="6">
        <f>F690*G690</f>
        <v/>
      </c>
      <c r="I690">
        <f>_xlfn.XLOOKUP(A690,MktTitle,MktCat,"n/a")</f>
        <v/>
      </c>
      <c r="J690" s="3">
        <f>_xlfn.XLOOKUP(A690,MktTitle,MktTotVol,0)</f>
        <v/>
      </c>
      <c r="K690">
        <f>IF(H690&gt;WhaleThreshold,"WHALE","")</f>
        <v/>
      </c>
    </row>
    <row r="691">
      <c r="A691" t="inlineStr">
        <is>
          <t>Will Morocco win the 2026 FIFA World Cup?</t>
        </is>
      </c>
      <c r="B691" s="4" t="n">
        <v>46206</v>
      </c>
      <c r="C691" s="5" t="n">
        <v>46206.00837962963</v>
      </c>
      <c r="D691" t="inlineStr">
        <is>
          <t>SELL</t>
        </is>
      </c>
      <c r="E691" t="inlineStr">
        <is>
          <t>Yes</t>
        </is>
      </c>
      <c r="F691" s="2" t="n">
        <v>0.023</v>
      </c>
      <c r="G691" s="6" t="n">
        <v>86.95</v>
      </c>
      <c r="H691" s="6">
        <f>F691*G691</f>
        <v/>
      </c>
      <c r="I691">
        <f>_xlfn.XLOOKUP(A691,MktTitle,MktCat,"n/a")</f>
        <v/>
      </c>
      <c r="J691" s="3">
        <f>_xlfn.XLOOKUP(A691,MktTitle,MktTotVol,0)</f>
        <v/>
      </c>
      <c r="K691">
        <f>IF(H691&gt;WhaleThreshold,"WHALE","")</f>
        <v/>
      </c>
    </row>
    <row r="692">
      <c r="A692" t="inlineStr">
        <is>
          <t>Will Morocco win the 2026 FIFA World Cup?</t>
        </is>
      </c>
      <c r="B692" s="4" t="n">
        <v>46206</v>
      </c>
      <c r="C692" s="5" t="n">
        <v>46206.00728009259</v>
      </c>
      <c r="D692" t="inlineStr">
        <is>
          <t>BUY</t>
        </is>
      </c>
      <c r="E692" t="inlineStr">
        <is>
          <t>No</t>
        </is>
      </c>
      <c r="F692" s="2" t="n">
        <v>0.977</v>
      </c>
      <c r="G692" s="6" t="n">
        <v>500</v>
      </c>
      <c r="H692" s="6">
        <f>F692*G692</f>
        <v/>
      </c>
      <c r="I692">
        <f>_xlfn.XLOOKUP(A692,MktTitle,MktCat,"n/a")</f>
        <v/>
      </c>
      <c r="J692" s="3">
        <f>_xlfn.XLOOKUP(A692,MktTitle,MktTotVol,0)</f>
        <v/>
      </c>
      <c r="K692">
        <f>IF(H692&gt;WhaleThreshold,"WHALE","")</f>
        <v/>
      </c>
    </row>
    <row r="693">
      <c r="A693" t="inlineStr">
        <is>
          <t>Will Morocco win the 2026 FIFA World Cup?</t>
        </is>
      </c>
      <c r="B693" s="4" t="n">
        <v>46206</v>
      </c>
      <c r="C693" s="5" t="n">
        <v>46206.00241898148</v>
      </c>
      <c r="D693" t="inlineStr">
        <is>
          <t>SELL</t>
        </is>
      </c>
      <c r="E693" t="inlineStr">
        <is>
          <t>No</t>
        </is>
      </c>
      <c r="F693" s="2" t="n">
        <v>0.976</v>
      </c>
      <c r="G693" s="6" t="n">
        <v>10.48</v>
      </c>
      <c r="H693" s="6">
        <f>F693*G693</f>
        <v/>
      </c>
      <c r="I693">
        <f>_xlfn.XLOOKUP(A693,MktTitle,MktCat,"n/a")</f>
        <v/>
      </c>
      <c r="J693" s="3">
        <f>_xlfn.XLOOKUP(A693,MktTitle,MktTotVol,0)</f>
        <v/>
      </c>
      <c r="K693">
        <f>IF(H693&gt;WhaleThreshold,"WHALE","")</f>
        <v/>
      </c>
    </row>
    <row r="694">
      <c r="A694" t="inlineStr">
        <is>
          <t>Will Morocco win the 2026 FIFA World Cup?</t>
        </is>
      </c>
      <c r="B694" s="4" t="n">
        <v>46206</v>
      </c>
      <c r="C694" s="5" t="n">
        <v>46206.00216435185</v>
      </c>
      <c r="D694" t="inlineStr">
        <is>
          <t>BUY</t>
        </is>
      </c>
      <c r="E694" t="inlineStr">
        <is>
          <t>No</t>
        </is>
      </c>
      <c r="F694" s="2" t="n">
        <v>0.977</v>
      </c>
      <c r="G694" s="6" t="n">
        <v>10.48</v>
      </c>
      <c r="H694" s="6">
        <f>F694*G694</f>
        <v/>
      </c>
      <c r="I694">
        <f>_xlfn.XLOOKUP(A694,MktTitle,MktCat,"n/a")</f>
        <v/>
      </c>
      <c r="J694" s="3">
        <f>_xlfn.XLOOKUP(A694,MktTitle,MktTotVol,0)</f>
        <v/>
      </c>
      <c r="K694">
        <f>IF(H694&gt;WhaleThreshold,"WHALE","")</f>
        <v/>
      </c>
    </row>
    <row r="695">
      <c r="A695" t="inlineStr">
        <is>
          <t>Will Morocco win the 2026 FIFA World Cup?</t>
        </is>
      </c>
      <c r="B695" s="4" t="n">
        <v>46206</v>
      </c>
      <c r="C695" s="5" t="n">
        <v>46206.00189814815</v>
      </c>
      <c r="D695" t="inlineStr">
        <is>
          <t>BUY</t>
        </is>
      </c>
      <c r="E695" t="inlineStr">
        <is>
          <t>Yes</t>
        </is>
      </c>
      <c r="F695" s="2" t="n">
        <v>0.024</v>
      </c>
      <c r="G695" s="6" t="n">
        <v>80.83329999999999</v>
      </c>
      <c r="H695" s="6">
        <f>F695*G695</f>
        <v/>
      </c>
      <c r="I695">
        <f>_xlfn.XLOOKUP(A695,MktTitle,MktCat,"n/a")</f>
        <v/>
      </c>
      <c r="J695" s="3">
        <f>_xlfn.XLOOKUP(A695,MktTitle,MktTotVol,0)</f>
        <v/>
      </c>
      <c r="K695">
        <f>IF(H695&gt;WhaleThreshold,"WHALE","")</f>
        <v/>
      </c>
    </row>
    <row r="696">
      <c r="A696" t="inlineStr">
        <is>
          <t>Will Morocco win the 2026 FIFA World Cup?</t>
        </is>
      </c>
      <c r="B696" s="4" t="n">
        <v>46206</v>
      </c>
      <c r="C696" s="5" t="n">
        <v>46206.00116898148</v>
      </c>
      <c r="D696" t="inlineStr">
        <is>
          <t>BUY</t>
        </is>
      </c>
      <c r="E696" t="inlineStr">
        <is>
          <t>Yes</t>
        </is>
      </c>
      <c r="F696" s="2" t="n">
        <v>0.024</v>
      </c>
      <c r="G696" s="6" t="n">
        <v>41.6667</v>
      </c>
      <c r="H696" s="6">
        <f>F696*G696</f>
        <v/>
      </c>
      <c r="I696">
        <f>_xlfn.XLOOKUP(A696,MktTitle,MktCat,"n/a")</f>
        <v/>
      </c>
      <c r="J696" s="3">
        <f>_xlfn.XLOOKUP(A696,MktTitle,MktTotVol,0)</f>
        <v/>
      </c>
      <c r="K696">
        <f>IF(H696&gt;WhaleThreshold,"WHALE","")</f>
        <v/>
      </c>
    </row>
    <row r="697">
      <c r="A697" t="inlineStr">
        <is>
          <t>Will Morocco win the 2026 FIFA World Cup?</t>
        </is>
      </c>
      <c r="B697" s="4" t="n">
        <v>46206</v>
      </c>
      <c r="C697" s="5" t="n">
        <v>46206.00115740741</v>
      </c>
      <c r="D697" t="inlineStr">
        <is>
          <t>BUY</t>
        </is>
      </c>
      <c r="E697" t="inlineStr">
        <is>
          <t>Yes</t>
        </is>
      </c>
      <c r="F697" s="2" t="n">
        <v>0.024</v>
      </c>
      <c r="G697" s="6" t="n">
        <v>1300</v>
      </c>
      <c r="H697" s="6">
        <f>F697*G697</f>
        <v/>
      </c>
      <c r="I697">
        <f>_xlfn.XLOOKUP(A697,MktTitle,MktCat,"n/a")</f>
        <v/>
      </c>
      <c r="J697" s="3">
        <f>_xlfn.XLOOKUP(A697,MktTitle,MktTotVol,0)</f>
        <v/>
      </c>
      <c r="K697">
        <f>IF(H697&gt;WhaleThreshold,"WHALE","")</f>
        <v/>
      </c>
    </row>
    <row r="698">
      <c r="A698" t="inlineStr">
        <is>
          <t>Will Morocco win the 2026 FIFA World Cup?</t>
        </is>
      </c>
      <c r="B698" s="4" t="n">
        <v>46206</v>
      </c>
      <c r="C698" s="5" t="n">
        <v>46206.00112268519</v>
      </c>
      <c r="D698" t="inlineStr">
        <is>
          <t>BUY</t>
        </is>
      </c>
      <c r="E698" t="inlineStr">
        <is>
          <t>No</t>
        </is>
      </c>
      <c r="F698" s="2" t="n">
        <v>0.977</v>
      </c>
      <c r="G698" s="6" t="n">
        <v>38.6182</v>
      </c>
      <c r="H698" s="6">
        <f>F698*G698</f>
        <v/>
      </c>
      <c r="I698">
        <f>_xlfn.XLOOKUP(A698,MktTitle,MktCat,"n/a")</f>
        <v/>
      </c>
      <c r="J698" s="3">
        <f>_xlfn.XLOOKUP(A698,MktTitle,MktTotVol,0)</f>
        <v/>
      </c>
      <c r="K698">
        <f>IF(H698&gt;WhaleThreshold,"WHALE","")</f>
        <v/>
      </c>
    </row>
    <row r="699">
      <c r="A699" t="inlineStr">
        <is>
          <t>Will Morocco win the 2026 FIFA World Cup?</t>
        </is>
      </c>
      <c r="B699" s="4" t="n">
        <v>46206</v>
      </c>
      <c r="C699" s="5" t="n">
        <v>46206.00108796296</v>
      </c>
      <c r="D699" t="inlineStr">
        <is>
          <t>BUY</t>
        </is>
      </c>
      <c r="E699" t="inlineStr">
        <is>
          <t>Yes</t>
        </is>
      </c>
      <c r="F699" s="2" t="n">
        <v>0.024</v>
      </c>
      <c r="G699" s="6" t="n">
        <v>14102.71</v>
      </c>
      <c r="H699" s="6">
        <f>F699*G699</f>
        <v/>
      </c>
      <c r="I699">
        <f>_xlfn.XLOOKUP(A699,MktTitle,MktCat,"n/a")</f>
        <v/>
      </c>
      <c r="J699" s="3">
        <f>_xlfn.XLOOKUP(A699,MktTitle,MktTotVol,0)</f>
        <v/>
      </c>
      <c r="K699">
        <f>IF(H699&gt;WhaleThreshold,"WHALE","")</f>
        <v/>
      </c>
    </row>
    <row r="700">
      <c r="A700" t="inlineStr">
        <is>
          <t>Will Morocco win the 2026 FIFA World Cup?</t>
        </is>
      </c>
      <c r="B700" s="4" t="n">
        <v>46206</v>
      </c>
      <c r="C700" s="5" t="n">
        <v>46206.00099537037</v>
      </c>
      <c r="D700" t="inlineStr">
        <is>
          <t>BUY</t>
        </is>
      </c>
      <c r="E700" t="inlineStr">
        <is>
          <t>No</t>
        </is>
      </c>
      <c r="F700" s="2" t="n">
        <v>0.977</v>
      </c>
      <c r="G700" s="6" t="n">
        <v>68.47490000000001</v>
      </c>
      <c r="H700" s="6">
        <f>F700*G700</f>
        <v/>
      </c>
      <c r="I700">
        <f>_xlfn.XLOOKUP(A700,MktTitle,MktCat,"n/a")</f>
        <v/>
      </c>
      <c r="J700" s="3">
        <f>_xlfn.XLOOKUP(A700,MktTitle,MktTotVol,0)</f>
        <v/>
      </c>
      <c r="K700">
        <f>IF(H700&gt;WhaleThreshold,"WHALE","")</f>
        <v/>
      </c>
    </row>
    <row r="701">
      <c r="A701" t="inlineStr">
        <is>
          <t>Will Morocco win the 2026 FIFA World Cup?</t>
        </is>
      </c>
      <c r="B701" s="4" t="n">
        <v>46205</v>
      </c>
      <c r="C701" s="5" t="n">
        <v>46205.9997337963</v>
      </c>
      <c r="D701" t="inlineStr">
        <is>
          <t>BUY</t>
        </is>
      </c>
      <c r="E701" t="inlineStr">
        <is>
          <t>No</t>
        </is>
      </c>
      <c r="F701" s="2" t="n">
        <v>0.977</v>
      </c>
      <c r="G701" s="6" t="n">
        <v>49.3347</v>
      </c>
      <c r="H701" s="6">
        <f>F701*G701</f>
        <v/>
      </c>
      <c r="I701">
        <f>_xlfn.XLOOKUP(A701,MktTitle,MktCat,"n/a")</f>
        <v/>
      </c>
      <c r="J701" s="3">
        <f>_xlfn.XLOOKUP(A701,MktTitle,MktTotVol,0)</f>
        <v/>
      </c>
      <c r="K701">
        <f>IF(H701&gt;WhaleThreshold,"WHALE","")</f>
        <v/>
      </c>
    </row>
    <row r="702">
      <c r="A702" t="inlineStr">
        <is>
          <t>Will Morocco win the 2026 FIFA World Cup?</t>
        </is>
      </c>
      <c r="B702" s="4" t="n">
        <v>46205</v>
      </c>
      <c r="C702" s="5" t="n">
        <v>46205.99931712963</v>
      </c>
      <c r="D702" t="inlineStr">
        <is>
          <t>SELL</t>
        </is>
      </c>
      <c r="E702" t="inlineStr">
        <is>
          <t>No</t>
        </is>
      </c>
      <c r="F702" s="2" t="n">
        <v>0.976</v>
      </c>
      <c r="G702" s="6" t="n">
        <v>101.54</v>
      </c>
      <c r="H702" s="6">
        <f>F702*G702</f>
        <v/>
      </c>
      <c r="I702">
        <f>_xlfn.XLOOKUP(A702,MktTitle,MktCat,"n/a")</f>
        <v/>
      </c>
      <c r="J702" s="3">
        <f>_xlfn.XLOOKUP(A702,MktTitle,MktTotVol,0)</f>
        <v/>
      </c>
      <c r="K702">
        <f>IF(H702&gt;WhaleThreshold,"WHALE","")</f>
        <v/>
      </c>
    </row>
    <row r="703">
      <c r="A703" t="inlineStr">
        <is>
          <t>Will Morocco win the 2026 FIFA World Cup?</t>
        </is>
      </c>
      <c r="B703" s="4" t="n">
        <v>46205</v>
      </c>
      <c r="C703" s="5" t="n">
        <v>46205.99803240741</v>
      </c>
      <c r="D703" t="inlineStr">
        <is>
          <t>SELL</t>
        </is>
      </c>
      <c r="E703" t="inlineStr">
        <is>
          <t>Yes</t>
        </is>
      </c>
      <c r="F703" s="2" t="n">
        <v>0.023</v>
      </c>
      <c r="G703" s="6" t="n">
        <v>7722.71</v>
      </c>
      <c r="H703" s="6">
        <f>F703*G703</f>
        <v/>
      </c>
      <c r="I703">
        <f>_xlfn.XLOOKUP(A703,MktTitle,MktCat,"n/a")</f>
        <v/>
      </c>
      <c r="J703" s="3">
        <f>_xlfn.XLOOKUP(A703,MktTitle,MktTotVol,0)</f>
        <v/>
      </c>
      <c r="K703">
        <f>IF(H703&gt;WhaleThreshold,"WHALE","")</f>
        <v/>
      </c>
    </row>
    <row r="704">
      <c r="A704" t="inlineStr">
        <is>
          <t>Will Morocco win the 2026 FIFA World Cup?</t>
        </is>
      </c>
      <c r="B704" s="4" t="n">
        <v>46205</v>
      </c>
      <c r="C704" s="5" t="n">
        <v>46205.99792824074</v>
      </c>
      <c r="D704" t="inlineStr">
        <is>
          <t>BUY</t>
        </is>
      </c>
      <c r="E704" t="inlineStr">
        <is>
          <t>Yes</t>
        </is>
      </c>
      <c r="F704" s="2" t="n">
        <v>0.024</v>
      </c>
      <c r="G704" s="6" t="n">
        <v>633.33</v>
      </c>
      <c r="H704" s="6">
        <f>F704*G704</f>
        <v/>
      </c>
      <c r="I704">
        <f>_xlfn.XLOOKUP(A704,MktTitle,MktCat,"n/a")</f>
        <v/>
      </c>
      <c r="J704" s="3">
        <f>_xlfn.XLOOKUP(A704,MktTitle,MktTotVol,0)</f>
        <v/>
      </c>
      <c r="K704">
        <f>IF(H704&gt;WhaleThreshold,"WHALE","")</f>
        <v/>
      </c>
    </row>
    <row r="705">
      <c r="A705" t="inlineStr">
        <is>
          <t>Will Morocco win the 2026 FIFA World Cup?</t>
        </is>
      </c>
      <c r="B705" s="4" t="n">
        <v>46205</v>
      </c>
      <c r="C705" s="5" t="n">
        <v>46205.99758101852</v>
      </c>
      <c r="D705" t="inlineStr">
        <is>
          <t>BUY</t>
        </is>
      </c>
      <c r="E705" t="inlineStr">
        <is>
          <t>Yes</t>
        </is>
      </c>
      <c r="F705" s="2" t="n">
        <v>0.024</v>
      </c>
      <c r="G705" s="6" t="n">
        <v>4166.6667</v>
      </c>
      <c r="H705" s="6">
        <f>F705*G705</f>
        <v/>
      </c>
      <c r="I705">
        <f>_xlfn.XLOOKUP(A705,MktTitle,MktCat,"n/a")</f>
        <v/>
      </c>
      <c r="J705" s="3">
        <f>_xlfn.XLOOKUP(A705,MktTitle,MktTotVol,0)</f>
        <v/>
      </c>
      <c r="K705">
        <f>IF(H705&gt;WhaleThreshold,"WHALE","")</f>
        <v/>
      </c>
    </row>
    <row r="706">
      <c r="A706" t="inlineStr">
        <is>
          <t>Will Morocco win the 2026 FIFA World Cup?</t>
        </is>
      </c>
      <c r="B706" s="4" t="n">
        <v>46205</v>
      </c>
      <c r="C706" s="5" t="n">
        <v>46205.9970949074</v>
      </c>
      <c r="D706" t="inlineStr">
        <is>
          <t>BUY</t>
        </is>
      </c>
      <c r="E706" t="inlineStr">
        <is>
          <t>Yes</t>
        </is>
      </c>
      <c r="F706" s="2" t="n">
        <v>0.024</v>
      </c>
      <c r="G706" s="6" t="n">
        <v>181.13</v>
      </c>
      <c r="H706" s="6">
        <f>F706*G706</f>
        <v/>
      </c>
      <c r="I706">
        <f>_xlfn.XLOOKUP(A706,MktTitle,MktCat,"n/a")</f>
        <v/>
      </c>
      <c r="J706" s="3">
        <f>_xlfn.XLOOKUP(A706,MktTitle,MktTotVol,0)</f>
        <v/>
      </c>
      <c r="K706">
        <f>IF(H706&gt;WhaleThreshold,"WHALE","")</f>
        <v/>
      </c>
    </row>
    <row r="707">
      <c r="A707" t="inlineStr">
        <is>
          <t>Will Morocco win the 2026 FIFA World Cup?</t>
        </is>
      </c>
      <c r="B707" s="4" t="n">
        <v>46205</v>
      </c>
      <c r="C707" s="5" t="n">
        <v>46205.99657407407</v>
      </c>
      <c r="D707" t="inlineStr">
        <is>
          <t>BUY</t>
        </is>
      </c>
      <c r="E707" t="inlineStr">
        <is>
          <t>Yes</t>
        </is>
      </c>
      <c r="F707" s="2" t="n">
        <v>0.024</v>
      </c>
      <c r="G707" s="6" t="n">
        <v>108.08</v>
      </c>
      <c r="H707" s="6">
        <f>F707*G707</f>
        <v/>
      </c>
      <c r="I707">
        <f>_xlfn.XLOOKUP(A707,MktTitle,MktCat,"n/a")</f>
        <v/>
      </c>
      <c r="J707" s="3">
        <f>_xlfn.XLOOKUP(A707,MktTitle,MktTotVol,0)</f>
        <v/>
      </c>
      <c r="K707">
        <f>IF(H707&gt;WhaleThreshold,"WHALE","")</f>
        <v/>
      </c>
    </row>
    <row r="708">
      <c r="A708" t="inlineStr">
        <is>
          <t>Will Morocco win the 2026 FIFA World Cup?</t>
        </is>
      </c>
      <c r="B708" s="4" t="n">
        <v>46205</v>
      </c>
      <c r="C708" s="5" t="n">
        <v>46205.9965162037</v>
      </c>
      <c r="D708" t="inlineStr">
        <is>
          <t>BUY</t>
        </is>
      </c>
      <c r="E708" t="inlineStr">
        <is>
          <t>Yes</t>
        </is>
      </c>
      <c r="F708" s="2" t="n">
        <v>0.024</v>
      </c>
      <c r="G708" s="6" t="n">
        <v>41.6667</v>
      </c>
      <c r="H708" s="6">
        <f>F708*G708</f>
        <v/>
      </c>
      <c r="I708">
        <f>_xlfn.XLOOKUP(A708,MktTitle,MktCat,"n/a")</f>
        <v/>
      </c>
      <c r="J708" s="3">
        <f>_xlfn.XLOOKUP(A708,MktTitle,MktTotVol,0)</f>
        <v/>
      </c>
      <c r="K708">
        <f>IF(H708&gt;WhaleThreshold,"WHALE","")</f>
        <v/>
      </c>
    </row>
    <row r="709">
      <c r="A709" t="inlineStr">
        <is>
          <t>Will Morocco win the 2026 FIFA World Cup?</t>
        </is>
      </c>
      <c r="B709" s="4" t="n">
        <v>46205</v>
      </c>
      <c r="C709" s="5" t="n">
        <v>46205.99547453703</v>
      </c>
      <c r="D709" t="inlineStr">
        <is>
          <t>BUY</t>
        </is>
      </c>
      <c r="E709" t="inlineStr">
        <is>
          <t>Yes</t>
        </is>
      </c>
      <c r="F709" s="2" t="n">
        <v>0.024</v>
      </c>
      <c r="G709" s="6" t="n">
        <v>4200</v>
      </c>
      <c r="H709" s="6">
        <f>F709*G709</f>
        <v/>
      </c>
      <c r="I709">
        <f>_xlfn.XLOOKUP(A709,MktTitle,MktCat,"n/a")</f>
        <v/>
      </c>
      <c r="J709" s="3">
        <f>_xlfn.XLOOKUP(A709,MktTitle,MktTotVol,0)</f>
        <v/>
      </c>
      <c r="K709">
        <f>IF(H709&gt;WhaleThreshold,"WHALE","")</f>
        <v/>
      </c>
    </row>
    <row r="710">
      <c r="A710" t="inlineStr">
        <is>
          <t>Will Morocco win the 2026 FIFA World Cup?</t>
        </is>
      </c>
      <c r="B710" s="4" t="n">
        <v>46205</v>
      </c>
      <c r="C710" s="5" t="n">
        <v>46205.9922337963</v>
      </c>
      <c r="D710" t="inlineStr">
        <is>
          <t>BUY</t>
        </is>
      </c>
      <c r="E710" t="inlineStr">
        <is>
          <t>Yes</t>
        </is>
      </c>
      <c r="F710" s="2" t="n">
        <v>0.024</v>
      </c>
      <c r="G710" s="6" t="n">
        <v>545.41</v>
      </c>
      <c r="H710" s="6">
        <f>F710*G710</f>
        <v/>
      </c>
      <c r="I710">
        <f>_xlfn.XLOOKUP(A710,MktTitle,MktCat,"n/a")</f>
        <v/>
      </c>
      <c r="J710" s="3">
        <f>_xlfn.XLOOKUP(A710,MktTitle,MktTotVol,0)</f>
        <v/>
      </c>
      <c r="K710">
        <f>IF(H710&gt;WhaleThreshold,"WHALE","")</f>
        <v/>
      </c>
    </row>
    <row r="711">
      <c r="A711" t="inlineStr">
        <is>
          <t>Will Morocco win the 2026 FIFA World Cup?</t>
        </is>
      </c>
      <c r="B711" s="4" t="n">
        <v>46205</v>
      </c>
      <c r="C711" s="5" t="n">
        <v>46205.99030092593</v>
      </c>
      <c r="D711" t="inlineStr">
        <is>
          <t>BUY</t>
        </is>
      </c>
      <c r="E711" t="inlineStr">
        <is>
          <t>Yes</t>
        </is>
      </c>
      <c r="F711" s="2" t="n">
        <v>0.024</v>
      </c>
      <c r="G711" s="6" t="n">
        <v>41.6667</v>
      </c>
      <c r="H711" s="6">
        <f>F711*G711</f>
        <v/>
      </c>
      <c r="I711">
        <f>_xlfn.XLOOKUP(A711,MktTitle,MktCat,"n/a")</f>
        <v/>
      </c>
      <c r="J711" s="3">
        <f>_xlfn.XLOOKUP(A711,MktTitle,MktTotVol,0)</f>
        <v/>
      </c>
      <c r="K711">
        <f>IF(H711&gt;WhaleThreshold,"WHALE","")</f>
        <v/>
      </c>
    </row>
    <row r="712">
      <c r="A712" t="inlineStr">
        <is>
          <t>Will Morocco win the 2026 FIFA World Cup?</t>
        </is>
      </c>
      <c r="B712" s="4" t="n">
        <v>46205</v>
      </c>
      <c r="C712" s="5" t="n">
        <v>46205.98964120371</v>
      </c>
      <c r="D712" t="inlineStr">
        <is>
          <t>SELL</t>
        </is>
      </c>
      <c r="E712" t="inlineStr">
        <is>
          <t>Yes</t>
        </is>
      </c>
      <c r="F712" s="2" t="n">
        <v>0.024</v>
      </c>
      <c r="G712" s="6" t="n">
        <v>24750.99</v>
      </c>
      <c r="H712" s="6">
        <f>F712*G712</f>
        <v/>
      </c>
      <c r="I712">
        <f>_xlfn.XLOOKUP(A712,MktTitle,MktCat,"n/a")</f>
        <v/>
      </c>
      <c r="J712" s="3">
        <f>_xlfn.XLOOKUP(A712,MktTitle,MktTotVol,0)</f>
        <v/>
      </c>
      <c r="K712">
        <f>IF(H712&gt;WhaleThreshold,"WHALE","")</f>
        <v/>
      </c>
    </row>
    <row r="713">
      <c r="A713" t="inlineStr">
        <is>
          <t>Will Morocco win the 2026 FIFA World Cup?</t>
        </is>
      </c>
      <c r="B713" s="4" t="n">
        <v>46205</v>
      </c>
      <c r="C713" s="5" t="n">
        <v>46205.98835648148</v>
      </c>
      <c r="D713" t="inlineStr">
        <is>
          <t>SELL</t>
        </is>
      </c>
      <c r="E713" t="inlineStr">
        <is>
          <t>Yes</t>
        </is>
      </c>
      <c r="F713" s="2" t="n">
        <v>0.024</v>
      </c>
      <c r="G713" s="6" t="n">
        <v>1000</v>
      </c>
      <c r="H713" s="6">
        <f>F713*G713</f>
        <v/>
      </c>
      <c r="I713">
        <f>_xlfn.XLOOKUP(A713,MktTitle,MktCat,"n/a")</f>
        <v/>
      </c>
      <c r="J713" s="3">
        <f>_xlfn.XLOOKUP(A713,MktTitle,MktTotVol,0)</f>
        <v/>
      </c>
      <c r="K713">
        <f>IF(H713&gt;WhaleThreshold,"WHALE","")</f>
        <v/>
      </c>
    </row>
    <row r="714">
      <c r="A714" t="inlineStr">
        <is>
          <t>Will Morocco win the 2026 FIFA World Cup?</t>
        </is>
      </c>
      <c r="B714" s="4" t="n">
        <v>46205</v>
      </c>
      <c r="C714" s="5" t="n">
        <v>46205.98696759259</v>
      </c>
      <c r="D714" t="inlineStr">
        <is>
          <t>SELL</t>
        </is>
      </c>
      <c r="E714" t="inlineStr">
        <is>
          <t>No</t>
        </is>
      </c>
      <c r="F714" s="2" t="n">
        <v>0.975</v>
      </c>
      <c r="G714" s="6" t="n">
        <v>286.13</v>
      </c>
      <c r="H714" s="6">
        <f>F714*G714</f>
        <v/>
      </c>
      <c r="I714">
        <f>_xlfn.XLOOKUP(A714,MktTitle,MktCat,"n/a")</f>
        <v/>
      </c>
      <c r="J714" s="3">
        <f>_xlfn.XLOOKUP(A714,MktTitle,MktTotVol,0)</f>
        <v/>
      </c>
      <c r="K714">
        <f>IF(H714&gt;WhaleThreshold,"WHALE","")</f>
        <v/>
      </c>
    </row>
    <row r="715">
      <c r="A715" t="inlineStr">
        <is>
          <t>Will Morocco win the 2026 FIFA World Cup?</t>
        </is>
      </c>
      <c r="B715" s="4" t="n">
        <v>46205</v>
      </c>
      <c r="C715" s="5" t="n">
        <v>46205.98641203704</v>
      </c>
      <c r="D715" t="inlineStr">
        <is>
          <t>BUY</t>
        </is>
      </c>
      <c r="E715" t="inlineStr">
        <is>
          <t>No</t>
        </is>
      </c>
      <c r="F715" s="2" t="n">
        <v>0.976</v>
      </c>
      <c r="G715" s="6" t="n">
        <v>300</v>
      </c>
      <c r="H715" s="6">
        <f>F715*G715</f>
        <v/>
      </c>
      <c r="I715">
        <f>_xlfn.XLOOKUP(A715,MktTitle,MktCat,"n/a")</f>
        <v/>
      </c>
      <c r="J715" s="3">
        <f>_xlfn.XLOOKUP(A715,MktTitle,MktTotVol,0)</f>
        <v/>
      </c>
      <c r="K715">
        <f>IF(H715&gt;WhaleThreshold,"WHALE","")</f>
        <v/>
      </c>
    </row>
    <row r="716">
      <c r="A716" t="inlineStr">
        <is>
          <t>Will Morocco win the 2026 FIFA World Cup?</t>
        </is>
      </c>
      <c r="B716" s="4" t="n">
        <v>46205</v>
      </c>
      <c r="C716" s="5" t="n">
        <v>46205.98549768519</v>
      </c>
      <c r="D716" t="inlineStr">
        <is>
          <t>BUY</t>
        </is>
      </c>
      <c r="E716" t="inlineStr">
        <is>
          <t>Yes</t>
        </is>
      </c>
      <c r="F716" s="2" t="n">
        <v>0.025</v>
      </c>
      <c r="G716" s="6" t="n">
        <v>1133.2</v>
      </c>
      <c r="H716" s="6">
        <f>F716*G716</f>
        <v/>
      </c>
      <c r="I716">
        <f>_xlfn.XLOOKUP(A716,MktTitle,MktCat,"n/a")</f>
        <v/>
      </c>
      <c r="J716" s="3">
        <f>_xlfn.XLOOKUP(A716,MktTitle,MktTotVol,0)</f>
        <v/>
      </c>
      <c r="K716">
        <f>IF(H716&gt;WhaleThreshold,"WHALE","")</f>
        <v/>
      </c>
    </row>
    <row r="717">
      <c r="A717" t="inlineStr">
        <is>
          <t>Will Morocco win the 2026 FIFA World Cup?</t>
        </is>
      </c>
      <c r="B717" s="4" t="n">
        <v>46205</v>
      </c>
      <c r="C717" s="5" t="n">
        <v>46205.98453703704</v>
      </c>
      <c r="D717" t="inlineStr">
        <is>
          <t>BUY</t>
        </is>
      </c>
      <c r="E717" t="inlineStr">
        <is>
          <t>No</t>
        </is>
      </c>
      <c r="F717" s="2" t="n">
        <v>0.976</v>
      </c>
      <c r="G717" s="6" t="n">
        <v>286.13</v>
      </c>
      <c r="H717" s="6">
        <f>F717*G717</f>
        <v/>
      </c>
      <c r="I717">
        <f>_xlfn.XLOOKUP(A717,MktTitle,MktCat,"n/a")</f>
        <v/>
      </c>
      <c r="J717" s="3">
        <f>_xlfn.XLOOKUP(A717,MktTitle,MktTotVol,0)</f>
        <v/>
      </c>
      <c r="K717">
        <f>IF(H717&gt;WhaleThreshold,"WHALE","")</f>
        <v/>
      </c>
    </row>
    <row r="718">
      <c r="A718" t="inlineStr">
        <is>
          <t>Will Morocco win the 2026 FIFA World Cup?</t>
        </is>
      </c>
      <c r="B718" s="4" t="n">
        <v>46205</v>
      </c>
      <c r="C718" s="5" t="n">
        <v>46205.98346064815</v>
      </c>
      <c r="D718" t="inlineStr">
        <is>
          <t>BUY</t>
        </is>
      </c>
      <c r="E718" t="inlineStr">
        <is>
          <t>Yes</t>
        </is>
      </c>
      <c r="F718" s="2" t="n">
        <v>0.025</v>
      </c>
      <c r="G718" s="6" t="n">
        <v>368</v>
      </c>
      <c r="H718" s="6">
        <f>F718*G718</f>
        <v/>
      </c>
      <c r="I718">
        <f>_xlfn.XLOOKUP(A718,MktTitle,MktCat,"n/a")</f>
        <v/>
      </c>
      <c r="J718" s="3">
        <f>_xlfn.XLOOKUP(A718,MktTitle,MktTotVol,0)</f>
        <v/>
      </c>
      <c r="K718">
        <f>IF(H718&gt;WhaleThreshold,"WHALE","")</f>
        <v/>
      </c>
    </row>
    <row r="719">
      <c r="A719" t="inlineStr">
        <is>
          <t>Will Morocco win the 2026 FIFA World Cup?</t>
        </is>
      </c>
      <c r="B719" s="4" t="n">
        <v>46205</v>
      </c>
      <c r="C719" s="5" t="n">
        <v>46205.98158564815</v>
      </c>
      <c r="D719" t="inlineStr">
        <is>
          <t>BUY</t>
        </is>
      </c>
      <c r="E719" t="inlineStr">
        <is>
          <t>Yes</t>
        </is>
      </c>
      <c r="F719" s="2" t="n">
        <v>0.025</v>
      </c>
      <c r="G719" s="6" t="n">
        <v>80</v>
      </c>
      <c r="H719" s="6">
        <f>F719*G719</f>
        <v/>
      </c>
      <c r="I719">
        <f>_xlfn.XLOOKUP(A719,MktTitle,MktCat,"n/a")</f>
        <v/>
      </c>
      <c r="J719" s="3">
        <f>_xlfn.XLOOKUP(A719,MktTitle,MktTotVol,0)</f>
        <v/>
      </c>
      <c r="K719">
        <f>IF(H719&gt;WhaleThreshold,"WHALE","")</f>
        <v/>
      </c>
    </row>
    <row r="720">
      <c r="A720" t="inlineStr">
        <is>
          <t>Will Morocco win the 2026 FIFA World Cup?</t>
        </is>
      </c>
      <c r="B720" s="4" t="n">
        <v>46205</v>
      </c>
      <c r="C720" s="5" t="n">
        <v>46205.98113425926</v>
      </c>
      <c r="D720" t="inlineStr">
        <is>
          <t>BUY</t>
        </is>
      </c>
      <c r="E720" t="inlineStr">
        <is>
          <t>No</t>
        </is>
      </c>
      <c r="F720" s="2" t="n">
        <v>0.976</v>
      </c>
      <c r="G720" s="6" t="n">
        <v>36.2602</v>
      </c>
      <c r="H720" s="6">
        <f>F720*G720</f>
        <v/>
      </c>
      <c r="I720">
        <f>_xlfn.XLOOKUP(A720,MktTitle,MktCat,"n/a")</f>
        <v/>
      </c>
      <c r="J720" s="3">
        <f>_xlfn.XLOOKUP(A720,MktTitle,MktTotVol,0)</f>
        <v/>
      </c>
      <c r="K720">
        <f>IF(H720&gt;WhaleThreshold,"WHALE","")</f>
        <v/>
      </c>
    </row>
    <row r="721">
      <c r="A721" t="inlineStr">
        <is>
          <t>Will Morocco win the 2026 FIFA World Cup?</t>
        </is>
      </c>
      <c r="B721" s="4" t="n">
        <v>46205</v>
      </c>
      <c r="C721" s="5" t="n">
        <v>46205.97910879629</v>
      </c>
      <c r="D721" t="inlineStr">
        <is>
          <t>BUY</t>
        </is>
      </c>
      <c r="E721" t="inlineStr">
        <is>
          <t>Yes</t>
        </is>
      </c>
      <c r="F721" s="2" t="n">
        <v>0.025</v>
      </c>
      <c r="G721" s="6" t="n">
        <v>363.27</v>
      </c>
      <c r="H721" s="6">
        <f>F721*G721</f>
        <v/>
      </c>
      <c r="I721">
        <f>_xlfn.XLOOKUP(A721,MktTitle,MktCat,"n/a")</f>
        <v/>
      </c>
      <c r="J721" s="3">
        <f>_xlfn.XLOOKUP(A721,MktTitle,MktTotVol,0)</f>
        <v/>
      </c>
      <c r="K721">
        <f>IF(H721&gt;WhaleThreshold,"WHALE","")</f>
        <v/>
      </c>
    </row>
    <row r="722">
      <c r="A722" t="inlineStr">
        <is>
          <t>Will Morocco win the 2026 FIFA World Cup?</t>
        </is>
      </c>
      <c r="B722" s="4" t="n">
        <v>46205</v>
      </c>
      <c r="C722" s="5" t="n">
        <v>46205.97648148148</v>
      </c>
      <c r="D722" t="inlineStr">
        <is>
          <t>SELL</t>
        </is>
      </c>
      <c r="E722" t="inlineStr">
        <is>
          <t>Yes</t>
        </is>
      </c>
      <c r="F722" s="2" t="n">
        <v>0.024</v>
      </c>
      <c r="G722" s="6" t="n">
        <v>21400.79</v>
      </c>
      <c r="H722" s="6">
        <f>F722*G722</f>
        <v/>
      </c>
      <c r="I722">
        <f>_xlfn.XLOOKUP(A722,MktTitle,MktCat,"n/a")</f>
        <v/>
      </c>
      <c r="J722" s="3">
        <f>_xlfn.XLOOKUP(A722,MktTitle,MktTotVol,0)</f>
        <v/>
      </c>
      <c r="K722">
        <f>IF(H722&gt;WhaleThreshold,"WHALE","")</f>
        <v/>
      </c>
    </row>
    <row r="723">
      <c r="A723" t="inlineStr">
        <is>
          <t>Will Morocco win the 2026 FIFA World Cup?</t>
        </is>
      </c>
      <c r="B723" s="4" t="n">
        <v>46205</v>
      </c>
      <c r="C723" s="5" t="n">
        <v>46205.97636574074</v>
      </c>
      <c r="D723" t="inlineStr">
        <is>
          <t>BUY</t>
        </is>
      </c>
      <c r="E723" t="inlineStr">
        <is>
          <t>Yes</t>
        </is>
      </c>
      <c r="F723" s="2" t="n">
        <v>0.025</v>
      </c>
      <c r="G723" s="6" t="n">
        <v>99.06999999999999</v>
      </c>
      <c r="H723" s="6">
        <f>F723*G723</f>
        <v/>
      </c>
      <c r="I723">
        <f>_xlfn.XLOOKUP(A723,MktTitle,MktCat,"n/a")</f>
        <v/>
      </c>
      <c r="J723" s="3">
        <f>_xlfn.XLOOKUP(A723,MktTitle,MktTotVol,0)</f>
        <v/>
      </c>
      <c r="K723">
        <f>IF(H723&gt;WhaleThreshold,"WHALE","")</f>
        <v/>
      </c>
    </row>
    <row r="724">
      <c r="A724" t="inlineStr">
        <is>
          <t>Will Morocco win the 2026 FIFA World Cup?</t>
        </is>
      </c>
      <c r="B724" s="4" t="n">
        <v>46205</v>
      </c>
      <c r="C724" s="5" t="n">
        <v>46205.97578703704</v>
      </c>
      <c r="D724" t="inlineStr">
        <is>
          <t>BUY</t>
        </is>
      </c>
      <c r="E724" t="inlineStr">
        <is>
          <t>No</t>
        </is>
      </c>
      <c r="F724" s="2" t="n">
        <v>0.976</v>
      </c>
      <c r="G724" s="6" t="n">
        <v>51.86</v>
      </c>
      <c r="H724" s="6">
        <f>F724*G724</f>
        <v/>
      </c>
      <c r="I724">
        <f>_xlfn.XLOOKUP(A724,MktTitle,MktCat,"n/a")</f>
        <v/>
      </c>
      <c r="J724" s="3">
        <f>_xlfn.XLOOKUP(A724,MktTitle,MktTotVol,0)</f>
        <v/>
      </c>
      <c r="K724">
        <f>IF(H724&gt;WhaleThreshold,"WHALE","")</f>
        <v/>
      </c>
    </row>
    <row r="725">
      <c r="A725" t="inlineStr">
        <is>
          <t>Will Morocco win the 2026 FIFA World Cup?</t>
        </is>
      </c>
      <c r="B725" s="4" t="n">
        <v>46205</v>
      </c>
      <c r="C725" s="5" t="n">
        <v>46205.97574074074</v>
      </c>
      <c r="D725" t="inlineStr">
        <is>
          <t>BUY</t>
        </is>
      </c>
      <c r="E725" t="inlineStr">
        <is>
          <t>No</t>
        </is>
      </c>
      <c r="F725" s="2" t="n">
        <v>0.976</v>
      </c>
      <c r="G725" s="6" t="n">
        <v>25.2</v>
      </c>
      <c r="H725" s="6">
        <f>F725*G725</f>
        <v/>
      </c>
      <c r="I725">
        <f>_xlfn.XLOOKUP(A725,MktTitle,MktCat,"n/a")</f>
        <v/>
      </c>
      <c r="J725" s="3">
        <f>_xlfn.XLOOKUP(A725,MktTitle,MktTotVol,0)</f>
        <v/>
      </c>
      <c r="K725">
        <f>IF(H725&gt;WhaleThreshold,"WHALE","")</f>
        <v/>
      </c>
    </row>
    <row r="726">
      <c r="A726" t="inlineStr">
        <is>
          <t>Will Morocco win the 2026 FIFA World Cup?</t>
        </is>
      </c>
      <c r="B726" s="4" t="n">
        <v>46205</v>
      </c>
      <c r="C726" s="5" t="n">
        <v>46205.97571759259</v>
      </c>
      <c r="D726" t="inlineStr">
        <is>
          <t>BUY</t>
        </is>
      </c>
      <c r="E726" t="inlineStr">
        <is>
          <t>No</t>
        </is>
      </c>
      <c r="F726" s="2" t="n">
        <v>0.976</v>
      </c>
      <c r="G726" s="6" t="n">
        <v>50.3</v>
      </c>
      <c r="H726" s="6">
        <f>F726*G726</f>
        <v/>
      </c>
      <c r="I726">
        <f>_xlfn.XLOOKUP(A726,MktTitle,MktCat,"n/a")</f>
        <v/>
      </c>
      <c r="J726" s="3">
        <f>_xlfn.XLOOKUP(A726,MktTitle,MktTotVol,0)</f>
        <v/>
      </c>
      <c r="K726">
        <f>IF(H726&gt;WhaleThreshold,"WHALE","")</f>
        <v/>
      </c>
    </row>
    <row r="727">
      <c r="A727" t="inlineStr">
        <is>
          <t>Will Morocco win the 2026 FIFA World Cup?</t>
        </is>
      </c>
      <c r="B727" s="4" t="n">
        <v>46205</v>
      </c>
      <c r="C727" s="5" t="n">
        <v>46205.97571759259</v>
      </c>
      <c r="D727" t="inlineStr">
        <is>
          <t>BUY</t>
        </is>
      </c>
      <c r="E727" t="inlineStr">
        <is>
          <t>No</t>
        </is>
      </c>
      <c r="F727" s="2" t="n">
        <v>0.976</v>
      </c>
      <c r="G727" s="6" t="n">
        <v>2.95</v>
      </c>
      <c r="H727" s="6">
        <f>F727*G727</f>
        <v/>
      </c>
      <c r="I727">
        <f>_xlfn.XLOOKUP(A727,MktTitle,MktCat,"n/a")</f>
        <v/>
      </c>
      <c r="J727" s="3">
        <f>_xlfn.XLOOKUP(A727,MktTitle,MktTotVol,0)</f>
        <v/>
      </c>
      <c r="K727">
        <f>IF(H727&gt;WhaleThreshold,"WHALE","")</f>
        <v/>
      </c>
    </row>
    <row r="728">
      <c r="A728" t="inlineStr">
        <is>
          <t>Will Morocco win the 2026 FIFA World Cup?</t>
        </is>
      </c>
      <c r="B728" s="4" t="n">
        <v>46205</v>
      </c>
      <c r="C728" s="5" t="n">
        <v>46205.97532407408</v>
      </c>
      <c r="D728" t="inlineStr">
        <is>
          <t>BUY</t>
        </is>
      </c>
      <c r="E728" t="inlineStr">
        <is>
          <t>No</t>
        </is>
      </c>
      <c r="F728" s="2" t="n">
        <v>0.976</v>
      </c>
      <c r="G728" s="6" t="n">
        <v>2.99</v>
      </c>
      <c r="H728" s="6">
        <f>F728*G728</f>
        <v/>
      </c>
      <c r="I728">
        <f>_xlfn.XLOOKUP(A728,MktTitle,MktCat,"n/a")</f>
        <v/>
      </c>
      <c r="J728" s="3">
        <f>_xlfn.XLOOKUP(A728,MktTitle,MktTotVol,0)</f>
        <v/>
      </c>
      <c r="K728">
        <f>IF(H728&gt;WhaleThreshold,"WHALE","")</f>
        <v/>
      </c>
    </row>
    <row r="729">
      <c r="A729" t="inlineStr">
        <is>
          <t>Will Morocco win the 2026 FIFA World Cup?</t>
        </is>
      </c>
      <c r="B729" s="4" t="n">
        <v>46205</v>
      </c>
      <c r="C729" s="5" t="n">
        <v>46205.97532407408</v>
      </c>
      <c r="D729" t="inlineStr">
        <is>
          <t>BUY</t>
        </is>
      </c>
      <c r="E729" t="inlineStr">
        <is>
          <t>No</t>
        </is>
      </c>
      <c r="F729" s="2" t="n">
        <v>0.976</v>
      </c>
      <c r="G729" s="6" t="n">
        <v>24.6</v>
      </c>
      <c r="H729" s="6">
        <f>F729*G729</f>
        <v/>
      </c>
      <c r="I729">
        <f>_xlfn.XLOOKUP(A729,MktTitle,MktCat,"n/a")</f>
        <v/>
      </c>
      <c r="J729" s="3">
        <f>_xlfn.XLOOKUP(A729,MktTitle,MktTotVol,0)</f>
        <v/>
      </c>
      <c r="K729">
        <f>IF(H729&gt;WhaleThreshold,"WHALE","")</f>
        <v/>
      </c>
    </row>
    <row r="730">
      <c r="A730" t="inlineStr">
        <is>
          <t>Will Morocco win the 2026 FIFA World Cup?</t>
        </is>
      </c>
      <c r="B730" s="4" t="n">
        <v>46205</v>
      </c>
      <c r="C730" s="5" t="n">
        <v>46205.97528935185</v>
      </c>
      <c r="D730" t="inlineStr">
        <is>
          <t>BUY</t>
        </is>
      </c>
      <c r="E730" t="inlineStr">
        <is>
          <t>No</t>
        </is>
      </c>
      <c r="F730" s="2" t="n">
        <v>0.976</v>
      </c>
      <c r="G730" s="6" t="n">
        <v>49.2</v>
      </c>
      <c r="H730" s="6">
        <f>F730*G730</f>
        <v/>
      </c>
      <c r="I730">
        <f>_xlfn.XLOOKUP(A730,MktTitle,MktCat,"n/a")</f>
        <v/>
      </c>
      <c r="J730" s="3">
        <f>_xlfn.XLOOKUP(A730,MktTitle,MktTotVol,0)</f>
        <v/>
      </c>
      <c r="K730">
        <f>IF(H730&gt;WhaleThreshold,"WHALE","")</f>
        <v/>
      </c>
    </row>
    <row r="731">
      <c r="A731" t="inlineStr">
        <is>
          <t>Will Morocco win the 2026 FIFA World Cup?</t>
        </is>
      </c>
      <c r="B731" s="4" t="n">
        <v>46205</v>
      </c>
      <c r="C731" s="5" t="n">
        <v>46205.97525462963</v>
      </c>
      <c r="D731" t="inlineStr">
        <is>
          <t>BUY</t>
        </is>
      </c>
      <c r="E731" t="inlineStr">
        <is>
          <t>No</t>
        </is>
      </c>
      <c r="F731" s="2" t="n">
        <v>0.976</v>
      </c>
      <c r="G731" s="6" t="n">
        <v>55.02</v>
      </c>
      <c r="H731" s="6">
        <f>F731*G731</f>
        <v/>
      </c>
      <c r="I731">
        <f>_xlfn.XLOOKUP(A731,MktTitle,MktCat,"n/a")</f>
        <v/>
      </c>
      <c r="J731" s="3">
        <f>_xlfn.XLOOKUP(A731,MktTitle,MktTotVol,0)</f>
        <v/>
      </c>
      <c r="K731">
        <f>IF(H731&gt;WhaleThreshold,"WHALE","")</f>
        <v/>
      </c>
    </row>
    <row r="732">
      <c r="A732" t="inlineStr">
        <is>
          <t>Will Morocco win the 2026 FIFA World Cup?</t>
        </is>
      </c>
      <c r="B732" s="4" t="n">
        <v>46205</v>
      </c>
      <c r="C732" s="5" t="n">
        <v>46205.97518518518</v>
      </c>
      <c r="D732" t="inlineStr">
        <is>
          <t>BUY</t>
        </is>
      </c>
      <c r="E732" t="inlineStr">
        <is>
          <t>No</t>
        </is>
      </c>
      <c r="F732" s="2" t="n">
        <v>0.976</v>
      </c>
      <c r="G732" s="6" t="n">
        <v>10</v>
      </c>
      <c r="H732" s="6">
        <f>F732*G732</f>
        <v/>
      </c>
      <c r="I732">
        <f>_xlfn.XLOOKUP(A732,MktTitle,MktCat,"n/a")</f>
        <v/>
      </c>
      <c r="J732" s="3">
        <f>_xlfn.XLOOKUP(A732,MktTitle,MktTotVol,0)</f>
        <v/>
      </c>
      <c r="K732">
        <f>IF(H732&gt;WhaleThreshold,"WHALE","")</f>
        <v/>
      </c>
    </row>
    <row r="733">
      <c r="A733" t="inlineStr">
        <is>
          <t>Will Morocco win the 2026 FIFA World Cup?</t>
        </is>
      </c>
      <c r="B733" s="4" t="n">
        <v>46205</v>
      </c>
      <c r="C733" s="5" t="n">
        <v>46205.97518518518</v>
      </c>
      <c r="D733" t="inlineStr">
        <is>
          <t>BUY</t>
        </is>
      </c>
      <c r="E733" t="inlineStr">
        <is>
          <t>No</t>
        </is>
      </c>
      <c r="F733" s="2" t="n">
        <v>0.976</v>
      </c>
      <c r="G733" s="6" t="n">
        <v>3.15</v>
      </c>
      <c r="H733" s="6">
        <f>F733*G733</f>
        <v/>
      </c>
      <c r="I733">
        <f>_xlfn.XLOOKUP(A733,MktTitle,MktCat,"n/a")</f>
        <v/>
      </c>
      <c r="J733" s="3">
        <f>_xlfn.XLOOKUP(A733,MktTitle,MktTotVol,0)</f>
        <v/>
      </c>
      <c r="K733">
        <f>IF(H733&gt;WhaleThreshold,"WHALE","")</f>
        <v/>
      </c>
    </row>
    <row r="734">
      <c r="A734" t="inlineStr">
        <is>
          <t>Will Morocco win the 2026 FIFA World Cup?</t>
        </is>
      </c>
      <c r="B734" s="4" t="n">
        <v>46205</v>
      </c>
      <c r="C734" s="5" t="n">
        <v>46205.97515046296</v>
      </c>
      <c r="D734" t="inlineStr">
        <is>
          <t>BUY</t>
        </is>
      </c>
      <c r="E734" t="inlineStr">
        <is>
          <t>No</t>
        </is>
      </c>
      <c r="F734" s="2" t="n">
        <v>0.976</v>
      </c>
      <c r="G734" s="6" t="n">
        <v>90</v>
      </c>
      <c r="H734" s="6">
        <f>F734*G734</f>
        <v/>
      </c>
      <c r="I734">
        <f>_xlfn.XLOOKUP(A734,MktTitle,MktCat,"n/a")</f>
        <v/>
      </c>
      <c r="J734" s="3">
        <f>_xlfn.XLOOKUP(A734,MktTitle,MktTotVol,0)</f>
        <v/>
      </c>
      <c r="K734">
        <f>IF(H734&gt;WhaleThreshold,"WHALE","")</f>
        <v/>
      </c>
    </row>
    <row r="735">
      <c r="A735" t="inlineStr">
        <is>
          <t>Will Morocco win the 2026 FIFA World Cup?</t>
        </is>
      </c>
      <c r="B735" s="4" t="n">
        <v>46205</v>
      </c>
      <c r="C735" s="5" t="n">
        <v>46205.97512731481</v>
      </c>
      <c r="D735" t="inlineStr">
        <is>
          <t>BUY</t>
        </is>
      </c>
      <c r="E735" t="inlineStr">
        <is>
          <t>No</t>
        </is>
      </c>
      <c r="F735" s="2" t="n">
        <v>0.976</v>
      </c>
      <c r="G735" s="6" t="n">
        <v>110</v>
      </c>
      <c r="H735" s="6">
        <f>F735*G735</f>
        <v/>
      </c>
      <c r="I735">
        <f>_xlfn.XLOOKUP(A735,MktTitle,MktCat,"n/a")</f>
        <v/>
      </c>
      <c r="J735" s="3">
        <f>_xlfn.XLOOKUP(A735,MktTitle,MktTotVol,0)</f>
        <v/>
      </c>
      <c r="K735">
        <f>IF(H735&gt;WhaleThreshold,"WHALE","")</f>
        <v/>
      </c>
    </row>
    <row r="736">
      <c r="A736" t="inlineStr">
        <is>
          <t>Will Morocco win the 2026 FIFA World Cup?</t>
        </is>
      </c>
      <c r="B736" s="4" t="n">
        <v>46205</v>
      </c>
      <c r="C736" s="5" t="n">
        <v>46205.97512731481</v>
      </c>
      <c r="D736" t="inlineStr">
        <is>
          <t>BUY</t>
        </is>
      </c>
      <c r="E736" t="inlineStr">
        <is>
          <t>No</t>
        </is>
      </c>
      <c r="F736" s="2" t="n">
        <v>0.976</v>
      </c>
      <c r="G736" s="6" t="n">
        <v>24.9</v>
      </c>
      <c r="H736" s="6">
        <f>F736*G736</f>
        <v/>
      </c>
      <c r="I736">
        <f>_xlfn.XLOOKUP(A736,MktTitle,MktCat,"n/a")</f>
        <v/>
      </c>
      <c r="J736" s="3">
        <f>_xlfn.XLOOKUP(A736,MktTitle,MktTotVol,0)</f>
        <v/>
      </c>
      <c r="K736">
        <f>IF(H736&gt;WhaleThreshold,"WHALE","")</f>
        <v/>
      </c>
    </row>
    <row r="737">
      <c r="A737" t="inlineStr">
        <is>
          <t>Will Morocco win the 2026 FIFA World Cup?</t>
        </is>
      </c>
      <c r="B737" s="4" t="n">
        <v>46205</v>
      </c>
      <c r="C737" s="5" t="n">
        <v>46205.97512731481</v>
      </c>
      <c r="D737" t="inlineStr">
        <is>
          <t>BUY</t>
        </is>
      </c>
      <c r="E737" t="inlineStr">
        <is>
          <t>No</t>
        </is>
      </c>
      <c r="F737" s="2" t="n">
        <v>0.976</v>
      </c>
      <c r="G737" s="6" t="n">
        <v>110</v>
      </c>
      <c r="H737" s="6">
        <f>F737*G737</f>
        <v/>
      </c>
      <c r="I737">
        <f>_xlfn.XLOOKUP(A737,MktTitle,MktCat,"n/a")</f>
        <v/>
      </c>
      <c r="J737" s="3">
        <f>_xlfn.XLOOKUP(A737,MktTitle,MktTotVol,0)</f>
        <v/>
      </c>
      <c r="K737">
        <f>IF(H737&gt;WhaleThreshold,"WHALE","")</f>
        <v/>
      </c>
    </row>
    <row r="738">
      <c r="A738" t="inlineStr">
        <is>
          <t>Will Morocco win the 2026 FIFA World Cup?</t>
        </is>
      </c>
      <c r="B738" s="4" t="n">
        <v>46205</v>
      </c>
      <c r="C738" s="5" t="n">
        <v>46205.97511574074</v>
      </c>
      <c r="D738" t="inlineStr">
        <is>
          <t>BUY</t>
        </is>
      </c>
      <c r="E738" t="inlineStr">
        <is>
          <t>No</t>
        </is>
      </c>
      <c r="F738" s="2" t="n">
        <v>0.976</v>
      </c>
      <c r="G738" s="6" t="n">
        <v>49.8</v>
      </c>
      <c r="H738" s="6">
        <f>F738*G738</f>
        <v/>
      </c>
      <c r="I738">
        <f>_xlfn.XLOOKUP(A738,MktTitle,MktCat,"n/a")</f>
        <v/>
      </c>
      <c r="J738" s="3">
        <f>_xlfn.XLOOKUP(A738,MktTitle,MktTotVol,0)</f>
        <v/>
      </c>
      <c r="K738">
        <f>IF(H738&gt;WhaleThreshold,"WHALE","")</f>
        <v/>
      </c>
    </row>
    <row r="739">
      <c r="A739" t="inlineStr">
        <is>
          <t>Will Morocco win the 2026 FIFA World Cup?</t>
        </is>
      </c>
      <c r="B739" s="4" t="n">
        <v>46205</v>
      </c>
      <c r="C739" s="5" t="n">
        <v>46205.97511574074</v>
      </c>
      <c r="D739" t="inlineStr">
        <is>
          <t>BUY</t>
        </is>
      </c>
      <c r="E739" t="inlineStr">
        <is>
          <t>No</t>
        </is>
      </c>
      <c r="F739" s="2" t="n">
        <v>0.976</v>
      </c>
      <c r="G739" s="6" t="n">
        <v>110</v>
      </c>
      <c r="H739" s="6">
        <f>F739*G739</f>
        <v/>
      </c>
      <c r="I739">
        <f>_xlfn.XLOOKUP(A739,MktTitle,MktCat,"n/a")</f>
        <v/>
      </c>
      <c r="J739" s="3">
        <f>_xlfn.XLOOKUP(A739,MktTitle,MktTotVol,0)</f>
        <v/>
      </c>
      <c r="K739">
        <f>IF(H739&gt;WhaleThreshold,"WHALE","")</f>
        <v/>
      </c>
    </row>
    <row r="740">
      <c r="A740" t="inlineStr">
        <is>
          <t>Will Morocco win the 2026 FIFA World Cup?</t>
        </is>
      </c>
      <c r="B740" s="4" t="n">
        <v>46205</v>
      </c>
      <c r="C740" s="5" t="n">
        <v>46205.97511574074</v>
      </c>
      <c r="D740" t="inlineStr">
        <is>
          <t>BUY</t>
        </is>
      </c>
      <c r="E740" t="inlineStr">
        <is>
          <t>No</t>
        </is>
      </c>
      <c r="F740" s="2" t="n">
        <v>0.976</v>
      </c>
      <c r="G740" s="6" t="n">
        <v>110</v>
      </c>
      <c r="H740" s="6">
        <f>F740*G740</f>
        <v/>
      </c>
      <c r="I740">
        <f>_xlfn.XLOOKUP(A740,MktTitle,MktCat,"n/a")</f>
        <v/>
      </c>
      <c r="J740" s="3">
        <f>_xlfn.XLOOKUP(A740,MktTitle,MktTotVol,0)</f>
        <v/>
      </c>
      <c r="K740">
        <f>IF(H740&gt;WhaleThreshold,"WHALE","")</f>
        <v/>
      </c>
    </row>
    <row r="741">
      <c r="A741" t="inlineStr">
        <is>
          <t>Will Morocco win the 2026 FIFA World Cup?</t>
        </is>
      </c>
      <c r="B741" s="4" t="n">
        <v>46205</v>
      </c>
      <c r="C741" s="5" t="n">
        <v>46205.97509259259</v>
      </c>
      <c r="D741" t="inlineStr">
        <is>
          <t>BUY</t>
        </is>
      </c>
      <c r="E741" t="inlineStr">
        <is>
          <t>No</t>
        </is>
      </c>
      <c r="F741" s="2" t="n">
        <v>0.976</v>
      </c>
      <c r="G741" s="6" t="n">
        <v>58.02</v>
      </c>
      <c r="H741" s="6">
        <f>F741*G741</f>
        <v/>
      </c>
      <c r="I741">
        <f>_xlfn.XLOOKUP(A741,MktTitle,MktCat,"n/a")</f>
        <v/>
      </c>
      <c r="J741" s="3">
        <f>_xlfn.XLOOKUP(A741,MktTitle,MktTotVol,0)</f>
        <v/>
      </c>
      <c r="K741">
        <f>IF(H741&gt;WhaleThreshold,"WHALE","")</f>
        <v/>
      </c>
    </row>
    <row r="742">
      <c r="A742" t="inlineStr">
        <is>
          <t>Will Morocco win the 2026 FIFA World Cup?</t>
        </is>
      </c>
      <c r="B742" s="4" t="n">
        <v>46205</v>
      </c>
      <c r="C742" s="5" t="n">
        <v>46205.97497685185</v>
      </c>
      <c r="D742" t="inlineStr">
        <is>
          <t>BUY</t>
        </is>
      </c>
      <c r="E742" t="inlineStr">
        <is>
          <t>No</t>
        </is>
      </c>
      <c r="F742" s="2" t="n">
        <v>0.976</v>
      </c>
      <c r="G742" s="6" t="n">
        <v>107</v>
      </c>
      <c r="H742" s="6">
        <f>F742*G742</f>
        <v/>
      </c>
      <c r="I742">
        <f>_xlfn.XLOOKUP(A742,MktTitle,MktCat,"n/a")</f>
        <v/>
      </c>
      <c r="J742" s="3">
        <f>_xlfn.XLOOKUP(A742,MktTitle,MktTotVol,0)</f>
        <v/>
      </c>
      <c r="K742">
        <f>IF(H742&gt;WhaleThreshold,"WHALE","")</f>
        <v/>
      </c>
    </row>
    <row r="743">
      <c r="A743" t="inlineStr">
        <is>
          <t>Will Morocco win the 2026 FIFA World Cup?</t>
        </is>
      </c>
      <c r="B743" s="4" t="n">
        <v>46205</v>
      </c>
      <c r="C743" s="5" t="n">
        <v>46205.97497685185</v>
      </c>
      <c r="D743" t="inlineStr">
        <is>
          <t>BUY</t>
        </is>
      </c>
      <c r="E743" t="inlineStr">
        <is>
          <t>No</t>
        </is>
      </c>
      <c r="F743" s="2" t="n">
        <v>0.976</v>
      </c>
      <c r="G743" s="6" t="n">
        <v>73.59999999999999</v>
      </c>
      <c r="H743" s="6">
        <f>F743*G743</f>
        <v/>
      </c>
      <c r="I743">
        <f>_xlfn.XLOOKUP(A743,MktTitle,MktCat,"n/a")</f>
        <v/>
      </c>
      <c r="J743" s="3">
        <f>_xlfn.XLOOKUP(A743,MktTitle,MktTotVol,0)</f>
        <v/>
      </c>
      <c r="K743">
        <f>IF(H743&gt;WhaleThreshold,"WHALE","")</f>
        <v/>
      </c>
    </row>
    <row r="744">
      <c r="A744" t="inlineStr">
        <is>
          <t>Will Morocco win the 2026 FIFA World Cup?</t>
        </is>
      </c>
      <c r="B744" s="4" t="n">
        <v>46205</v>
      </c>
      <c r="C744" s="5" t="n">
        <v>46205.97495370371</v>
      </c>
      <c r="D744" t="inlineStr">
        <is>
          <t>BUY</t>
        </is>
      </c>
      <c r="E744" t="inlineStr">
        <is>
          <t>No</t>
        </is>
      </c>
      <c r="F744" s="2" t="n">
        <v>0.976</v>
      </c>
      <c r="G744" s="6" t="n">
        <v>9</v>
      </c>
      <c r="H744" s="6">
        <f>F744*G744</f>
        <v/>
      </c>
      <c r="I744">
        <f>_xlfn.XLOOKUP(A744,MktTitle,MktCat,"n/a")</f>
        <v/>
      </c>
      <c r="J744" s="3">
        <f>_xlfn.XLOOKUP(A744,MktTitle,MktTotVol,0)</f>
        <v/>
      </c>
      <c r="K744">
        <f>IF(H744&gt;WhaleThreshold,"WHALE","")</f>
        <v/>
      </c>
    </row>
    <row r="745">
      <c r="A745" t="inlineStr">
        <is>
          <t>Will Morocco win the 2026 FIFA World Cup?</t>
        </is>
      </c>
      <c r="B745" s="4" t="n">
        <v>46205</v>
      </c>
      <c r="C745" s="5" t="n">
        <v>46205.97453703704</v>
      </c>
      <c r="D745" t="inlineStr">
        <is>
          <t>BUY</t>
        </is>
      </c>
      <c r="E745" t="inlineStr">
        <is>
          <t>No</t>
        </is>
      </c>
      <c r="F745" s="2" t="n">
        <v>0.976</v>
      </c>
      <c r="G745" s="6" t="n">
        <v>10</v>
      </c>
      <c r="H745" s="6">
        <f>F745*G745</f>
        <v/>
      </c>
      <c r="I745">
        <f>_xlfn.XLOOKUP(A745,MktTitle,MktCat,"n/a")</f>
        <v/>
      </c>
      <c r="J745" s="3">
        <f>_xlfn.XLOOKUP(A745,MktTitle,MktTotVol,0)</f>
        <v/>
      </c>
      <c r="K745">
        <f>IF(H745&gt;WhaleThreshold,"WHALE","")</f>
        <v/>
      </c>
    </row>
    <row r="746">
      <c r="A746" t="inlineStr">
        <is>
          <t>Will Morocco win the 2026 FIFA World Cup?</t>
        </is>
      </c>
      <c r="B746" s="4" t="n">
        <v>46205</v>
      </c>
      <c r="C746" s="5" t="n">
        <v>46205.97453703704</v>
      </c>
      <c r="D746" t="inlineStr">
        <is>
          <t>BUY</t>
        </is>
      </c>
      <c r="E746" t="inlineStr">
        <is>
          <t>No</t>
        </is>
      </c>
      <c r="F746" s="2" t="n">
        <v>0.976</v>
      </c>
      <c r="G746" s="6" t="n">
        <v>15</v>
      </c>
      <c r="H746" s="6">
        <f>F746*G746</f>
        <v/>
      </c>
      <c r="I746">
        <f>_xlfn.XLOOKUP(A746,MktTitle,MktCat,"n/a")</f>
        <v/>
      </c>
      <c r="J746" s="3">
        <f>_xlfn.XLOOKUP(A746,MktTitle,MktTotVol,0)</f>
        <v/>
      </c>
      <c r="K746">
        <f>IF(H746&gt;WhaleThreshold,"WHALE","")</f>
        <v/>
      </c>
    </row>
    <row r="747">
      <c r="A747" t="inlineStr">
        <is>
          <t>Will Morocco win the 2026 FIFA World Cup?</t>
        </is>
      </c>
      <c r="B747" s="4" t="n">
        <v>46205</v>
      </c>
      <c r="C747" s="5" t="n">
        <v>46205.97391203704</v>
      </c>
      <c r="D747" t="inlineStr">
        <is>
          <t>BUY</t>
        </is>
      </c>
      <c r="E747" t="inlineStr">
        <is>
          <t>Yes</t>
        </is>
      </c>
      <c r="F747" s="2" t="n">
        <v>0.025</v>
      </c>
      <c r="G747" s="6" t="n">
        <v>726.55</v>
      </c>
      <c r="H747" s="6">
        <f>F747*G747</f>
        <v/>
      </c>
      <c r="I747">
        <f>_xlfn.XLOOKUP(A747,MktTitle,MktCat,"n/a")</f>
        <v/>
      </c>
      <c r="J747" s="3">
        <f>_xlfn.XLOOKUP(A747,MktTitle,MktTotVol,0)</f>
        <v/>
      </c>
      <c r="K747">
        <f>IF(H747&gt;WhaleThreshold,"WHALE","")</f>
        <v/>
      </c>
    </row>
    <row r="748">
      <c r="A748" t="inlineStr">
        <is>
          <t>Will Morocco win the 2026 FIFA World Cup?</t>
        </is>
      </c>
      <c r="B748" s="4" t="n">
        <v>46205</v>
      </c>
      <c r="C748" s="5" t="n">
        <v>46205.97292824074</v>
      </c>
      <c r="D748" t="inlineStr">
        <is>
          <t>BUY</t>
        </is>
      </c>
      <c r="E748" t="inlineStr">
        <is>
          <t>Yes</t>
        </is>
      </c>
      <c r="F748" s="2" t="n">
        <v>0.025</v>
      </c>
      <c r="G748" s="6" t="n">
        <v>400</v>
      </c>
      <c r="H748" s="6">
        <f>F748*G748</f>
        <v/>
      </c>
      <c r="I748">
        <f>_xlfn.XLOOKUP(A748,MktTitle,MktCat,"n/a")</f>
        <v/>
      </c>
      <c r="J748" s="3">
        <f>_xlfn.XLOOKUP(A748,MktTitle,MktTotVol,0)</f>
        <v/>
      </c>
      <c r="K748">
        <f>IF(H748&gt;WhaleThreshold,"WHALE","")</f>
        <v/>
      </c>
    </row>
    <row r="749">
      <c r="A749" t="inlineStr">
        <is>
          <t>Will Morocco win the 2026 FIFA World Cup?</t>
        </is>
      </c>
      <c r="B749" s="4" t="n">
        <v>46205</v>
      </c>
      <c r="C749" s="5" t="n">
        <v>46205.97275462963</v>
      </c>
      <c r="D749" t="inlineStr">
        <is>
          <t>BUY</t>
        </is>
      </c>
      <c r="E749" t="inlineStr">
        <is>
          <t>No</t>
        </is>
      </c>
      <c r="F749" s="2" t="n">
        <v>0.976</v>
      </c>
      <c r="G749" s="6" t="n">
        <v>20</v>
      </c>
      <c r="H749" s="6">
        <f>F749*G749</f>
        <v/>
      </c>
      <c r="I749">
        <f>_xlfn.XLOOKUP(A749,MktTitle,MktCat,"n/a")</f>
        <v/>
      </c>
      <c r="J749" s="3">
        <f>_xlfn.XLOOKUP(A749,MktTitle,MktTotVol,0)</f>
        <v/>
      </c>
      <c r="K749">
        <f>IF(H749&gt;WhaleThreshold,"WHALE","")</f>
        <v/>
      </c>
    </row>
    <row r="750">
      <c r="A750" t="inlineStr">
        <is>
          <t>Will Morocco win the 2026 FIFA World Cup?</t>
        </is>
      </c>
      <c r="B750" s="4" t="n">
        <v>46205</v>
      </c>
      <c r="C750" s="5" t="n">
        <v>46205.97252314815</v>
      </c>
      <c r="D750" t="inlineStr">
        <is>
          <t>BUY</t>
        </is>
      </c>
      <c r="E750" t="inlineStr">
        <is>
          <t>No</t>
        </is>
      </c>
      <c r="F750" s="2" t="n">
        <v>0.976</v>
      </c>
      <c r="G750" s="6" t="n">
        <v>10</v>
      </c>
      <c r="H750" s="6">
        <f>F750*G750</f>
        <v/>
      </c>
      <c r="I750">
        <f>_xlfn.XLOOKUP(A750,MktTitle,MktCat,"n/a")</f>
        <v/>
      </c>
      <c r="J750" s="3">
        <f>_xlfn.XLOOKUP(A750,MktTitle,MktTotVol,0)</f>
        <v/>
      </c>
      <c r="K750">
        <f>IF(H750&gt;WhaleThreshold,"WHALE","")</f>
        <v/>
      </c>
    </row>
    <row r="751">
      <c r="A751" t="inlineStr">
        <is>
          <t>Will Morocco win the 2026 FIFA World Cup?</t>
        </is>
      </c>
      <c r="B751" s="4" t="n">
        <v>46205</v>
      </c>
      <c r="C751" s="5" t="n">
        <v>46205.97252314815</v>
      </c>
      <c r="D751" t="inlineStr">
        <is>
          <t>BUY</t>
        </is>
      </c>
      <c r="E751" t="inlineStr">
        <is>
          <t>No</t>
        </is>
      </c>
      <c r="F751" s="2" t="n">
        <v>0.976</v>
      </c>
      <c r="G751" s="6" t="n">
        <v>18</v>
      </c>
      <c r="H751" s="6">
        <f>F751*G751</f>
        <v/>
      </c>
      <c r="I751">
        <f>_xlfn.XLOOKUP(A751,MktTitle,MktCat,"n/a")</f>
        <v/>
      </c>
      <c r="J751" s="3">
        <f>_xlfn.XLOOKUP(A751,MktTitle,MktTotVol,0)</f>
        <v/>
      </c>
      <c r="K751">
        <f>IF(H751&gt;WhaleThreshold,"WHALE","")</f>
        <v/>
      </c>
    </row>
    <row r="752">
      <c r="A752" t="inlineStr">
        <is>
          <t>Will Morocco win the 2026 FIFA World Cup?</t>
        </is>
      </c>
      <c r="B752" s="4" t="n">
        <v>46205</v>
      </c>
      <c r="C752" s="5" t="n">
        <v>46205.97108796296</v>
      </c>
      <c r="D752" t="inlineStr">
        <is>
          <t>BUY</t>
        </is>
      </c>
      <c r="E752" t="inlineStr">
        <is>
          <t>Yes</t>
        </is>
      </c>
      <c r="F752" s="2" t="n">
        <v>0.025</v>
      </c>
      <c r="G752" s="6" t="n">
        <v>1817.38</v>
      </c>
      <c r="H752" s="6">
        <f>F752*G752</f>
        <v/>
      </c>
      <c r="I752">
        <f>_xlfn.XLOOKUP(A752,MktTitle,MktCat,"n/a")</f>
        <v/>
      </c>
      <c r="J752" s="3">
        <f>_xlfn.XLOOKUP(A752,MktTitle,MktTotVol,0)</f>
        <v/>
      </c>
      <c r="K752">
        <f>IF(H752&gt;WhaleThreshold,"WHALE","")</f>
        <v/>
      </c>
    </row>
    <row r="753">
      <c r="A753" t="inlineStr">
        <is>
          <t>Will Morocco win the 2026 FIFA World Cup?</t>
        </is>
      </c>
      <c r="B753" s="4" t="n">
        <v>46205</v>
      </c>
      <c r="C753" s="5" t="n">
        <v>46205.97016203704</v>
      </c>
      <c r="D753" t="inlineStr">
        <is>
          <t>BUY</t>
        </is>
      </c>
      <c r="E753" t="inlineStr">
        <is>
          <t>No</t>
        </is>
      </c>
      <c r="F753" s="2" t="n">
        <v>0.976</v>
      </c>
      <c r="G753" s="6" t="n">
        <v>40</v>
      </c>
      <c r="H753" s="6">
        <f>F753*G753</f>
        <v/>
      </c>
      <c r="I753">
        <f>_xlfn.XLOOKUP(A753,MktTitle,MktCat,"n/a")</f>
        <v/>
      </c>
      <c r="J753" s="3">
        <f>_xlfn.XLOOKUP(A753,MktTitle,MktTotVol,0)</f>
        <v/>
      </c>
      <c r="K753">
        <f>IF(H753&gt;WhaleThreshold,"WHALE","")</f>
        <v/>
      </c>
    </row>
    <row r="754">
      <c r="A754" t="inlineStr">
        <is>
          <t>Will Morocco win the 2026 FIFA World Cup?</t>
        </is>
      </c>
      <c r="B754" s="4" t="n">
        <v>46205</v>
      </c>
      <c r="C754" s="5" t="n">
        <v>46205.97015046296</v>
      </c>
      <c r="D754" t="inlineStr">
        <is>
          <t>BUY</t>
        </is>
      </c>
      <c r="E754" t="inlineStr">
        <is>
          <t>No</t>
        </is>
      </c>
      <c r="F754" s="2" t="n">
        <v>0.976</v>
      </c>
      <c r="G754" s="6" t="n">
        <v>5</v>
      </c>
      <c r="H754" s="6">
        <f>F754*G754</f>
        <v/>
      </c>
      <c r="I754">
        <f>_xlfn.XLOOKUP(A754,MktTitle,MktCat,"n/a")</f>
        <v/>
      </c>
      <c r="J754" s="3">
        <f>_xlfn.XLOOKUP(A754,MktTitle,MktTotVol,0)</f>
        <v/>
      </c>
      <c r="K754">
        <f>IF(H754&gt;WhaleThreshold,"WHALE","")</f>
        <v/>
      </c>
    </row>
    <row r="755">
      <c r="A755" t="inlineStr">
        <is>
          <t>Will Morocco win the 2026 FIFA World Cup?</t>
        </is>
      </c>
      <c r="B755" s="4" t="n">
        <v>46205</v>
      </c>
      <c r="C755" s="5" t="n">
        <v>46205.97011574074</v>
      </c>
      <c r="D755" t="inlineStr">
        <is>
          <t>BUY</t>
        </is>
      </c>
      <c r="E755" t="inlineStr">
        <is>
          <t>No</t>
        </is>
      </c>
      <c r="F755" s="2" t="n">
        <v>0.976</v>
      </c>
      <c r="G755" s="6" t="n">
        <v>20</v>
      </c>
      <c r="H755" s="6">
        <f>F755*G755</f>
        <v/>
      </c>
      <c r="I755">
        <f>_xlfn.XLOOKUP(A755,MktTitle,MktCat,"n/a")</f>
        <v/>
      </c>
      <c r="J755" s="3">
        <f>_xlfn.XLOOKUP(A755,MktTitle,MktTotVol,0)</f>
        <v/>
      </c>
      <c r="K755">
        <f>IF(H755&gt;WhaleThreshold,"WHALE","")</f>
        <v/>
      </c>
    </row>
    <row r="756">
      <c r="A756" t="inlineStr">
        <is>
          <t>Will Morocco win the 2026 FIFA World Cup?</t>
        </is>
      </c>
      <c r="B756" s="4" t="n">
        <v>46205</v>
      </c>
      <c r="C756" s="5" t="n">
        <v>46205.97011574074</v>
      </c>
      <c r="D756" t="inlineStr">
        <is>
          <t>BUY</t>
        </is>
      </c>
      <c r="E756" t="inlineStr">
        <is>
          <t>No</t>
        </is>
      </c>
      <c r="F756" s="2" t="n">
        <v>0.976</v>
      </c>
      <c r="G756" s="6" t="n">
        <v>25.3</v>
      </c>
      <c r="H756" s="6">
        <f>F756*G756</f>
        <v/>
      </c>
      <c r="I756">
        <f>_xlfn.XLOOKUP(A756,MktTitle,MktCat,"n/a")</f>
        <v/>
      </c>
      <c r="J756" s="3">
        <f>_xlfn.XLOOKUP(A756,MktTitle,MktTotVol,0)</f>
        <v/>
      </c>
      <c r="K756">
        <f>IF(H756&gt;WhaleThreshold,"WHALE","")</f>
        <v/>
      </c>
    </row>
    <row r="757">
      <c r="A757" t="inlineStr">
        <is>
          <t>Will Morocco win the 2026 FIFA World Cup?</t>
        </is>
      </c>
      <c r="B757" s="4" t="n">
        <v>46205</v>
      </c>
      <c r="C757" s="5" t="n">
        <v>46205.97009259259</v>
      </c>
      <c r="D757" t="inlineStr">
        <is>
          <t>BUY</t>
        </is>
      </c>
      <c r="E757" t="inlineStr">
        <is>
          <t>No</t>
        </is>
      </c>
      <c r="F757" s="2" t="n">
        <v>0.976</v>
      </c>
      <c r="G757" s="6" t="n">
        <v>10</v>
      </c>
      <c r="H757" s="6">
        <f>F757*G757</f>
        <v/>
      </c>
      <c r="I757">
        <f>_xlfn.XLOOKUP(A757,MktTitle,MktCat,"n/a")</f>
        <v/>
      </c>
      <c r="J757" s="3">
        <f>_xlfn.XLOOKUP(A757,MktTitle,MktTotVol,0)</f>
        <v/>
      </c>
      <c r="K757">
        <f>IF(H757&gt;WhaleThreshold,"WHALE","")</f>
        <v/>
      </c>
    </row>
    <row r="758">
      <c r="A758" t="inlineStr">
        <is>
          <t>Will Morocco win the 2026 FIFA World Cup?</t>
        </is>
      </c>
      <c r="B758" s="4" t="n">
        <v>46205</v>
      </c>
      <c r="C758" s="5" t="n">
        <v>46205.97009259259</v>
      </c>
      <c r="D758" t="inlineStr">
        <is>
          <t>BUY</t>
        </is>
      </c>
      <c r="E758" t="inlineStr">
        <is>
          <t>No</t>
        </is>
      </c>
      <c r="F758" s="2" t="n">
        <v>0.976</v>
      </c>
      <c r="G758" s="6" t="n">
        <v>60</v>
      </c>
      <c r="H758" s="6">
        <f>F758*G758</f>
        <v/>
      </c>
      <c r="I758">
        <f>_xlfn.XLOOKUP(A758,MktTitle,MktCat,"n/a")</f>
        <v/>
      </c>
      <c r="J758" s="3">
        <f>_xlfn.XLOOKUP(A758,MktTitle,MktTotVol,0)</f>
        <v/>
      </c>
      <c r="K758">
        <f>IF(H758&gt;WhaleThreshold,"WHALE","")</f>
        <v/>
      </c>
    </row>
    <row r="759">
      <c r="A759" t="inlineStr">
        <is>
          <t>Will Morocco win the 2026 FIFA World Cup?</t>
        </is>
      </c>
      <c r="B759" s="4" t="n">
        <v>46205</v>
      </c>
      <c r="C759" s="5" t="n">
        <v>46205.97005787037</v>
      </c>
      <c r="D759" t="inlineStr">
        <is>
          <t>BUY</t>
        </is>
      </c>
      <c r="E759" t="inlineStr">
        <is>
          <t>No</t>
        </is>
      </c>
      <c r="F759" s="2" t="n">
        <v>0.976</v>
      </c>
      <c r="G759" s="6" t="n">
        <v>5</v>
      </c>
      <c r="H759" s="6">
        <f>F759*G759</f>
        <v/>
      </c>
      <c r="I759">
        <f>_xlfn.XLOOKUP(A759,MktTitle,MktCat,"n/a")</f>
        <v/>
      </c>
      <c r="J759" s="3">
        <f>_xlfn.XLOOKUP(A759,MktTitle,MktTotVol,0)</f>
        <v/>
      </c>
      <c r="K759">
        <f>IF(H759&gt;WhaleThreshold,"WHALE","")</f>
        <v/>
      </c>
    </row>
    <row r="760">
      <c r="A760" t="inlineStr">
        <is>
          <t>Will Morocco win the 2026 FIFA World Cup?</t>
        </is>
      </c>
      <c r="B760" s="4" t="n">
        <v>46205</v>
      </c>
      <c r="C760" s="5" t="n">
        <v>46205.97005787037</v>
      </c>
      <c r="D760" t="inlineStr">
        <is>
          <t>BUY</t>
        </is>
      </c>
      <c r="E760" t="inlineStr">
        <is>
          <t>No</t>
        </is>
      </c>
      <c r="F760" s="2" t="n">
        <v>0.976</v>
      </c>
      <c r="G760" s="6" t="n">
        <v>5</v>
      </c>
      <c r="H760" s="6">
        <f>F760*G760</f>
        <v/>
      </c>
      <c r="I760">
        <f>_xlfn.XLOOKUP(A760,MktTitle,MktCat,"n/a")</f>
        <v/>
      </c>
      <c r="J760" s="3">
        <f>_xlfn.XLOOKUP(A760,MktTitle,MktTotVol,0)</f>
        <v/>
      </c>
      <c r="K760">
        <f>IF(H760&gt;WhaleThreshold,"WHALE","")</f>
        <v/>
      </c>
    </row>
    <row r="761">
      <c r="A761" t="inlineStr">
        <is>
          <t>Will Morocco win the 2026 FIFA World Cup?</t>
        </is>
      </c>
      <c r="B761" s="4" t="n">
        <v>46205</v>
      </c>
      <c r="C761" s="5" t="n">
        <v>46205.97004629629</v>
      </c>
      <c r="D761" t="inlineStr">
        <is>
          <t>BUY</t>
        </is>
      </c>
      <c r="E761" t="inlineStr">
        <is>
          <t>No</t>
        </is>
      </c>
      <c r="F761" s="2" t="n">
        <v>0.976</v>
      </c>
      <c r="G761" s="6" t="n">
        <v>50.7</v>
      </c>
      <c r="H761" s="6">
        <f>F761*G761</f>
        <v/>
      </c>
      <c r="I761">
        <f>_xlfn.XLOOKUP(A761,MktTitle,MktCat,"n/a")</f>
        <v/>
      </c>
      <c r="J761" s="3">
        <f>_xlfn.XLOOKUP(A761,MktTitle,MktTotVol,0)</f>
        <v/>
      </c>
      <c r="K761">
        <f>IF(H761&gt;WhaleThreshold,"WHALE","")</f>
        <v/>
      </c>
    </row>
    <row r="762">
      <c r="A762" t="inlineStr">
        <is>
          <t>Will Morocco win the 2026 FIFA World Cup?</t>
        </is>
      </c>
      <c r="B762" s="4" t="n">
        <v>46205</v>
      </c>
      <c r="C762" s="5" t="n">
        <v>46205.97004629629</v>
      </c>
      <c r="D762" t="inlineStr">
        <is>
          <t>BUY</t>
        </is>
      </c>
      <c r="E762" t="inlineStr">
        <is>
          <t>No</t>
        </is>
      </c>
      <c r="F762" s="2" t="n">
        <v>0.976</v>
      </c>
      <c r="G762" s="6" t="n">
        <v>10</v>
      </c>
      <c r="H762" s="6">
        <f>F762*G762</f>
        <v/>
      </c>
      <c r="I762">
        <f>_xlfn.XLOOKUP(A762,MktTitle,MktCat,"n/a")</f>
        <v/>
      </c>
      <c r="J762" s="3">
        <f>_xlfn.XLOOKUP(A762,MktTitle,MktTotVol,0)</f>
        <v/>
      </c>
      <c r="K762">
        <f>IF(H762&gt;WhaleThreshold,"WHALE","")</f>
        <v/>
      </c>
    </row>
    <row r="763">
      <c r="A763" t="inlineStr">
        <is>
          <t>Will Morocco win the 2026 FIFA World Cup?</t>
        </is>
      </c>
      <c r="B763" s="4" t="n">
        <v>46205</v>
      </c>
      <c r="C763" s="5" t="n">
        <v>46205.96988425926</v>
      </c>
      <c r="D763" t="inlineStr">
        <is>
          <t>BUY</t>
        </is>
      </c>
      <c r="E763" t="inlineStr">
        <is>
          <t>No</t>
        </is>
      </c>
      <c r="F763" s="2" t="n">
        <v>0.976</v>
      </c>
      <c r="G763" s="6" t="n">
        <v>100</v>
      </c>
      <c r="H763" s="6">
        <f>F763*G763</f>
        <v/>
      </c>
      <c r="I763">
        <f>_xlfn.XLOOKUP(A763,MktTitle,MktCat,"n/a")</f>
        <v/>
      </c>
      <c r="J763" s="3">
        <f>_xlfn.XLOOKUP(A763,MktTitle,MktTotVol,0)</f>
        <v/>
      </c>
      <c r="K763">
        <f>IF(H763&gt;WhaleThreshold,"WHALE","")</f>
        <v/>
      </c>
    </row>
    <row r="764">
      <c r="A764" t="inlineStr">
        <is>
          <t>Will Morocco win the 2026 FIFA World Cup?</t>
        </is>
      </c>
      <c r="B764" s="4" t="n">
        <v>46205</v>
      </c>
      <c r="C764" s="5" t="n">
        <v>46205.96987268519</v>
      </c>
      <c r="D764" t="inlineStr">
        <is>
          <t>BUY</t>
        </is>
      </c>
      <c r="E764" t="inlineStr">
        <is>
          <t>No</t>
        </is>
      </c>
      <c r="F764" s="2" t="n">
        <v>0.976</v>
      </c>
      <c r="G764" s="6" t="n">
        <v>86</v>
      </c>
      <c r="H764" s="6">
        <f>F764*G764</f>
        <v/>
      </c>
      <c r="I764">
        <f>_xlfn.XLOOKUP(A764,MktTitle,MktCat,"n/a")</f>
        <v/>
      </c>
      <c r="J764" s="3">
        <f>_xlfn.XLOOKUP(A764,MktTitle,MktTotVol,0)</f>
        <v/>
      </c>
      <c r="K764">
        <f>IF(H764&gt;WhaleThreshold,"WHALE","")</f>
        <v/>
      </c>
    </row>
    <row r="765">
      <c r="A765" t="inlineStr">
        <is>
          <t>Will Morocco win the 2026 FIFA World Cup?</t>
        </is>
      </c>
      <c r="B765" s="4" t="n">
        <v>46205</v>
      </c>
      <c r="C765" s="5" t="n">
        <v>46205.96987268519</v>
      </c>
      <c r="D765" t="inlineStr">
        <is>
          <t>BUY</t>
        </is>
      </c>
      <c r="E765" t="inlineStr">
        <is>
          <t>No</t>
        </is>
      </c>
      <c r="F765" s="2" t="n">
        <v>0.976</v>
      </c>
      <c r="G765" s="6" t="n">
        <v>73.59999999999999</v>
      </c>
      <c r="H765" s="6">
        <f>F765*G765</f>
        <v/>
      </c>
      <c r="I765">
        <f>_xlfn.XLOOKUP(A765,MktTitle,MktCat,"n/a")</f>
        <v/>
      </c>
      <c r="J765" s="3">
        <f>_xlfn.XLOOKUP(A765,MktTitle,MktTotVol,0)</f>
        <v/>
      </c>
      <c r="K765">
        <f>IF(H765&gt;WhaleThreshold,"WHALE","")</f>
        <v/>
      </c>
    </row>
    <row r="766">
      <c r="A766" t="inlineStr">
        <is>
          <t>Will Morocco win the 2026 FIFA World Cup?</t>
        </is>
      </c>
      <c r="B766" s="4" t="n">
        <v>46205</v>
      </c>
      <c r="C766" s="5" t="n">
        <v>46205.96987268519</v>
      </c>
      <c r="D766" t="inlineStr">
        <is>
          <t>BUY</t>
        </is>
      </c>
      <c r="E766" t="inlineStr">
        <is>
          <t>No</t>
        </is>
      </c>
      <c r="F766" s="2" t="n">
        <v>0.976</v>
      </c>
      <c r="G766" s="6" t="n">
        <v>80</v>
      </c>
      <c r="H766" s="6">
        <f>F766*G766</f>
        <v/>
      </c>
      <c r="I766">
        <f>_xlfn.XLOOKUP(A766,MktTitle,MktCat,"n/a")</f>
        <v/>
      </c>
      <c r="J766" s="3">
        <f>_xlfn.XLOOKUP(A766,MktTitle,MktTotVol,0)</f>
        <v/>
      </c>
      <c r="K766">
        <f>IF(H766&gt;WhaleThreshold,"WHALE","")</f>
        <v/>
      </c>
    </row>
    <row r="767">
      <c r="A767" t="inlineStr">
        <is>
          <t>Will Morocco win the 2026 FIFA World Cup?</t>
        </is>
      </c>
      <c r="B767" s="4" t="n">
        <v>46205</v>
      </c>
      <c r="C767" s="5" t="n">
        <v>46205.96980324074</v>
      </c>
      <c r="D767" t="inlineStr">
        <is>
          <t>BUY</t>
        </is>
      </c>
      <c r="E767" t="inlineStr">
        <is>
          <t>No</t>
        </is>
      </c>
      <c r="F767" s="2" t="n">
        <v>0.976</v>
      </c>
      <c r="G767" s="6" t="n">
        <v>80</v>
      </c>
      <c r="H767" s="6">
        <f>F767*G767</f>
        <v/>
      </c>
      <c r="I767">
        <f>_xlfn.XLOOKUP(A767,MktTitle,MktCat,"n/a")</f>
        <v/>
      </c>
      <c r="J767" s="3">
        <f>_xlfn.XLOOKUP(A767,MktTitle,MktTotVol,0)</f>
        <v/>
      </c>
      <c r="K767">
        <f>IF(H767&gt;WhaleThreshold,"WHALE","")</f>
        <v/>
      </c>
    </row>
    <row r="768">
      <c r="A768" t="inlineStr">
        <is>
          <t>Will Morocco win the 2026 FIFA World Cup?</t>
        </is>
      </c>
      <c r="B768" s="4" t="n">
        <v>46205</v>
      </c>
      <c r="C768" s="5" t="n">
        <v>46205.9696412037</v>
      </c>
      <c r="D768" t="inlineStr">
        <is>
          <t>BUY</t>
        </is>
      </c>
      <c r="E768" t="inlineStr">
        <is>
          <t>No</t>
        </is>
      </c>
      <c r="F768" s="2" t="n">
        <v>0.976</v>
      </c>
      <c r="G768" s="6" t="n">
        <v>10</v>
      </c>
      <c r="H768" s="6">
        <f>F768*G768</f>
        <v/>
      </c>
      <c r="I768">
        <f>_xlfn.XLOOKUP(A768,MktTitle,MktCat,"n/a")</f>
        <v/>
      </c>
      <c r="J768" s="3">
        <f>_xlfn.XLOOKUP(A768,MktTitle,MktTotVol,0)</f>
        <v/>
      </c>
      <c r="K768">
        <f>IF(H768&gt;WhaleThreshold,"WHALE","")</f>
        <v/>
      </c>
    </row>
    <row r="769">
      <c r="A769" t="inlineStr">
        <is>
          <t>Will Morocco win the 2026 FIFA World Cup?</t>
        </is>
      </c>
      <c r="B769" s="4" t="n">
        <v>46205</v>
      </c>
      <c r="C769" s="5" t="n">
        <v>46205.9687037037</v>
      </c>
      <c r="D769" t="inlineStr">
        <is>
          <t>BUY</t>
        </is>
      </c>
      <c r="E769" t="inlineStr">
        <is>
          <t>Yes</t>
        </is>
      </c>
      <c r="F769" s="2" t="n">
        <v>0.025</v>
      </c>
      <c r="G769" s="6" t="n">
        <v>1090.82</v>
      </c>
      <c r="H769" s="6">
        <f>F769*G769</f>
        <v/>
      </c>
      <c r="I769">
        <f>_xlfn.XLOOKUP(A769,MktTitle,MktCat,"n/a")</f>
        <v/>
      </c>
      <c r="J769" s="3">
        <f>_xlfn.XLOOKUP(A769,MktTitle,MktTotVol,0)</f>
        <v/>
      </c>
      <c r="K769">
        <f>IF(H769&gt;WhaleThreshold,"WHALE","")</f>
        <v/>
      </c>
    </row>
    <row r="770">
      <c r="A770" t="inlineStr">
        <is>
          <t>Will Morocco win the 2026 FIFA World Cup?</t>
        </is>
      </c>
      <c r="B770" s="4" t="n">
        <v>46205</v>
      </c>
      <c r="C770" s="5" t="n">
        <v>46205.96730324074</v>
      </c>
      <c r="D770" t="inlineStr">
        <is>
          <t>BUY</t>
        </is>
      </c>
      <c r="E770" t="inlineStr">
        <is>
          <t>No</t>
        </is>
      </c>
      <c r="F770" s="2" t="n">
        <v>0.976</v>
      </c>
      <c r="G770" s="6" t="n">
        <v>1.1</v>
      </c>
      <c r="H770" s="6">
        <f>F770*G770</f>
        <v/>
      </c>
      <c r="I770">
        <f>_xlfn.XLOOKUP(A770,MktTitle,MktCat,"n/a")</f>
        <v/>
      </c>
      <c r="J770" s="3">
        <f>_xlfn.XLOOKUP(A770,MktTitle,MktTotVol,0)</f>
        <v/>
      </c>
      <c r="K770">
        <f>IF(H770&gt;WhaleThreshold,"WHALE","")</f>
        <v/>
      </c>
    </row>
    <row r="771">
      <c r="A771" t="inlineStr">
        <is>
          <t>Will Morocco win the 2026 FIFA World Cup?</t>
        </is>
      </c>
      <c r="B771" s="4" t="n">
        <v>46205</v>
      </c>
      <c r="C771" s="5" t="n">
        <v>46205.96730324074</v>
      </c>
      <c r="D771" t="inlineStr">
        <is>
          <t>BUY</t>
        </is>
      </c>
      <c r="E771" t="inlineStr">
        <is>
          <t>Yes</t>
        </is>
      </c>
      <c r="F771" s="2" t="n">
        <v>0.025</v>
      </c>
      <c r="G771" s="6" t="n">
        <v>17681.38</v>
      </c>
      <c r="H771" s="6">
        <f>F771*G771</f>
        <v/>
      </c>
      <c r="I771">
        <f>_xlfn.XLOOKUP(A771,MktTitle,MktCat,"n/a")</f>
        <v/>
      </c>
      <c r="J771" s="3">
        <f>_xlfn.XLOOKUP(A771,MktTitle,MktTotVol,0)</f>
        <v/>
      </c>
      <c r="K771">
        <f>IF(H771&gt;WhaleThreshold,"WHALE","")</f>
        <v/>
      </c>
    </row>
    <row r="772">
      <c r="A772" t="inlineStr">
        <is>
          <t>Will Morocco win the 2026 FIFA World Cup?</t>
        </is>
      </c>
      <c r="B772" s="4" t="n">
        <v>46205</v>
      </c>
      <c r="C772" s="5" t="n">
        <v>46205.9672337963</v>
      </c>
      <c r="D772" t="inlineStr">
        <is>
          <t>BUY</t>
        </is>
      </c>
      <c r="E772" t="inlineStr">
        <is>
          <t>No</t>
        </is>
      </c>
      <c r="F772" s="2" t="n">
        <v>0.976</v>
      </c>
      <c r="G772" s="6" t="n">
        <v>32.4</v>
      </c>
      <c r="H772" s="6">
        <f>F772*G772</f>
        <v/>
      </c>
      <c r="I772">
        <f>_xlfn.XLOOKUP(A772,MktTitle,MktCat,"n/a")</f>
        <v/>
      </c>
      <c r="J772" s="3">
        <f>_xlfn.XLOOKUP(A772,MktTitle,MktTotVol,0)</f>
        <v/>
      </c>
      <c r="K772">
        <f>IF(H772&gt;WhaleThreshold,"WHALE","")</f>
        <v/>
      </c>
    </row>
    <row r="773">
      <c r="A773" t="inlineStr">
        <is>
          <t>Will Morocco win the 2026 FIFA World Cup?</t>
        </is>
      </c>
      <c r="B773" s="4" t="n">
        <v>46205</v>
      </c>
      <c r="C773" s="5" t="n">
        <v>46205.96717592593</v>
      </c>
      <c r="D773" t="inlineStr">
        <is>
          <t>BUY</t>
        </is>
      </c>
      <c r="E773" t="inlineStr">
        <is>
          <t>No</t>
        </is>
      </c>
      <c r="F773" s="2" t="n">
        <v>0.976</v>
      </c>
      <c r="G773" s="6" t="n">
        <v>110</v>
      </c>
      <c r="H773" s="6">
        <f>F773*G773</f>
        <v/>
      </c>
      <c r="I773">
        <f>_xlfn.XLOOKUP(A773,MktTitle,MktCat,"n/a")</f>
        <v/>
      </c>
      <c r="J773" s="3">
        <f>_xlfn.XLOOKUP(A773,MktTitle,MktTotVol,0)</f>
        <v/>
      </c>
      <c r="K773">
        <f>IF(H773&gt;WhaleThreshold,"WHALE","")</f>
        <v/>
      </c>
    </row>
    <row r="774">
      <c r="A774" t="inlineStr">
        <is>
          <t>Will Morocco win the 2026 FIFA World Cup?</t>
        </is>
      </c>
      <c r="B774" s="4" t="n">
        <v>46205</v>
      </c>
      <c r="C774" s="5" t="n">
        <v>46205.96716435185</v>
      </c>
      <c r="D774" t="inlineStr">
        <is>
          <t>BUY</t>
        </is>
      </c>
      <c r="E774" t="inlineStr">
        <is>
          <t>No</t>
        </is>
      </c>
      <c r="F774" s="2" t="n">
        <v>0.976</v>
      </c>
      <c r="G774" s="6" t="n">
        <v>5</v>
      </c>
      <c r="H774" s="6">
        <f>F774*G774</f>
        <v/>
      </c>
      <c r="I774">
        <f>_xlfn.XLOOKUP(A774,MktTitle,MktCat,"n/a")</f>
        <v/>
      </c>
      <c r="J774" s="3">
        <f>_xlfn.XLOOKUP(A774,MktTitle,MktTotVol,0)</f>
        <v/>
      </c>
      <c r="K774">
        <f>IF(H774&gt;WhaleThreshold,"WHALE","")</f>
        <v/>
      </c>
    </row>
    <row r="775">
      <c r="A775" t="inlineStr">
        <is>
          <t>Will Morocco win the 2026 FIFA World Cup?</t>
        </is>
      </c>
      <c r="B775" s="4" t="n">
        <v>46205</v>
      </c>
      <c r="C775" s="5" t="n">
        <v>46205.96712962963</v>
      </c>
      <c r="D775" t="inlineStr">
        <is>
          <t>BUY</t>
        </is>
      </c>
      <c r="E775" t="inlineStr">
        <is>
          <t>No</t>
        </is>
      </c>
      <c r="F775" s="2" t="n">
        <v>0.976</v>
      </c>
      <c r="G775" s="6" t="n">
        <v>40</v>
      </c>
      <c r="H775" s="6">
        <f>F775*G775</f>
        <v/>
      </c>
      <c r="I775">
        <f>_xlfn.XLOOKUP(A775,MktTitle,MktCat,"n/a")</f>
        <v/>
      </c>
      <c r="J775" s="3">
        <f>_xlfn.XLOOKUP(A775,MktTitle,MktTotVol,0)</f>
        <v/>
      </c>
      <c r="K775">
        <f>IF(H775&gt;WhaleThreshold,"WHALE","")</f>
        <v/>
      </c>
    </row>
    <row r="776">
      <c r="A776" t="inlineStr">
        <is>
          <t>Will Morocco win the 2026 FIFA World Cup?</t>
        </is>
      </c>
      <c r="B776" s="4" t="n">
        <v>46205</v>
      </c>
      <c r="C776" s="5" t="n">
        <v>46205.96712962963</v>
      </c>
      <c r="D776" t="inlineStr">
        <is>
          <t>BUY</t>
        </is>
      </c>
      <c r="E776" t="inlineStr">
        <is>
          <t>No</t>
        </is>
      </c>
      <c r="F776" s="2" t="n">
        <v>0.976</v>
      </c>
      <c r="G776" s="6" t="n">
        <v>22.8</v>
      </c>
      <c r="H776" s="6">
        <f>F776*G776</f>
        <v/>
      </c>
      <c r="I776">
        <f>_xlfn.XLOOKUP(A776,MktTitle,MktCat,"n/a")</f>
        <v/>
      </c>
      <c r="J776" s="3">
        <f>_xlfn.XLOOKUP(A776,MktTitle,MktTotVol,0)</f>
        <v/>
      </c>
      <c r="K776">
        <f>IF(H776&gt;WhaleThreshold,"WHALE","")</f>
        <v/>
      </c>
    </row>
    <row r="777">
      <c r="A777" t="inlineStr">
        <is>
          <t>Will Morocco win the 2026 FIFA World Cup?</t>
        </is>
      </c>
      <c r="B777" s="4" t="n">
        <v>46205</v>
      </c>
      <c r="C777" s="5" t="n">
        <v>46205.96712962963</v>
      </c>
      <c r="D777" t="inlineStr">
        <is>
          <t>BUY</t>
        </is>
      </c>
      <c r="E777" t="inlineStr">
        <is>
          <t>No</t>
        </is>
      </c>
      <c r="F777" s="2" t="n">
        <v>0.976</v>
      </c>
      <c r="G777" s="6" t="n">
        <v>30</v>
      </c>
      <c r="H777" s="6">
        <f>F777*G777</f>
        <v/>
      </c>
      <c r="I777">
        <f>_xlfn.XLOOKUP(A777,MktTitle,MktCat,"n/a")</f>
        <v/>
      </c>
      <c r="J777" s="3">
        <f>_xlfn.XLOOKUP(A777,MktTitle,MktTotVol,0)</f>
        <v/>
      </c>
      <c r="K777">
        <f>IF(H777&gt;WhaleThreshold,"WHALE","")</f>
        <v/>
      </c>
    </row>
    <row r="778">
      <c r="A778" t="inlineStr">
        <is>
          <t>Will Morocco win the 2026 FIFA World Cup?</t>
        </is>
      </c>
      <c r="B778" s="4" t="n">
        <v>46205</v>
      </c>
      <c r="C778" s="5" t="n">
        <v>46205.96712962963</v>
      </c>
      <c r="D778" t="inlineStr">
        <is>
          <t>BUY</t>
        </is>
      </c>
      <c r="E778" t="inlineStr">
        <is>
          <t>No</t>
        </is>
      </c>
      <c r="F778" s="2" t="n">
        <v>0.976</v>
      </c>
      <c r="G778" s="6" t="n">
        <v>45.6</v>
      </c>
      <c r="H778" s="6">
        <f>F778*G778</f>
        <v/>
      </c>
      <c r="I778">
        <f>_xlfn.XLOOKUP(A778,MktTitle,MktCat,"n/a")</f>
        <v/>
      </c>
      <c r="J778" s="3">
        <f>_xlfn.XLOOKUP(A778,MktTitle,MktTotVol,0)</f>
        <v/>
      </c>
      <c r="K778">
        <f>IF(H778&gt;WhaleThreshold,"WHALE","")</f>
        <v/>
      </c>
    </row>
    <row r="779">
      <c r="A779" t="inlineStr">
        <is>
          <t>Will Morocco win the 2026 FIFA World Cup?</t>
        </is>
      </c>
      <c r="B779" s="4" t="n">
        <v>46205</v>
      </c>
      <c r="C779" s="5" t="n">
        <v>46205.96712962963</v>
      </c>
      <c r="D779" t="inlineStr">
        <is>
          <t>BUY</t>
        </is>
      </c>
      <c r="E779" t="inlineStr">
        <is>
          <t>No</t>
        </is>
      </c>
      <c r="F779" s="2" t="n">
        <v>0.976</v>
      </c>
      <c r="G779" s="6" t="n">
        <v>90</v>
      </c>
      <c r="H779" s="6">
        <f>F779*G779</f>
        <v/>
      </c>
      <c r="I779">
        <f>_xlfn.XLOOKUP(A779,MktTitle,MktCat,"n/a")</f>
        <v/>
      </c>
      <c r="J779" s="3">
        <f>_xlfn.XLOOKUP(A779,MktTitle,MktTotVol,0)</f>
        <v/>
      </c>
      <c r="K779">
        <f>IF(H779&gt;WhaleThreshold,"WHALE","")</f>
        <v/>
      </c>
    </row>
    <row r="780">
      <c r="A780" t="inlineStr">
        <is>
          <t>Will Morocco win the 2026 FIFA World Cup?</t>
        </is>
      </c>
      <c r="B780" s="4" t="n">
        <v>46205</v>
      </c>
      <c r="C780" s="5" t="n">
        <v>46205.96682870371</v>
      </c>
      <c r="D780" t="inlineStr">
        <is>
          <t>BUY</t>
        </is>
      </c>
      <c r="E780" t="inlineStr">
        <is>
          <t>No</t>
        </is>
      </c>
      <c r="F780" s="2" t="n">
        <v>0.976</v>
      </c>
      <c r="G780" s="6" t="n">
        <v>116</v>
      </c>
      <c r="H780" s="6">
        <f>F780*G780</f>
        <v/>
      </c>
      <c r="I780">
        <f>_xlfn.XLOOKUP(A780,MktTitle,MktCat,"n/a")</f>
        <v/>
      </c>
      <c r="J780" s="3">
        <f>_xlfn.XLOOKUP(A780,MktTitle,MktTotVol,0)</f>
        <v/>
      </c>
      <c r="K780">
        <f>IF(H780&gt;WhaleThreshold,"WHALE","")</f>
        <v/>
      </c>
    </row>
    <row r="781">
      <c r="A781" t="inlineStr">
        <is>
          <t>Will Morocco win the 2026 FIFA World Cup?</t>
        </is>
      </c>
      <c r="B781" s="4" t="n">
        <v>46205</v>
      </c>
      <c r="C781" s="5" t="n">
        <v>46205.96682870371</v>
      </c>
      <c r="D781" t="inlineStr">
        <is>
          <t>BUY</t>
        </is>
      </c>
      <c r="E781" t="inlineStr">
        <is>
          <t>No</t>
        </is>
      </c>
      <c r="F781" s="2" t="n">
        <v>0.976</v>
      </c>
      <c r="G781" s="6" t="n">
        <v>40</v>
      </c>
      <c r="H781" s="6">
        <f>F781*G781</f>
        <v/>
      </c>
      <c r="I781">
        <f>_xlfn.XLOOKUP(A781,MktTitle,MktCat,"n/a")</f>
        <v/>
      </c>
      <c r="J781" s="3">
        <f>_xlfn.XLOOKUP(A781,MktTitle,MktTotVol,0)</f>
        <v/>
      </c>
      <c r="K781">
        <f>IF(H781&gt;WhaleThreshold,"WHALE","")</f>
        <v/>
      </c>
    </row>
    <row r="782">
      <c r="A782" t="inlineStr">
        <is>
          <t>Will Morocco win the 2026 FIFA World Cup?</t>
        </is>
      </c>
      <c r="B782" s="4" t="n">
        <v>46205</v>
      </c>
      <c r="C782" s="5" t="n">
        <v>46205.96682870371</v>
      </c>
      <c r="D782" t="inlineStr">
        <is>
          <t>BUY</t>
        </is>
      </c>
      <c r="E782" t="inlineStr">
        <is>
          <t>No</t>
        </is>
      </c>
      <c r="F782" s="2" t="n">
        <v>0.976</v>
      </c>
      <c r="G782" s="6" t="n">
        <v>8.4</v>
      </c>
      <c r="H782" s="6">
        <f>F782*G782</f>
        <v/>
      </c>
      <c r="I782">
        <f>_xlfn.XLOOKUP(A782,MktTitle,MktCat,"n/a")</f>
        <v/>
      </c>
      <c r="J782" s="3">
        <f>_xlfn.XLOOKUP(A782,MktTitle,MktTotVol,0)</f>
        <v/>
      </c>
      <c r="K782">
        <f>IF(H782&gt;WhaleThreshold,"WHALE","")</f>
        <v/>
      </c>
    </row>
    <row r="783">
      <c r="A783" t="inlineStr">
        <is>
          <t>Will Morocco win the 2026 FIFA World Cup?</t>
        </is>
      </c>
      <c r="B783" s="4" t="n">
        <v>46205</v>
      </c>
      <c r="C783" s="5" t="n">
        <v>46205.96681712963</v>
      </c>
      <c r="D783" t="inlineStr">
        <is>
          <t>BUY</t>
        </is>
      </c>
      <c r="E783" t="inlineStr">
        <is>
          <t>No</t>
        </is>
      </c>
      <c r="F783" s="2" t="n">
        <v>0.976</v>
      </c>
      <c r="G783" s="6" t="n">
        <v>73.59999999999999</v>
      </c>
      <c r="H783" s="6">
        <f>F783*G783</f>
        <v/>
      </c>
      <c r="I783">
        <f>_xlfn.XLOOKUP(A783,MktTitle,MktCat,"n/a")</f>
        <v/>
      </c>
      <c r="J783" s="3">
        <f>_xlfn.XLOOKUP(A783,MktTitle,MktTotVol,0)</f>
        <v/>
      </c>
      <c r="K783">
        <f>IF(H783&gt;WhaleThreshold,"WHALE","")</f>
        <v/>
      </c>
    </row>
    <row r="784">
      <c r="A784" t="inlineStr">
        <is>
          <t>Will Morocco win the 2026 FIFA World Cup?</t>
        </is>
      </c>
      <c r="B784" s="4" t="n">
        <v>46205</v>
      </c>
      <c r="C784" s="5" t="n">
        <v>46205.96681712963</v>
      </c>
      <c r="D784" t="inlineStr">
        <is>
          <t>BUY</t>
        </is>
      </c>
      <c r="E784" t="inlineStr">
        <is>
          <t>No</t>
        </is>
      </c>
      <c r="F784" s="2" t="n">
        <v>0.976</v>
      </c>
      <c r="G784" s="6" t="n">
        <v>100</v>
      </c>
      <c r="H784" s="6">
        <f>F784*G784</f>
        <v/>
      </c>
      <c r="I784">
        <f>_xlfn.XLOOKUP(A784,MktTitle,MktCat,"n/a")</f>
        <v/>
      </c>
      <c r="J784" s="3">
        <f>_xlfn.XLOOKUP(A784,MktTitle,MktTotVol,0)</f>
        <v/>
      </c>
      <c r="K784">
        <f>IF(H784&gt;WhaleThreshold,"WHALE","")</f>
        <v/>
      </c>
    </row>
    <row r="785">
      <c r="A785" t="inlineStr">
        <is>
          <t>Will Morocco win the 2026 FIFA World Cup?</t>
        </is>
      </c>
      <c r="B785" s="4" t="n">
        <v>46205</v>
      </c>
      <c r="C785" s="5" t="n">
        <v>46205.96679398148</v>
      </c>
      <c r="D785" t="inlineStr">
        <is>
          <t>BUY</t>
        </is>
      </c>
      <c r="E785" t="inlineStr">
        <is>
          <t>No</t>
        </is>
      </c>
      <c r="F785" s="2" t="n">
        <v>0.976</v>
      </c>
      <c r="G785" s="6" t="n">
        <v>10</v>
      </c>
      <c r="H785" s="6">
        <f>F785*G785</f>
        <v/>
      </c>
      <c r="I785">
        <f>_xlfn.XLOOKUP(A785,MktTitle,MktCat,"n/a")</f>
        <v/>
      </c>
      <c r="J785" s="3">
        <f>_xlfn.XLOOKUP(A785,MktTitle,MktTotVol,0)</f>
        <v/>
      </c>
      <c r="K785">
        <f>IF(H785&gt;WhaleThreshold,"WHALE","")</f>
        <v/>
      </c>
    </row>
    <row r="786">
      <c r="A786" t="inlineStr">
        <is>
          <t>Will Morocco win the 2026 FIFA World Cup?</t>
        </is>
      </c>
      <c r="B786" s="4" t="n">
        <v>46205</v>
      </c>
      <c r="C786" s="5" t="n">
        <v>46205.96679398148</v>
      </c>
      <c r="D786" t="inlineStr">
        <is>
          <t>BUY</t>
        </is>
      </c>
      <c r="E786" t="inlineStr">
        <is>
          <t>No</t>
        </is>
      </c>
      <c r="F786" s="2" t="n">
        <v>0.976</v>
      </c>
      <c r="G786" s="6" t="n">
        <v>15</v>
      </c>
      <c r="H786" s="6">
        <f>F786*G786</f>
        <v/>
      </c>
      <c r="I786">
        <f>_xlfn.XLOOKUP(A786,MktTitle,MktCat,"n/a")</f>
        <v/>
      </c>
      <c r="J786" s="3">
        <f>_xlfn.XLOOKUP(A786,MktTitle,MktTotVol,0)</f>
        <v/>
      </c>
      <c r="K786">
        <f>IF(H786&gt;WhaleThreshold,"WHALE","")</f>
        <v/>
      </c>
    </row>
    <row r="787">
      <c r="A787" t="inlineStr">
        <is>
          <t>Will Morocco win the 2026 FIFA World Cup?</t>
        </is>
      </c>
      <c r="B787" s="4" t="n">
        <v>46205</v>
      </c>
      <c r="C787" s="5" t="n">
        <v>46205.96655092593</v>
      </c>
      <c r="D787" t="inlineStr">
        <is>
          <t>BUY</t>
        </is>
      </c>
      <c r="E787" t="inlineStr">
        <is>
          <t>No</t>
        </is>
      </c>
      <c r="F787" s="2" t="n">
        <v>0.976</v>
      </c>
      <c r="G787" s="6" t="n">
        <v>5</v>
      </c>
      <c r="H787" s="6">
        <f>F787*G787</f>
        <v/>
      </c>
      <c r="I787">
        <f>_xlfn.XLOOKUP(A787,MktTitle,MktCat,"n/a")</f>
        <v/>
      </c>
      <c r="J787" s="3">
        <f>_xlfn.XLOOKUP(A787,MktTitle,MktTotVol,0)</f>
        <v/>
      </c>
      <c r="K787">
        <f>IF(H787&gt;WhaleThreshold,"WHALE","")</f>
        <v/>
      </c>
    </row>
    <row r="788">
      <c r="A788" t="inlineStr">
        <is>
          <t>Will Morocco win the 2026 FIFA World Cup?</t>
        </is>
      </c>
      <c r="B788" s="4" t="n">
        <v>46205</v>
      </c>
      <c r="C788" s="5" t="n">
        <v>46205.96655092593</v>
      </c>
      <c r="D788" t="inlineStr">
        <is>
          <t>BUY</t>
        </is>
      </c>
      <c r="E788" t="inlineStr">
        <is>
          <t>No</t>
        </is>
      </c>
      <c r="F788" s="2" t="n">
        <v>0.976</v>
      </c>
      <c r="G788" s="6" t="n">
        <v>115</v>
      </c>
      <c r="H788" s="6">
        <f>F788*G788</f>
        <v/>
      </c>
      <c r="I788">
        <f>_xlfn.XLOOKUP(A788,MktTitle,MktCat,"n/a")</f>
        <v/>
      </c>
      <c r="J788" s="3">
        <f>_xlfn.XLOOKUP(A788,MktTitle,MktTotVol,0)</f>
        <v/>
      </c>
      <c r="K788">
        <f>IF(H788&gt;WhaleThreshold,"WHALE","")</f>
        <v/>
      </c>
    </row>
    <row r="789">
      <c r="A789" t="inlineStr">
        <is>
          <t>Will Morocco win the 2026 FIFA World Cup?</t>
        </is>
      </c>
      <c r="B789" s="4" t="n">
        <v>46205</v>
      </c>
      <c r="C789" s="5" t="n">
        <v>46205.96653935185</v>
      </c>
      <c r="D789" t="inlineStr">
        <is>
          <t>BUY</t>
        </is>
      </c>
      <c r="E789" t="inlineStr">
        <is>
          <t>No</t>
        </is>
      </c>
      <c r="F789" s="2" t="n">
        <v>0.976</v>
      </c>
      <c r="G789" s="6" t="n">
        <v>73.59999999999999</v>
      </c>
      <c r="H789" s="6">
        <f>F789*G789</f>
        <v/>
      </c>
      <c r="I789">
        <f>_xlfn.XLOOKUP(A789,MktTitle,MktCat,"n/a")</f>
        <v/>
      </c>
      <c r="J789" s="3">
        <f>_xlfn.XLOOKUP(A789,MktTitle,MktTotVol,0)</f>
        <v/>
      </c>
      <c r="K789">
        <f>IF(H789&gt;WhaleThreshold,"WHALE","")</f>
        <v/>
      </c>
    </row>
    <row r="790">
      <c r="A790" t="inlineStr">
        <is>
          <t>Will Morocco win the 2026 FIFA World Cup?</t>
        </is>
      </c>
      <c r="B790" s="4" t="n">
        <v>46205</v>
      </c>
      <c r="C790" s="5" t="n">
        <v>46205.96653935185</v>
      </c>
      <c r="D790" t="inlineStr">
        <is>
          <t>BUY</t>
        </is>
      </c>
      <c r="E790" t="inlineStr">
        <is>
          <t>No</t>
        </is>
      </c>
      <c r="F790" s="2" t="n">
        <v>0.976</v>
      </c>
      <c r="G790" s="6" t="n">
        <v>115</v>
      </c>
      <c r="H790" s="6">
        <f>F790*G790</f>
        <v/>
      </c>
      <c r="I790">
        <f>_xlfn.XLOOKUP(A790,MktTitle,MktCat,"n/a")</f>
        <v/>
      </c>
      <c r="J790" s="3">
        <f>_xlfn.XLOOKUP(A790,MktTitle,MktTotVol,0)</f>
        <v/>
      </c>
      <c r="K790">
        <f>IF(H790&gt;WhaleThreshold,"WHALE","")</f>
        <v/>
      </c>
    </row>
    <row r="791">
      <c r="A791" t="inlineStr">
        <is>
          <t>Will Morocco win the 2026 FIFA World Cup?</t>
        </is>
      </c>
      <c r="B791" s="4" t="n">
        <v>46205</v>
      </c>
      <c r="C791" s="5" t="n">
        <v>46205.96636574074</v>
      </c>
      <c r="D791" t="inlineStr">
        <is>
          <t>BUY</t>
        </is>
      </c>
      <c r="E791" t="inlineStr">
        <is>
          <t>Yes</t>
        </is>
      </c>
      <c r="F791" s="2" t="n">
        <v>0.025</v>
      </c>
      <c r="G791" s="6" t="n">
        <v>726.55</v>
      </c>
      <c r="H791" s="6">
        <f>F791*G791</f>
        <v/>
      </c>
      <c r="I791">
        <f>_xlfn.XLOOKUP(A791,MktTitle,MktCat,"n/a")</f>
        <v/>
      </c>
      <c r="J791" s="3">
        <f>_xlfn.XLOOKUP(A791,MktTitle,MktTotVol,0)</f>
        <v/>
      </c>
      <c r="K791">
        <f>IF(H791&gt;WhaleThreshold,"WHALE","")</f>
        <v/>
      </c>
    </row>
    <row r="792">
      <c r="A792" t="inlineStr">
        <is>
          <t>Will Morocco win the 2026 FIFA World Cup?</t>
        </is>
      </c>
      <c r="B792" s="4" t="n">
        <v>46205</v>
      </c>
      <c r="C792" s="5" t="n">
        <v>46205.96622685185</v>
      </c>
      <c r="D792" t="inlineStr">
        <is>
          <t>BUY</t>
        </is>
      </c>
      <c r="E792" t="inlineStr">
        <is>
          <t>No</t>
        </is>
      </c>
      <c r="F792" s="2" t="n">
        <v>0.976</v>
      </c>
      <c r="G792" s="6" t="n">
        <v>10</v>
      </c>
      <c r="H792" s="6">
        <f>F792*G792</f>
        <v/>
      </c>
      <c r="I792">
        <f>_xlfn.XLOOKUP(A792,MktTitle,MktCat,"n/a")</f>
        <v/>
      </c>
      <c r="J792" s="3">
        <f>_xlfn.XLOOKUP(A792,MktTitle,MktTotVol,0)</f>
        <v/>
      </c>
      <c r="K792">
        <f>IF(H792&gt;WhaleThreshold,"WHALE","")</f>
        <v/>
      </c>
    </row>
    <row r="793">
      <c r="A793" t="inlineStr">
        <is>
          <t>Will Morocco win the 2026 FIFA World Cup?</t>
        </is>
      </c>
      <c r="B793" s="4" t="n">
        <v>46205</v>
      </c>
      <c r="C793" s="5" t="n">
        <v>46205.96622685185</v>
      </c>
      <c r="D793" t="inlineStr">
        <is>
          <t>BUY</t>
        </is>
      </c>
      <c r="E793" t="inlineStr">
        <is>
          <t>No</t>
        </is>
      </c>
      <c r="F793" s="2" t="n">
        <v>0.976</v>
      </c>
      <c r="G793" s="6" t="n">
        <v>54</v>
      </c>
      <c r="H793" s="6">
        <f>F793*G793</f>
        <v/>
      </c>
      <c r="I793">
        <f>_xlfn.XLOOKUP(A793,MktTitle,MktCat,"n/a")</f>
        <v/>
      </c>
      <c r="J793" s="3">
        <f>_xlfn.XLOOKUP(A793,MktTitle,MktTotVol,0)</f>
        <v/>
      </c>
      <c r="K793">
        <f>IF(H793&gt;WhaleThreshold,"WHALE","")</f>
        <v/>
      </c>
    </row>
    <row r="794">
      <c r="A794" t="inlineStr">
        <is>
          <t>Will Morocco win the 2026 FIFA World Cup?</t>
        </is>
      </c>
      <c r="B794" s="4" t="n">
        <v>46205</v>
      </c>
      <c r="C794" s="5" t="n">
        <v>46205.96594907407</v>
      </c>
      <c r="D794" t="inlineStr">
        <is>
          <t>BUY</t>
        </is>
      </c>
      <c r="E794" t="inlineStr">
        <is>
          <t>No</t>
        </is>
      </c>
      <c r="F794" s="2" t="n">
        <v>0.976</v>
      </c>
      <c r="G794" s="6" t="n">
        <v>10</v>
      </c>
      <c r="H794" s="6">
        <f>F794*G794</f>
        <v/>
      </c>
      <c r="I794">
        <f>_xlfn.XLOOKUP(A794,MktTitle,MktCat,"n/a")</f>
        <v/>
      </c>
      <c r="J794" s="3">
        <f>_xlfn.XLOOKUP(A794,MktTitle,MktTotVol,0)</f>
        <v/>
      </c>
      <c r="K794">
        <f>IF(H794&gt;WhaleThreshold,"WHALE","")</f>
        <v/>
      </c>
    </row>
    <row r="795">
      <c r="A795" t="inlineStr">
        <is>
          <t>Will Morocco win the 2026 FIFA World Cup?</t>
        </is>
      </c>
      <c r="B795" s="4" t="n">
        <v>46205</v>
      </c>
      <c r="C795" s="5" t="n">
        <v>46205.96592592593</v>
      </c>
      <c r="D795" t="inlineStr">
        <is>
          <t>BUY</t>
        </is>
      </c>
      <c r="E795" t="inlineStr">
        <is>
          <t>No</t>
        </is>
      </c>
      <c r="F795" s="2" t="n">
        <v>0.976</v>
      </c>
      <c r="G795" s="6" t="n">
        <v>28</v>
      </c>
      <c r="H795" s="6">
        <f>F795*G795</f>
        <v/>
      </c>
      <c r="I795">
        <f>_xlfn.XLOOKUP(A795,MktTitle,MktCat,"n/a")</f>
        <v/>
      </c>
      <c r="J795" s="3">
        <f>_xlfn.XLOOKUP(A795,MktTitle,MktTotVol,0)</f>
        <v/>
      </c>
      <c r="K795">
        <f>IF(H795&gt;WhaleThreshold,"WHALE","")</f>
        <v/>
      </c>
    </row>
    <row r="796">
      <c r="A796" t="inlineStr">
        <is>
          <t>Will Morocco win the 2026 FIFA World Cup?</t>
        </is>
      </c>
      <c r="B796" s="4" t="n">
        <v>46205</v>
      </c>
      <c r="C796" s="5" t="n">
        <v>46205.96582175926</v>
      </c>
      <c r="D796" t="inlineStr">
        <is>
          <t>BUY</t>
        </is>
      </c>
      <c r="E796" t="inlineStr">
        <is>
          <t>No</t>
        </is>
      </c>
      <c r="F796" s="2" t="n">
        <v>0.976</v>
      </c>
      <c r="G796" s="6" t="n">
        <v>5</v>
      </c>
      <c r="H796" s="6">
        <f>F796*G796</f>
        <v/>
      </c>
      <c r="I796">
        <f>_xlfn.XLOOKUP(A796,MktTitle,MktCat,"n/a")</f>
        <v/>
      </c>
      <c r="J796" s="3">
        <f>_xlfn.XLOOKUP(A796,MktTitle,MktTotVol,0)</f>
        <v/>
      </c>
      <c r="K796">
        <f>IF(H796&gt;WhaleThreshold,"WHALE","")</f>
        <v/>
      </c>
    </row>
    <row r="797">
      <c r="A797" t="inlineStr">
        <is>
          <t>Will Morocco win the 2026 FIFA World Cup?</t>
        </is>
      </c>
      <c r="B797" s="4" t="n">
        <v>46205</v>
      </c>
      <c r="C797" s="5" t="n">
        <v>46205.96578703704</v>
      </c>
      <c r="D797" t="inlineStr">
        <is>
          <t>BUY</t>
        </is>
      </c>
      <c r="E797" t="inlineStr">
        <is>
          <t>No</t>
        </is>
      </c>
      <c r="F797" s="2" t="n">
        <v>0.976</v>
      </c>
      <c r="G797" s="6" t="n">
        <v>37.4</v>
      </c>
      <c r="H797" s="6">
        <f>F797*G797</f>
        <v/>
      </c>
      <c r="I797">
        <f>_xlfn.XLOOKUP(A797,MktTitle,MktCat,"n/a")</f>
        <v/>
      </c>
      <c r="J797" s="3">
        <f>_xlfn.XLOOKUP(A797,MktTitle,MktTotVol,0)</f>
        <v/>
      </c>
      <c r="K797">
        <f>IF(H797&gt;WhaleThreshold,"WHALE","")</f>
        <v/>
      </c>
    </row>
    <row r="798">
      <c r="A798" t="inlineStr">
        <is>
          <t>Will Morocco win the 2026 FIFA World Cup?</t>
        </is>
      </c>
      <c r="B798" s="4" t="n">
        <v>46205</v>
      </c>
      <c r="C798" s="5" t="n">
        <v>46205.96578703704</v>
      </c>
      <c r="D798" t="inlineStr">
        <is>
          <t>BUY</t>
        </is>
      </c>
      <c r="E798" t="inlineStr">
        <is>
          <t>No</t>
        </is>
      </c>
      <c r="F798" s="2" t="n">
        <v>0.976</v>
      </c>
      <c r="G798" s="6" t="n">
        <v>115</v>
      </c>
      <c r="H798" s="6">
        <f>F798*G798</f>
        <v/>
      </c>
      <c r="I798">
        <f>_xlfn.XLOOKUP(A798,MktTitle,MktCat,"n/a")</f>
        <v/>
      </c>
      <c r="J798" s="3">
        <f>_xlfn.XLOOKUP(A798,MktTitle,MktTotVol,0)</f>
        <v/>
      </c>
      <c r="K798">
        <f>IF(H798&gt;WhaleThreshold,"WHALE","")</f>
        <v/>
      </c>
    </row>
    <row r="799">
      <c r="A799" t="inlineStr">
        <is>
          <t>Will Morocco win the 2026 FIFA World Cup?</t>
        </is>
      </c>
      <c r="B799" s="4" t="n">
        <v>46205</v>
      </c>
      <c r="C799" s="5" t="n">
        <v>46205.96560185185</v>
      </c>
      <c r="D799" t="inlineStr">
        <is>
          <t>BUY</t>
        </is>
      </c>
      <c r="E799" t="inlineStr">
        <is>
          <t>No</t>
        </is>
      </c>
      <c r="F799" s="2" t="n">
        <v>0.976</v>
      </c>
      <c r="G799" s="6" t="n">
        <v>300</v>
      </c>
      <c r="H799" s="6">
        <f>F799*G799</f>
        <v/>
      </c>
      <c r="I799">
        <f>_xlfn.XLOOKUP(A799,MktTitle,MktCat,"n/a")</f>
        <v/>
      </c>
      <c r="J799" s="3">
        <f>_xlfn.XLOOKUP(A799,MktTitle,MktTotVol,0)</f>
        <v/>
      </c>
      <c r="K799">
        <f>IF(H799&gt;WhaleThreshold,"WHALE","")</f>
        <v/>
      </c>
    </row>
    <row r="800">
      <c r="A800" t="inlineStr">
        <is>
          <t>Will Morocco win the 2026 FIFA World Cup?</t>
        </is>
      </c>
      <c r="B800" s="4" t="n">
        <v>46205</v>
      </c>
      <c r="C800" s="5" t="n">
        <v>46205.96508101852</v>
      </c>
      <c r="D800" t="inlineStr">
        <is>
          <t>BUY</t>
        </is>
      </c>
      <c r="E800" t="inlineStr">
        <is>
          <t>No</t>
        </is>
      </c>
      <c r="F800" s="2" t="n">
        <v>0.976</v>
      </c>
      <c r="G800" s="6" t="n">
        <v>38.75</v>
      </c>
      <c r="H800" s="6">
        <f>F800*G800</f>
        <v/>
      </c>
      <c r="I800">
        <f>_xlfn.XLOOKUP(A800,MktTitle,MktCat,"n/a")</f>
        <v/>
      </c>
      <c r="J800" s="3">
        <f>_xlfn.XLOOKUP(A800,MktTitle,MktTotVol,0)</f>
        <v/>
      </c>
      <c r="K800">
        <f>IF(H800&gt;WhaleThreshold,"WHALE","")</f>
        <v/>
      </c>
    </row>
    <row r="801">
      <c r="A801" t="inlineStr">
        <is>
          <t>Will Morocco win the 2026 FIFA World Cup?</t>
        </is>
      </c>
      <c r="B801" s="4" t="n">
        <v>46205</v>
      </c>
      <c r="C801" s="5" t="n">
        <v>46205.96445601852</v>
      </c>
      <c r="D801" t="inlineStr">
        <is>
          <t>SELL</t>
        </is>
      </c>
      <c r="E801" t="inlineStr">
        <is>
          <t>Yes</t>
        </is>
      </c>
      <c r="F801" s="2" t="n">
        <v>0.024</v>
      </c>
      <c r="G801" s="6" t="n">
        <v>6666.66</v>
      </c>
      <c r="H801" s="6">
        <f>F801*G801</f>
        <v/>
      </c>
      <c r="I801">
        <f>_xlfn.XLOOKUP(A801,MktTitle,MktCat,"n/a")</f>
        <v/>
      </c>
      <c r="J801" s="3">
        <f>_xlfn.XLOOKUP(A801,MktTitle,MktTotVol,0)</f>
        <v/>
      </c>
      <c r="K801">
        <f>IF(H801&gt;WhaleThreshold,"WHALE","")</f>
        <v/>
      </c>
    </row>
    <row r="802">
      <c r="A802" t="inlineStr">
        <is>
          <t>Will Morocco win the 2026 FIFA World Cup?</t>
        </is>
      </c>
      <c r="B802" s="4" t="n">
        <v>46205</v>
      </c>
      <c r="C802" s="5" t="n">
        <v>46205.9641550926</v>
      </c>
      <c r="D802" t="inlineStr">
        <is>
          <t>BUY</t>
        </is>
      </c>
      <c r="E802" t="inlineStr">
        <is>
          <t>No</t>
        </is>
      </c>
      <c r="F802" s="2" t="n">
        <v>0.976</v>
      </c>
      <c r="G802" s="6" t="n">
        <v>15</v>
      </c>
      <c r="H802" s="6">
        <f>F802*G802</f>
        <v/>
      </c>
      <c r="I802">
        <f>_xlfn.XLOOKUP(A802,MktTitle,MktCat,"n/a")</f>
        <v/>
      </c>
      <c r="J802" s="3">
        <f>_xlfn.XLOOKUP(A802,MktTitle,MktTotVol,0)</f>
        <v/>
      </c>
      <c r="K802">
        <f>IF(H802&gt;WhaleThreshold,"WHALE","")</f>
        <v/>
      </c>
    </row>
    <row r="803">
      <c r="A803" t="inlineStr">
        <is>
          <t>Will Morocco win the 2026 FIFA World Cup?</t>
        </is>
      </c>
      <c r="B803" s="4" t="n">
        <v>46205</v>
      </c>
      <c r="C803" s="5" t="n">
        <v>46205.9641550926</v>
      </c>
      <c r="D803" t="inlineStr">
        <is>
          <t>BUY</t>
        </is>
      </c>
      <c r="E803" t="inlineStr">
        <is>
          <t>No</t>
        </is>
      </c>
      <c r="F803" s="2" t="n">
        <v>0.976</v>
      </c>
      <c r="G803" s="6" t="n">
        <v>39</v>
      </c>
      <c r="H803" s="6">
        <f>F803*G803</f>
        <v/>
      </c>
      <c r="I803">
        <f>_xlfn.XLOOKUP(A803,MktTitle,MktCat,"n/a")</f>
        <v/>
      </c>
      <c r="J803" s="3">
        <f>_xlfn.XLOOKUP(A803,MktTitle,MktTotVol,0)</f>
        <v/>
      </c>
      <c r="K803">
        <f>IF(H803&gt;WhaleThreshold,"WHALE","")</f>
        <v/>
      </c>
    </row>
    <row r="804">
      <c r="A804" t="inlineStr">
        <is>
          <t>Will Morocco win the 2026 FIFA World Cup?</t>
        </is>
      </c>
      <c r="B804" s="4" t="n">
        <v>46205</v>
      </c>
      <c r="C804" s="5" t="n">
        <v>46205.96412037037</v>
      </c>
      <c r="D804" t="inlineStr">
        <is>
          <t>BUY</t>
        </is>
      </c>
      <c r="E804" t="inlineStr">
        <is>
          <t>No</t>
        </is>
      </c>
      <c r="F804" s="2" t="n">
        <v>0.976</v>
      </c>
      <c r="G804" s="6" t="n">
        <v>116</v>
      </c>
      <c r="H804" s="6">
        <f>F804*G804</f>
        <v/>
      </c>
      <c r="I804">
        <f>_xlfn.XLOOKUP(A804,MktTitle,MktCat,"n/a")</f>
        <v/>
      </c>
      <c r="J804" s="3">
        <f>_xlfn.XLOOKUP(A804,MktTitle,MktTotVol,0)</f>
        <v/>
      </c>
      <c r="K804">
        <f>IF(H804&gt;WhaleThreshold,"WHALE","")</f>
        <v/>
      </c>
    </row>
    <row r="805">
      <c r="A805" t="inlineStr">
        <is>
          <t>Will Morocco win the 2026 FIFA World Cup?</t>
        </is>
      </c>
      <c r="B805" s="4" t="n">
        <v>46205</v>
      </c>
      <c r="C805" s="5" t="n">
        <v>46205.96412037037</v>
      </c>
      <c r="D805" t="inlineStr">
        <is>
          <t>BUY</t>
        </is>
      </c>
      <c r="E805" t="inlineStr">
        <is>
          <t>No</t>
        </is>
      </c>
      <c r="F805" s="2" t="n">
        <v>0.976</v>
      </c>
      <c r="G805" s="6" t="n">
        <v>62</v>
      </c>
      <c r="H805" s="6">
        <f>F805*G805</f>
        <v/>
      </c>
      <c r="I805">
        <f>_xlfn.XLOOKUP(A805,MktTitle,MktCat,"n/a")</f>
        <v/>
      </c>
      <c r="J805" s="3">
        <f>_xlfn.XLOOKUP(A805,MktTitle,MktTotVol,0)</f>
        <v/>
      </c>
      <c r="K805">
        <f>IF(H805&gt;WhaleThreshold,"WHALE","")</f>
        <v/>
      </c>
    </row>
    <row r="806">
      <c r="A806" t="inlineStr">
        <is>
          <t>Will Morocco win the 2026 FIFA World Cup?</t>
        </is>
      </c>
      <c r="B806" s="4" t="n">
        <v>46205</v>
      </c>
      <c r="C806" s="5" t="n">
        <v>46205.9641087963</v>
      </c>
      <c r="D806" t="inlineStr">
        <is>
          <t>BUY</t>
        </is>
      </c>
      <c r="E806" t="inlineStr">
        <is>
          <t>No</t>
        </is>
      </c>
      <c r="F806" s="2" t="n">
        <v>0.976</v>
      </c>
      <c r="G806" s="6" t="n">
        <v>110</v>
      </c>
      <c r="H806" s="6">
        <f>F806*G806</f>
        <v/>
      </c>
      <c r="I806">
        <f>_xlfn.XLOOKUP(A806,MktTitle,MktCat,"n/a")</f>
        <v/>
      </c>
      <c r="J806" s="3">
        <f>_xlfn.XLOOKUP(A806,MktTitle,MktTotVol,0)</f>
        <v/>
      </c>
      <c r="K806">
        <f>IF(H806&gt;WhaleThreshold,"WHALE","")</f>
        <v/>
      </c>
    </row>
    <row r="807">
      <c r="A807" t="inlineStr">
        <is>
          <t>Will Morocco win the 2026 FIFA World Cup?</t>
        </is>
      </c>
      <c r="B807" s="4" t="n">
        <v>46205</v>
      </c>
      <c r="C807" s="5" t="n">
        <v>46205.9641087963</v>
      </c>
      <c r="D807" t="inlineStr">
        <is>
          <t>BUY</t>
        </is>
      </c>
      <c r="E807" t="inlineStr">
        <is>
          <t>No</t>
        </is>
      </c>
      <c r="F807" s="2" t="n">
        <v>0.976</v>
      </c>
      <c r="G807" s="6" t="n">
        <v>25.5</v>
      </c>
      <c r="H807" s="6">
        <f>F807*G807</f>
        <v/>
      </c>
      <c r="I807">
        <f>_xlfn.XLOOKUP(A807,MktTitle,MktCat,"n/a")</f>
        <v/>
      </c>
      <c r="J807" s="3">
        <f>_xlfn.XLOOKUP(A807,MktTitle,MktTotVol,0)</f>
        <v/>
      </c>
      <c r="K807">
        <f>IF(H807&gt;WhaleThreshold,"WHALE","")</f>
        <v/>
      </c>
    </row>
    <row r="808">
      <c r="A808" t="inlineStr">
        <is>
          <t>Will Morocco win the 2026 FIFA World Cup?</t>
        </is>
      </c>
      <c r="B808" s="4" t="n">
        <v>46205</v>
      </c>
      <c r="C808" s="5" t="n">
        <v>46205.9641087963</v>
      </c>
      <c r="D808" t="inlineStr">
        <is>
          <t>BUY</t>
        </is>
      </c>
      <c r="E808" t="inlineStr">
        <is>
          <t>No</t>
        </is>
      </c>
      <c r="F808" s="2" t="n">
        <v>0.976</v>
      </c>
      <c r="G808" s="6" t="n">
        <v>10</v>
      </c>
      <c r="H808" s="6">
        <f>F808*G808</f>
        <v/>
      </c>
      <c r="I808">
        <f>_xlfn.XLOOKUP(A808,MktTitle,MktCat,"n/a")</f>
        <v/>
      </c>
      <c r="J808" s="3">
        <f>_xlfn.XLOOKUP(A808,MktTitle,MktTotVol,0)</f>
        <v/>
      </c>
      <c r="K808">
        <f>IF(H808&gt;WhaleThreshold,"WHALE","")</f>
        <v/>
      </c>
    </row>
    <row r="809">
      <c r="A809" t="inlineStr">
        <is>
          <t>Will Morocco win the 2026 FIFA World Cup?</t>
        </is>
      </c>
      <c r="B809" s="4" t="n">
        <v>46205</v>
      </c>
      <c r="C809" s="5" t="n">
        <v>46205.96408564815</v>
      </c>
      <c r="D809" t="inlineStr">
        <is>
          <t>BUY</t>
        </is>
      </c>
      <c r="E809" t="inlineStr">
        <is>
          <t>No</t>
        </is>
      </c>
      <c r="F809" s="2" t="n">
        <v>0.976</v>
      </c>
      <c r="G809" s="6" t="n">
        <v>110</v>
      </c>
      <c r="H809" s="6">
        <f>F809*G809</f>
        <v/>
      </c>
      <c r="I809">
        <f>_xlfn.XLOOKUP(A809,MktTitle,MktCat,"n/a")</f>
        <v/>
      </c>
      <c r="J809" s="3">
        <f>_xlfn.XLOOKUP(A809,MktTitle,MktTotVol,0)</f>
        <v/>
      </c>
      <c r="K809">
        <f>IF(H809&gt;WhaleThreshold,"WHALE","")</f>
        <v/>
      </c>
    </row>
    <row r="810">
      <c r="A810" t="inlineStr">
        <is>
          <t>Will Morocco win the 2026 FIFA World Cup?</t>
        </is>
      </c>
      <c r="B810" s="4" t="n">
        <v>46205</v>
      </c>
      <c r="C810" s="5" t="n">
        <v>46205.96408564815</v>
      </c>
      <c r="D810" t="inlineStr">
        <is>
          <t>BUY</t>
        </is>
      </c>
      <c r="E810" t="inlineStr">
        <is>
          <t>No</t>
        </is>
      </c>
      <c r="F810" s="2" t="n">
        <v>0.976</v>
      </c>
      <c r="G810" s="6" t="n">
        <v>51.1</v>
      </c>
      <c r="H810" s="6">
        <f>F810*G810</f>
        <v/>
      </c>
      <c r="I810">
        <f>_xlfn.XLOOKUP(A810,MktTitle,MktCat,"n/a")</f>
        <v/>
      </c>
      <c r="J810" s="3">
        <f>_xlfn.XLOOKUP(A810,MktTitle,MktTotVol,0)</f>
        <v/>
      </c>
      <c r="K810">
        <f>IF(H810&gt;WhaleThreshold,"WHALE","")</f>
        <v/>
      </c>
    </row>
    <row r="811">
      <c r="A811" t="inlineStr">
        <is>
          <t>Will Morocco win the 2026 FIFA World Cup?</t>
        </is>
      </c>
      <c r="B811" s="4" t="n">
        <v>46205</v>
      </c>
      <c r="C811" s="5" t="n">
        <v>46205.96407407407</v>
      </c>
      <c r="D811" t="inlineStr">
        <is>
          <t>BUY</t>
        </is>
      </c>
      <c r="E811" t="inlineStr">
        <is>
          <t>No</t>
        </is>
      </c>
      <c r="F811" s="2" t="n">
        <v>0.976</v>
      </c>
      <c r="G811" s="6" t="n">
        <v>110</v>
      </c>
      <c r="H811" s="6">
        <f>F811*G811</f>
        <v/>
      </c>
      <c r="I811">
        <f>_xlfn.XLOOKUP(A811,MktTitle,MktCat,"n/a")</f>
        <v/>
      </c>
      <c r="J811" s="3">
        <f>_xlfn.XLOOKUP(A811,MktTitle,MktTotVol,0)</f>
        <v/>
      </c>
      <c r="K811">
        <f>IF(H811&gt;WhaleThreshold,"WHALE","")</f>
        <v/>
      </c>
    </row>
    <row r="812">
      <c r="A812" t="inlineStr">
        <is>
          <t>Will Morocco win the 2026 FIFA World Cup?</t>
        </is>
      </c>
      <c r="B812" s="4" t="n">
        <v>46205</v>
      </c>
      <c r="C812" s="5" t="n">
        <v>46205.96407407407</v>
      </c>
      <c r="D812" t="inlineStr">
        <is>
          <t>BUY</t>
        </is>
      </c>
      <c r="E812" t="inlineStr">
        <is>
          <t>No</t>
        </is>
      </c>
      <c r="F812" s="2" t="n">
        <v>0.976</v>
      </c>
      <c r="G812" s="6" t="n">
        <v>5</v>
      </c>
      <c r="H812" s="6">
        <f>F812*G812</f>
        <v/>
      </c>
      <c r="I812">
        <f>_xlfn.XLOOKUP(A812,MktTitle,MktCat,"n/a")</f>
        <v/>
      </c>
      <c r="J812" s="3">
        <f>_xlfn.XLOOKUP(A812,MktTitle,MktTotVol,0)</f>
        <v/>
      </c>
      <c r="K812">
        <f>IF(H812&gt;WhaleThreshold,"WHALE","")</f>
        <v/>
      </c>
    </row>
    <row r="813">
      <c r="A813" t="inlineStr">
        <is>
          <t>Will Morocco win the 2026 FIFA World Cup?</t>
        </is>
      </c>
      <c r="B813" s="4" t="n">
        <v>46205</v>
      </c>
      <c r="C813" s="5" t="n">
        <v>46205.96407407407</v>
      </c>
      <c r="D813" t="inlineStr">
        <is>
          <t>BUY</t>
        </is>
      </c>
      <c r="E813" t="inlineStr">
        <is>
          <t>No</t>
        </is>
      </c>
      <c r="F813" s="2" t="n">
        <v>0.976</v>
      </c>
      <c r="G813" s="6" t="n">
        <v>73.59999999999999</v>
      </c>
      <c r="H813" s="6">
        <f>F813*G813</f>
        <v/>
      </c>
      <c r="I813">
        <f>_xlfn.XLOOKUP(A813,MktTitle,MktCat,"n/a")</f>
        <v/>
      </c>
      <c r="J813" s="3">
        <f>_xlfn.XLOOKUP(A813,MktTitle,MktTotVol,0)</f>
        <v/>
      </c>
      <c r="K813">
        <f>IF(H813&gt;WhaleThreshold,"WHALE","")</f>
        <v/>
      </c>
    </row>
    <row r="814">
      <c r="A814" t="inlineStr">
        <is>
          <t>Will Morocco win the 2026 FIFA World Cup?</t>
        </is>
      </c>
      <c r="B814" s="4" t="n">
        <v>46205</v>
      </c>
      <c r="C814" s="5" t="n">
        <v>46205.96405092593</v>
      </c>
      <c r="D814" t="inlineStr">
        <is>
          <t>BUY</t>
        </is>
      </c>
      <c r="E814" t="inlineStr">
        <is>
          <t>No</t>
        </is>
      </c>
      <c r="F814" s="2" t="n">
        <v>0.976</v>
      </c>
      <c r="G814" s="6" t="n">
        <v>115</v>
      </c>
      <c r="H814" s="6">
        <f>F814*G814</f>
        <v/>
      </c>
      <c r="I814">
        <f>_xlfn.XLOOKUP(A814,MktTitle,MktCat,"n/a")</f>
        <v/>
      </c>
      <c r="J814" s="3">
        <f>_xlfn.XLOOKUP(A814,MktTitle,MktTotVol,0)</f>
        <v/>
      </c>
      <c r="K814">
        <f>IF(H814&gt;WhaleThreshold,"WHALE","")</f>
        <v/>
      </c>
    </row>
    <row r="815">
      <c r="A815" t="inlineStr">
        <is>
          <t>Will Morocco win the 2026 FIFA World Cup?</t>
        </is>
      </c>
      <c r="B815" s="4" t="n">
        <v>46205</v>
      </c>
      <c r="C815" s="5" t="n">
        <v>46205.96383101852</v>
      </c>
      <c r="D815" t="inlineStr">
        <is>
          <t>BUY</t>
        </is>
      </c>
      <c r="E815" t="inlineStr">
        <is>
          <t>No</t>
        </is>
      </c>
      <c r="F815" s="2" t="n">
        <v>0.976</v>
      </c>
      <c r="G815" s="6" t="n">
        <v>19.7746</v>
      </c>
      <c r="H815" s="6">
        <f>F815*G815</f>
        <v/>
      </c>
      <c r="I815">
        <f>_xlfn.XLOOKUP(A815,MktTitle,MktCat,"n/a")</f>
        <v/>
      </c>
      <c r="J815" s="3">
        <f>_xlfn.XLOOKUP(A815,MktTitle,MktTotVol,0)</f>
        <v/>
      </c>
      <c r="K815">
        <f>IF(H815&gt;WhaleThreshold,"WHALE","")</f>
        <v/>
      </c>
    </row>
    <row r="816">
      <c r="A816" t="inlineStr">
        <is>
          <t>Will Morocco win the 2026 FIFA World Cup?</t>
        </is>
      </c>
      <c r="B816" s="4" t="n">
        <v>46205</v>
      </c>
      <c r="C816" s="5" t="n">
        <v>46205.96327546296</v>
      </c>
      <c r="D816" t="inlineStr">
        <is>
          <t>BUY</t>
        </is>
      </c>
      <c r="E816" t="inlineStr">
        <is>
          <t>No</t>
        </is>
      </c>
      <c r="F816" s="2" t="n">
        <v>0.976</v>
      </c>
      <c r="G816" s="6" t="n">
        <v>20</v>
      </c>
      <c r="H816" s="6">
        <f>F816*G816</f>
        <v/>
      </c>
      <c r="I816">
        <f>_xlfn.XLOOKUP(A816,MktTitle,MktCat,"n/a")</f>
        <v/>
      </c>
      <c r="J816" s="3">
        <f>_xlfn.XLOOKUP(A816,MktTitle,MktTotVol,0)</f>
        <v/>
      </c>
      <c r="K816">
        <f>IF(H816&gt;WhaleThreshold,"WHALE","")</f>
        <v/>
      </c>
    </row>
    <row r="817">
      <c r="A817" t="inlineStr">
        <is>
          <t>Will Morocco win the 2026 FIFA World Cup?</t>
        </is>
      </c>
      <c r="B817" s="4" t="n">
        <v>46205</v>
      </c>
      <c r="C817" s="5" t="n">
        <v>46205.96325231482</v>
      </c>
      <c r="D817" t="inlineStr">
        <is>
          <t>BUY</t>
        </is>
      </c>
      <c r="E817" t="inlineStr">
        <is>
          <t>No</t>
        </is>
      </c>
      <c r="F817" s="2" t="n">
        <v>0.976</v>
      </c>
      <c r="G817" s="6" t="n">
        <v>16</v>
      </c>
      <c r="H817" s="6">
        <f>F817*G817</f>
        <v/>
      </c>
      <c r="I817">
        <f>_xlfn.XLOOKUP(A817,MktTitle,MktCat,"n/a")</f>
        <v/>
      </c>
      <c r="J817" s="3">
        <f>_xlfn.XLOOKUP(A817,MktTitle,MktTotVol,0)</f>
        <v/>
      </c>
      <c r="K817">
        <f>IF(H817&gt;WhaleThreshold,"WHALE","")</f>
        <v/>
      </c>
    </row>
    <row r="818">
      <c r="A818" t="inlineStr">
        <is>
          <t>Will Morocco win the 2026 FIFA World Cup?</t>
        </is>
      </c>
      <c r="B818" s="4" t="n">
        <v>46205</v>
      </c>
      <c r="C818" s="5" t="n">
        <v>46205.96321759259</v>
      </c>
      <c r="D818" t="inlineStr">
        <is>
          <t>BUY</t>
        </is>
      </c>
      <c r="E818" t="inlineStr">
        <is>
          <t>No</t>
        </is>
      </c>
      <c r="F818" s="2" t="n">
        <v>0.976</v>
      </c>
      <c r="G818" s="6" t="n">
        <v>2.1</v>
      </c>
      <c r="H818" s="6">
        <f>F818*G818</f>
        <v/>
      </c>
      <c r="I818">
        <f>_xlfn.XLOOKUP(A818,MktTitle,MktCat,"n/a")</f>
        <v/>
      </c>
      <c r="J818" s="3">
        <f>_xlfn.XLOOKUP(A818,MktTitle,MktTotVol,0)</f>
        <v/>
      </c>
      <c r="K818">
        <f>IF(H818&gt;WhaleThreshold,"WHALE","")</f>
        <v/>
      </c>
    </row>
    <row r="819">
      <c r="A819" t="inlineStr">
        <is>
          <t>Will Morocco win the 2026 FIFA World Cup?</t>
        </is>
      </c>
      <c r="B819" s="4" t="n">
        <v>46205</v>
      </c>
      <c r="C819" s="5" t="n">
        <v>46205.96300925926</v>
      </c>
      <c r="D819" t="inlineStr">
        <is>
          <t>BUY</t>
        </is>
      </c>
      <c r="E819" t="inlineStr">
        <is>
          <t>No</t>
        </is>
      </c>
      <c r="F819" s="2" t="n">
        <v>0.976</v>
      </c>
      <c r="G819" s="6" t="n">
        <v>10</v>
      </c>
      <c r="H819" s="6">
        <f>F819*G819</f>
        <v/>
      </c>
      <c r="I819">
        <f>_xlfn.XLOOKUP(A819,MktTitle,MktCat,"n/a")</f>
        <v/>
      </c>
      <c r="J819" s="3">
        <f>_xlfn.XLOOKUP(A819,MktTitle,MktTotVol,0)</f>
        <v/>
      </c>
      <c r="K819">
        <f>IF(H819&gt;WhaleThreshold,"WHALE","")</f>
        <v/>
      </c>
    </row>
    <row r="820">
      <c r="A820" t="inlineStr">
        <is>
          <t>Will Morocco win the 2026 FIFA World Cup?</t>
        </is>
      </c>
      <c r="B820" s="4" t="n">
        <v>46205</v>
      </c>
      <c r="C820" s="5" t="n">
        <v>46205.96275462963</v>
      </c>
      <c r="D820" t="inlineStr">
        <is>
          <t>BUY</t>
        </is>
      </c>
      <c r="E820" t="inlineStr">
        <is>
          <t>No</t>
        </is>
      </c>
      <c r="F820" s="2" t="n">
        <v>0.976</v>
      </c>
      <c r="G820" s="6" t="n">
        <v>50</v>
      </c>
      <c r="H820" s="6">
        <f>F820*G820</f>
        <v/>
      </c>
      <c r="I820">
        <f>_xlfn.XLOOKUP(A820,MktTitle,MktCat,"n/a")</f>
        <v/>
      </c>
      <c r="J820" s="3">
        <f>_xlfn.XLOOKUP(A820,MktTitle,MktTotVol,0)</f>
        <v/>
      </c>
      <c r="K820">
        <f>IF(H820&gt;WhaleThreshold,"WHALE","")</f>
        <v/>
      </c>
    </row>
    <row r="821">
      <c r="A821" t="inlineStr">
        <is>
          <t>Will Morocco win the 2026 FIFA World Cup?</t>
        </is>
      </c>
      <c r="B821" s="4" t="n">
        <v>46205</v>
      </c>
      <c r="C821" s="5" t="n">
        <v>46205.96266203704</v>
      </c>
      <c r="D821" t="inlineStr">
        <is>
          <t>BUY</t>
        </is>
      </c>
      <c r="E821" t="inlineStr">
        <is>
          <t>No</t>
        </is>
      </c>
      <c r="F821" s="2" t="n">
        <v>0.976</v>
      </c>
      <c r="G821" s="6" t="n">
        <v>38.3</v>
      </c>
      <c r="H821" s="6">
        <f>F821*G821</f>
        <v/>
      </c>
      <c r="I821">
        <f>_xlfn.XLOOKUP(A821,MktTitle,MktCat,"n/a")</f>
        <v/>
      </c>
      <c r="J821" s="3">
        <f>_xlfn.XLOOKUP(A821,MktTitle,MktTotVol,0)</f>
        <v/>
      </c>
      <c r="K821">
        <f>IF(H821&gt;WhaleThreshold,"WHALE","")</f>
        <v/>
      </c>
    </row>
    <row r="822">
      <c r="A822" t="inlineStr">
        <is>
          <t>Will Morocco win the 2026 FIFA World Cup?</t>
        </is>
      </c>
      <c r="B822" s="4" t="n">
        <v>46205</v>
      </c>
      <c r="C822" s="5" t="n">
        <v>46205.96266203704</v>
      </c>
      <c r="D822" t="inlineStr">
        <is>
          <t>BUY</t>
        </is>
      </c>
      <c r="E822" t="inlineStr">
        <is>
          <t>No</t>
        </is>
      </c>
      <c r="F822" s="2" t="n">
        <v>0.976</v>
      </c>
      <c r="G822" s="6" t="n">
        <v>115</v>
      </c>
      <c r="H822" s="6">
        <f>F822*G822</f>
        <v/>
      </c>
      <c r="I822">
        <f>_xlfn.XLOOKUP(A822,MktTitle,MktCat,"n/a")</f>
        <v/>
      </c>
      <c r="J822" s="3">
        <f>_xlfn.XLOOKUP(A822,MktTitle,MktTotVol,0)</f>
        <v/>
      </c>
      <c r="K822">
        <f>IF(H822&gt;WhaleThreshold,"WHALE","")</f>
        <v/>
      </c>
    </row>
    <row r="823">
      <c r="A823" t="inlineStr">
        <is>
          <t>Will Morocco win the 2026 FIFA World Cup?</t>
        </is>
      </c>
      <c r="B823" s="4" t="n">
        <v>46205</v>
      </c>
      <c r="C823" s="5" t="n">
        <v>46205.96266203704</v>
      </c>
      <c r="D823" t="inlineStr">
        <is>
          <t>BUY</t>
        </is>
      </c>
      <c r="E823" t="inlineStr">
        <is>
          <t>No</t>
        </is>
      </c>
      <c r="F823" s="2" t="n">
        <v>0.976</v>
      </c>
      <c r="G823" s="6" t="n">
        <v>10</v>
      </c>
      <c r="H823" s="6">
        <f>F823*G823</f>
        <v/>
      </c>
      <c r="I823">
        <f>_xlfn.XLOOKUP(A823,MktTitle,MktCat,"n/a")</f>
        <v/>
      </c>
      <c r="J823" s="3">
        <f>_xlfn.XLOOKUP(A823,MktTitle,MktTotVol,0)</f>
        <v/>
      </c>
      <c r="K823">
        <f>IF(H823&gt;WhaleThreshold,"WHALE","")</f>
        <v/>
      </c>
    </row>
    <row r="824">
      <c r="A824" t="inlineStr">
        <is>
          <t>Will Morocco win the 2026 FIFA World Cup?</t>
        </is>
      </c>
      <c r="B824" s="4" t="n">
        <v>46205</v>
      </c>
      <c r="C824" s="5" t="n">
        <v>46205.96265046296</v>
      </c>
      <c r="D824" t="inlineStr">
        <is>
          <t>BUY</t>
        </is>
      </c>
      <c r="E824" t="inlineStr">
        <is>
          <t>No</t>
        </is>
      </c>
      <c r="F824" s="2" t="n">
        <v>0.976</v>
      </c>
      <c r="G824" s="6" t="n">
        <v>50</v>
      </c>
      <c r="H824" s="6">
        <f>F824*G824</f>
        <v/>
      </c>
      <c r="I824">
        <f>_xlfn.XLOOKUP(A824,MktTitle,MktCat,"n/a")</f>
        <v/>
      </c>
      <c r="J824" s="3">
        <f>_xlfn.XLOOKUP(A824,MktTitle,MktTotVol,0)</f>
        <v/>
      </c>
      <c r="K824">
        <f>IF(H824&gt;WhaleThreshold,"WHALE","")</f>
        <v/>
      </c>
    </row>
    <row r="825">
      <c r="A825" t="inlineStr">
        <is>
          <t>Will Morocco win the 2026 FIFA World Cup?</t>
        </is>
      </c>
      <c r="B825" s="4" t="n">
        <v>46205</v>
      </c>
      <c r="C825" s="5" t="n">
        <v>46205.96265046296</v>
      </c>
      <c r="D825" t="inlineStr">
        <is>
          <t>BUY</t>
        </is>
      </c>
      <c r="E825" t="inlineStr">
        <is>
          <t>No</t>
        </is>
      </c>
      <c r="F825" s="2" t="n">
        <v>0.976</v>
      </c>
      <c r="G825" s="6" t="n">
        <v>73.59999999999999</v>
      </c>
      <c r="H825" s="6">
        <f>F825*G825</f>
        <v/>
      </c>
      <c r="I825">
        <f>_xlfn.XLOOKUP(A825,MktTitle,MktCat,"n/a")</f>
        <v/>
      </c>
      <c r="J825" s="3">
        <f>_xlfn.XLOOKUP(A825,MktTitle,MktTotVol,0)</f>
        <v/>
      </c>
      <c r="K825">
        <f>IF(H825&gt;WhaleThreshold,"WHALE","")</f>
        <v/>
      </c>
    </row>
    <row r="826">
      <c r="A826" t="inlineStr">
        <is>
          <t>Will Morocco win the 2026 FIFA World Cup?</t>
        </is>
      </c>
      <c r="B826" s="4" t="n">
        <v>46205</v>
      </c>
      <c r="C826" s="5" t="n">
        <v>46205.96259259259</v>
      </c>
      <c r="D826" t="inlineStr">
        <is>
          <t>BUY</t>
        </is>
      </c>
      <c r="E826" t="inlineStr">
        <is>
          <t>No</t>
        </is>
      </c>
      <c r="F826" s="2" t="n">
        <v>0.976</v>
      </c>
      <c r="G826" s="6" t="n">
        <v>26.1</v>
      </c>
      <c r="H826" s="6">
        <f>F826*G826</f>
        <v/>
      </c>
      <c r="I826">
        <f>_xlfn.XLOOKUP(A826,MktTitle,MktCat,"n/a")</f>
        <v/>
      </c>
      <c r="J826" s="3">
        <f>_xlfn.XLOOKUP(A826,MktTitle,MktTotVol,0)</f>
        <v/>
      </c>
      <c r="K826">
        <f>IF(H826&gt;WhaleThreshold,"WHALE","")</f>
        <v/>
      </c>
    </row>
    <row r="827">
      <c r="A827" t="inlineStr">
        <is>
          <t>Will Morocco win the 2026 FIFA World Cup?</t>
        </is>
      </c>
      <c r="B827" s="4" t="n">
        <v>46205</v>
      </c>
      <c r="C827" s="5" t="n">
        <v>46205.96255787037</v>
      </c>
      <c r="D827" t="inlineStr">
        <is>
          <t>BUY</t>
        </is>
      </c>
      <c r="E827" t="inlineStr">
        <is>
          <t>No</t>
        </is>
      </c>
      <c r="F827" s="2" t="n">
        <v>0.976</v>
      </c>
      <c r="G827" s="6" t="n">
        <v>20</v>
      </c>
      <c r="H827" s="6">
        <f>F827*G827</f>
        <v/>
      </c>
      <c r="I827">
        <f>_xlfn.XLOOKUP(A827,MktTitle,MktCat,"n/a")</f>
        <v/>
      </c>
      <c r="J827" s="3">
        <f>_xlfn.XLOOKUP(A827,MktTitle,MktTotVol,0)</f>
        <v/>
      </c>
      <c r="K827">
        <f>IF(H827&gt;WhaleThreshold,"WHALE","")</f>
        <v/>
      </c>
    </row>
    <row r="828">
      <c r="A828" t="inlineStr">
        <is>
          <t>Will Morocco win the 2026 FIFA World Cup?</t>
        </is>
      </c>
      <c r="B828" s="4" t="n">
        <v>46205</v>
      </c>
      <c r="C828" s="5" t="n">
        <v>46205.96254629629</v>
      </c>
      <c r="D828" t="inlineStr">
        <is>
          <t>BUY</t>
        </is>
      </c>
      <c r="E828" t="inlineStr">
        <is>
          <t>No</t>
        </is>
      </c>
      <c r="F828" s="2" t="n">
        <v>0.976</v>
      </c>
      <c r="G828" s="6" t="n">
        <v>10</v>
      </c>
      <c r="H828" s="6">
        <f>F828*G828</f>
        <v/>
      </c>
      <c r="I828">
        <f>_xlfn.XLOOKUP(A828,MktTitle,MktCat,"n/a")</f>
        <v/>
      </c>
      <c r="J828" s="3">
        <f>_xlfn.XLOOKUP(A828,MktTitle,MktTotVol,0)</f>
        <v/>
      </c>
      <c r="K828">
        <f>IF(H828&gt;WhaleThreshold,"WHALE","")</f>
        <v/>
      </c>
    </row>
    <row r="829">
      <c r="A829" t="inlineStr">
        <is>
          <t>Will Morocco win the 2026 FIFA World Cup?</t>
        </is>
      </c>
      <c r="B829" s="4" t="n">
        <v>46205</v>
      </c>
      <c r="C829" s="5" t="n">
        <v>46205.96200231482</v>
      </c>
      <c r="D829" t="inlineStr">
        <is>
          <t>BUY</t>
        </is>
      </c>
      <c r="E829" t="inlineStr">
        <is>
          <t>No</t>
        </is>
      </c>
      <c r="F829" s="2" t="n">
        <v>0.976</v>
      </c>
      <c r="G829" s="6" t="n">
        <v>10</v>
      </c>
      <c r="H829" s="6">
        <f>F829*G829</f>
        <v/>
      </c>
      <c r="I829">
        <f>_xlfn.XLOOKUP(A829,MktTitle,MktCat,"n/a")</f>
        <v/>
      </c>
      <c r="J829" s="3">
        <f>_xlfn.XLOOKUP(A829,MktTitle,MktTotVol,0)</f>
        <v/>
      </c>
      <c r="K829">
        <f>IF(H829&gt;WhaleThreshold,"WHALE","")</f>
        <v/>
      </c>
    </row>
    <row r="830">
      <c r="A830" t="inlineStr">
        <is>
          <t>Will Morocco win the 2026 FIFA World Cup?</t>
        </is>
      </c>
      <c r="B830" s="4" t="n">
        <v>46205</v>
      </c>
      <c r="C830" s="5" t="n">
        <v>46205.96199074074</v>
      </c>
      <c r="D830" t="inlineStr">
        <is>
          <t>BUY</t>
        </is>
      </c>
      <c r="E830" t="inlineStr">
        <is>
          <t>No</t>
        </is>
      </c>
      <c r="F830" s="2" t="n">
        <v>0.976</v>
      </c>
      <c r="G830" s="6" t="n">
        <v>10</v>
      </c>
      <c r="H830" s="6">
        <f>F830*G830</f>
        <v/>
      </c>
      <c r="I830">
        <f>_xlfn.XLOOKUP(A830,MktTitle,MktCat,"n/a")</f>
        <v/>
      </c>
      <c r="J830" s="3">
        <f>_xlfn.XLOOKUP(A830,MktTitle,MktTotVol,0)</f>
        <v/>
      </c>
      <c r="K830">
        <f>IF(H830&gt;WhaleThreshold,"WHALE","")</f>
        <v/>
      </c>
    </row>
    <row r="831">
      <c r="A831" t="inlineStr">
        <is>
          <t>Will Morocco win the 2026 FIFA World Cup?</t>
        </is>
      </c>
      <c r="B831" s="4" t="n">
        <v>46205</v>
      </c>
      <c r="C831" s="5" t="n">
        <v>46205.96195601852</v>
      </c>
      <c r="D831" t="inlineStr">
        <is>
          <t>BUY</t>
        </is>
      </c>
      <c r="E831" t="inlineStr">
        <is>
          <t>No</t>
        </is>
      </c>
      <c r="F831" s="2" t="n">
        <v>0.976</v>
      </c>
      <c r="G831" s="6" t="n">
        <v>10</v>
      </c>
      <c r="H831" s="6">
        <f>F831*G831</f>
        <v/>
      </c>
      <c r="I831">
        <f>_xlfn.XLOOKUP(A831,MktTitle,MktCat,"n/a")</f>
        <v/>
      </c>
      <c r="J831" s="3">
        <f>_xlfn.XLOOKUP(A831,MktTitle,MktTotVol,0)</f>
        <v/>
      </c>
      <c r="K831">
        <f>IF(H831&gt;WhaleThreshold,"WHALE","")</f>
        <v/>
      </c>
    </row>
    <row r="832">
      <c r="A832" t="inlineStr">
        <is>
          <t>Will Morocco win the 2026 FIFA World Cup?</t>
        </is>
      </c>
      <c r="B832" s="4" t="n">
        <v>46205</v>
      </c>
      <c r="C832" s="5" t="n">
        <v>46205.96193287037</v>
      </c>
      <c r="D832" t="inlineStr">
        <is>
          <t>BUY</t>
        </is>
      </c>
      <c r="E832" t="inlineStr">
        <is>
          <t>No</t>
        </is>
      </c>
      <c r="F832" s="2" t="n">
        <v>0.976</v>
      </c>
      <c r="G832" s="6" t="n">
        <v>10</v>
      </c>
      <c r="H832" s="6">
        <f>F832*G832</f>
        <v/>
      </c>
      <c r="I832">
        <f>_xlfn.XLOOKUP(A832,MktTitle,MktCat,"n/a")</f>
        <v/>
      </c>
      <c r="J832" s="3">
        <f>_xlfn.XLOOKUP(A832,MktTitle,MktTotVol,0)</f>
        <v/>
      </c>
      <c r="K832">
        <f>IF(H832&gt;WhaleThreshold,"WHALE","")</f>
        <v/>
      </c>
    </row>
    <row r="833">
      <c r="A833" t="inlineStr">
        <is>
          <t>Will Morocco win the 2026 FIFA World Cup?</t>
        </is>
      </c>
      <c r="B833" s="4" t="n">
        <v>46205</v>
      </c>
      <c r="C833" s="5" t="n">
        <v>46205.96192129629</v>
      </c>
      <c r="D833" t="inlineStr">
        <is>
          <t>BUY</t>
        </is>
      </c>
      <c r="E833" t="inlineStr">
        <is>
          <t>No</t>
        </is>
      </c>
      <c r="F833" s="2" t="n">
        <v>0.976</v>
      </c>
      <c r="G833" s="6" t="n">
        <v>10</v>
      </c>
      <c r="H833" s="6">
        <f>F833*G833</f>
        <v/>
      </c>
      <c r="I833">
        <f>_xlfn.XLOOKUP(A833,MktTitle,MktCat,"n/a")</f>
        <v/>
      </c>
      <c r="J833" s="3">
        <f>_xlfn.XLOOKUP(A833,MktTitle,MktTotVol,0)</f>
        <v/>
      </c>
      <c r="K833">
        <f>IF(H833&gt;WhaleThreshold,"WHALE","")</f>
        <v/>
      </c>
    </row>
    <row r="834">
      <c r="A834" t="inlineStr">
        <is>
          <t>Will Morocco win the 2026 FIFA World Cup?</t>
        </is>
      </c>
      <c r="B834" s="4" t="n">
        <v>46205</v>
      </c>
      <c r="C834" s="5" t="n">
        <v>46205.96188657408</v>
      </c>
      <c r="D834" t="inlineStr">
        <is>
          <t>BUY</t>
        </is>
      </c>
      <c r="E834" t="inlineStr">
        <is>
          <t>No</t>
        </is>
      </c>
      <c r="F834" s="2" t="n">
        <v>0.976</v>
      </c>
      <c r="G834" s="6" t="n">
        <v>10</v>
      </c>
      <c r="H834" s="6">
        <f>F834*G834</f>
        <v/>
      </c>
      <c r="I834">
        <f>_xlfn.XLOOKUP(A834,MktTitle,MktCat,"n/a")</f>
        <v/>
      </c>
      <c r="J834" s="3">
        <f>_xlfn.XLOOKUP(A834,MktTitle,MktTotVol,0)</f>
        <v/>
      </c>
      <c r="K834">
        <f>IF(H834&gt;WhaleThreshold,"WHALE","")</f>
        <v/>
      </c>
    </row>
    <row r="835">
      <c r="A835" t="inlineStr">
        <is>
          <t>Will Morocco win the 2026 FIFA World Cup?</t>
        </is>
      </c>
      <c r="B835" s="4" t="n">
        <v>46205</v>
      </c>
      <c r="C835" s="5" t="n">
        <v>46205.96185185185</v>
      </c>
      <c r="D835" t="inlineStr">
        <is>
          <t>BUY</t>
        </is>
      </c>
      <c r="E835" t="inlineStr">
        <is>
          <t>No</t>
        </is>
      </c>
      <c r="F835" s="2" t="n">
        <v>0.976</v>
      </c>
      <c r="G835" s="6" t="n">
        <v>10</v>
      </c>
      <c r="H835" s="6">
        <f>F835*G835</f>
        <v/>
      </c>
      <c r="I835">
        <f>_xlfn.XLOOKUP(A835,MktTitle,MktCat,"n/a")</f>
        <v/>
      </c>
      <c r="J835" s="3">
        <f>_xlfn.XLOOKUP(A835,MktTitle,MktTotVol,0)</f>
        <v/>
      </c>
      <c r="K835">
        <f>IF(H835&gt;WhaleThreshold,"WHALE","")</f>
        <v/>
      </c>
    </row>
    <row r="836">
      <c r="A836" t="inlineStr">
        <is>
          <t>Will Morocco win the 2026 FIFA World Cup?</t>
        </is>
      </c>
      <c r="B836" s="4" t="n">
        <v>46205</v>
      </c>
      <c r="C836" s="5" t="n">
        <v>46205.96185185185</v>
      </c>
      <c r="D836" t="inlineStr">
        <is>
          <t>BUY</t>
        </is>
      </c>
      <c r="E836" t="inlineStr">
        <is>
          <t>No</t>
        </is>
      </c>
      <c r="F836" s="2" t="n">
        <v>0.976</v>
      </c>
      <c r="G836" s="6" t="n">
        <v>10</v>
      </c>
      <c r="H836" s="6">
        <f>F836*G836</f>
        <v/>
      </c>
      <c r="I836">
        <f>_xlfn.XLOOKUP(A836,MktTitle,MktCat,"n/a")</f>
        <v/>
      </c>
      <c r="J836" s="3">
        <f>_xlfn.XLOOKUP(A836,MktTitle,MktTotVol,0)</f>
        <v/>
      </c>
      <c r="K836">
        <f>IF(H836&gt;WhaleThreshold,"WHALE","")</f>
        <v/>
      </c>
    </row>
    <row r="837">
      <c r="A837" t="inlineStr">
        <is>
          <t>Will Morocco win the 2026 FIFA World Cup?</t>
        </is>
      </c>
      <c r="B837" s="4" t="n">
        <v>46205</v>
      </c>
      <c r="C837" s="5" t="n">
        <v>46205.96181712963</v>
      </c>
      <c r="D837" t="inlineStr">
        <is>
          <t>BUY</t>
        </is>
      </c>
      <c r="E837" t="inlineStr">
        <is>
          <t>No</t>
        </is>
      </c>
      <c r="F837" s="2" t="n">
        <v>0.976</v>
      </c>
      <c r="G837" s="6" t="n">
        <v>10</v>
      </c>
      <c r="H837" s="6">
        <f>F837*G837</f>
        <v/>
      </c>
      <c r="I837">
        <f>_xlfn.XLOOKUP(A837,MktTitle,MktCat,"n/a")</f>
        <v/>
      </c>
      <c r="J837" s="3">
        <f>_xlfn.XLOOKUP(A837,MktTitle,MktTotVol,0)</f>
        <v/>
      </c>
      <c r="K837">
        <f>IF(H837&gt;WhaleThreshold,"WHALE","")</f>
        <v/>
      </c>
    </row>
    <row r="838">
      <c r="A838" t="inlineStr">
        <is>
          <t>Will Morocco win the 2026 FIFA World Cup?</t>
        </is>
      </c>
      <c r="B838" s="4" t="n">
        <v>46205</v>
      </c>
      <c r="C838" s="5" t="n">
        <v>46205.96181712963</v>
      </c>
      <c r="D838" t="inlineStr">
        <is>
          <t>BUY</t>
        </is>
      </c>
      <c r="E838" t="inlineStr">
        <is>
          <t>No</t>
        </is>
      </c>
      <c r="F838" s="2" t="n">
        <v>0.976</v>
      </c>
      <c r="G838" s="6" t="n">
        <v>10</v>
      </c>
      <c r="H838" s="6">
        <f>F838*G838</f>
        <v/>
      </c>
      <c r="I838">
        <f>_xlfn.XLOOKUP(A838,MktTitle,MktCat,"n/a")</f>
        <v/>
      </c>
      <c r="J838" s="3">
        <f>_xlfn.XLOOKUP(A838,MktTitle,MktTotVol,0)</f>
        <v/>
      </c>
      <c r="K838">
        <f>IF(H838&gt;WhaleThreshold,"WHALE","")</f>
        <v/>
      </c>
    </row>
    <row r="839">
      <c r="A839" t="inlineStr">
        <is>
          <t>Will Morocco win the 2026 FIFA World Cup?</t>
        </is>
      </c>
      <c r="B839" s="4" t="n">
        <v>46205</v>
      </c>
      <c r="C839" s="5" t="n">
        <v>46205.96179398148</v>
      </c>
      <c r="D839" t="inlineStr">
        <is>
          <t>BUY</t>
        </is>
      </c>
      <c r="E839" t="inlineStr">
        <is>
          <t>No</t>
        </is>
      </c>
      <c r="F839" s="2" t="n">
        <v>0.976</v>
      </c>
      <c r="G839" s="6" t="n">
        <v>10</v>
      </c>
      <c r="H839" s="6">
        <f>F839*G839</f>
        <v/>
      </c>
      <c r="I839">
        <f>_xlfn.XLOOKUP(A839,MktTitle,MktCat,"n/a")</f>
        <v/>
      </c>
      <c r="J839" s="3">
        <f>_xlfn.XLOOKUP(A839,MktTitle,MktTotVol,0)</f>
        <v/>
      </c>
      <c r="K839">
        <f>IF(H839&gt;WhaleThreshold,"WHALE","")</f>
        <v/>
      </c>
    </row>
    <row r="840">
      <c r="A840" t="inlineStr">
        <is>
          <t>Will Morocco win the 2026 FIFA World Cup?</t>
        </is>
      </c>
      <c r="B840" s="4" t="n">
        <v>46205</v>
      </c>
      <c r="C840" s="5" t="n">
        <v>46205.96178240741</v>
      </c>
      <c r="D840" t="inlineStr">
        <is>
          <t>BUY</t>
        </is>
      </c>
      <c r="E840" t="inlineStr">
        <is>
          <t>No</t>
        </is>
      </c>
      <c r="F840" s="2" t="n">
        <v>0.976</v>
      </c>
      <c r="G840" s="6" t="n">
        <v>20</v>
      </c>
      <c r="H840" s="6">
        <f>F840*G840</f>
        <v/>
      </c>
      <c r="I840">
        <f>_xlfn.XLOOKUP(A840,MktTitle,MktCat,"n/a")</f>
        <v/>
      </c>
      <c r="J840" s="3">
        <f>_xlfn.XLOOKUP(A840,MktTitle,MktTotVol,0)</f>
        <v/>
      </c>
      <c r="K840">
        <f>IF(H840&gt;WhaleThreshold,"WHALE","")</f>
        <v/>
      </c>
    </row>
    <row r="841">
      <c r="A841" t="inlineStr">
        <is>
          <t>Will Morocco win the 2026 FIFA World Cup?</t>
        </is>
      </c>
      <c r="B841" s="4" t="n">
        <v>46205</v>
      </c>
      <c r="C841" s="5" t="n">
        <v>46205.96178240741</v>
      </c>
      <c r="D841" t="inlineStr">
        <is>
          <t>BUY</t>
        </is>
      </c>
      <c r="E841" t="inlineStr">
        <is>
          <t>No</t>
        </is>
      </c>
      <c r="F841" s="2" t="n">
        <v>0.976</v>
      </c>
      <c r="G841" s="6" t="n">
        <v>20</v>
      </c>
      <c r="H841" s="6">
        <f>F841*G841</f>
        <v/>
      </c>
      <c r="I841">
        <f>_xlfn.XLOOKUP(A841,MktTitle,MktCat,"n/a")</f>
        <v/>
      </c>
      <c r="J841" s="3">
        <f>_xlfn.XLOOKUP(A841,MktTitle,MktTotVol,0)</f>
        <v/>
      </c>
      <c r="K841">
        <f>IF(H841&gt;WhaleThreshold,"WHALE","")</f>
        <v/>
      </c>
    </row>
    <row r="842">
      <c r="A842" t="inlineStr">
        <is>
          <t>Will Morocco win the 2026 FIFA World Cup?</t>
        </is>
      </c>
      <c r="B842" s="4" t="n">
        <v>46205</v>
      </c>
      <c r="C842" s="5" t="n">
        <v>46205.96175925926</v>
      </c>
      <c r="D842" t="inlineStr">
        <is>
          <t>BUY</t>
        </is>
      </c>
      <c r="E842" t="inlineStr">
        <is>
          <t>No</t>
        </is>
      </c>
      <c r="F842" s="2" t="n">
        <v>0.976</v>
      </c>
      <c r="G842" s="6" t="n">
        <v>10</v>
      </c>
      <c r="H842" s="6">
        <f>F842*G842</f>
        <v/>
      </c>
      <c r="I842">
        <f>_xlfn.XLOOKUP(A842,MktTitle,MktCat,"n/a")</f>
        <v/>
      </c>
      <c r="J842" s="3">
        <f>_xlfn.XLOOKUP(A842,MktTitle,MktTotVol,0)</f>
        <v/>
      </c>
      <c r="K842">
        <f>IF(H842&gt;WhaleThreshold,"WHALE","")</f>
        <v/>
      </c>
    </row>
    <row r="843">
      <c r="A843" t="inlineStr">
        <is>
          <t>Will Morocco win the 2026 FIFA World Cup?</t>
        </is>
      </c>
      <c r="B843" s="4" t="n">
        <v>46205</v>
      </c>
      <c r="C843" s="5" t="n">
        <v>46205.96175925926</v>
      </c>
      <c r="D843" t="inlineStr">
        <is>
          <t>BUY</t>
        </is>
      </c>
      <c r="E843" t="inlineStr">
        <is>
          <t>No</t>
        </is>
      </c>
      <c r="F843" s="2" t="n">
        <v>0.976</v>
      </c>
      <c r="G843" s="6" t="n">
        <v>10</v>
      </c>
      <c r="H843" s="6">
        <f>F843*G843</f>
        <v/>
      </c>
      <c r="I843">
        <f>_xlfn.XLOOKUP(A843,MktTitle,MktCat,"n/a")</f>
        <v/>
      </c>
      <c r="J843" s="3">
        <f>_xlfn.XLOOKUP(A843,MktTitle,MktTotVol,0)</f>
        <v/>
      </c>
      <c r="K843">
        <f>IF(H843&gt;WhaleThreshold,"WHALE","")</f>
        <v/>
      </c>
    </row>
    <row r="844">
      <c r="A844" t="inlineStr">
        <is>
          <t>Will Morocco win the 2026 FIFA World Cup?</t>
        </is>
      </c>
      <c r="B844" s="4" t="n">
        <v>46205</v>
      </c>
      <c r="C844" s="5" t="n">
        <v>46205.96172453704</v>
      </c>
      <c r="D844" t="inlineStr">
        <is>
          <t>BUY</t>
        </is>
      </c>
      <c r="E844" t="inlineStr">
        <is>
          <t>Yes</t>
        </is>
      </c>
      <c r="F844" s="2" t="n">
        <v>0.025</v>
      </c>
      <c r="G844" s="6" t="n">
        <v>1563.18</v>
      </c>
      <c r="H844" s="6">
        <f>F844*G844</f>
        <v/>
      </c>
      <c r="I844">
        <f>_xlfn.XLOOKUP(A844,MktTitle,MktCat,"n/a")</f>
        <v/>
      </c>
      <c r="J844" s="3">
        <f>_xlfn.XLOOKUP(A844,MktTitle,MktTotVol,0)</f>
        <v/>
      </c>
      <c r="K844">
        <f>IF(H844&gt;WhaleThreshold,"WHALE","")</f>
        <v/>
      </c>
    </row>
    <row r="845">
      <c r="A845" t="inlineStr">
        <is>
          <t>Will Morocco win the 2026 FIFA World Cup?</t>
        </is>
      </c>
      <c r="B845" s="4" t="n">
        <v>46205</v>
      </c>
      <c r="C845" s="5" t="n">
        <v>46205.96077546296</v>
      </c>
      <c r="D845" t="inlineStr">
        <is>
          <t>BUY</t>
        </is>
      </c>
      <c r="E845" t="inlineStr">
        <is>
          <t>No</t>
        </is>
      </c>
      <c r="F845" s="2" t="n">
        <v>0.976</v>
      </c>
      <c r="G845" s="6" t="n">
        <v>1.1</v>
      </c>
      <c r="H845" s="6">
        <f>F845*G845</f>
        <v/>
      </c>
      <c r="I845">
        <f>_xlfn.XLOOKUP(A845,MktTitle,MktCat,"n/a")</f>
        <v/>
      </c>
      <c r="J845" s="3">
        <f>_xlfn.XLOOKUP(A845,MktTitle,MktTotVol,0)</f>
        <v/>
      </c>
      <c r="K845">
        <f>IF(H845&gt;WhaleThreshold,"WHALE","")</f>
        <v/>
      </c>
    </row>
    <row r="846">
      <c r="A846" t="inlineStr">
        <is>
          <t>Will Morocco win the 2026 FIFA World Cup?</t>
        </is>
      </c>
      <c r="B846" s="4" t="n">
        <v>46205</v>
      </c>
      <c r="C846" s="5" t="n">
        <v>46205.96077546296</v>
      </c>
      <c r="D846" t="inlineStr">
        <is>
          <t>BUY</t>
        </is>
      </c>
      <c r="E846" t="inlineStr">
        <is>
          <t>No</t>
        </is>
      </c>
      <c r="F846" s="2" t="n">
        <v>0.976</v>
      </c>
      <c r="G846" s="6" t="n">
        <v>95</v>
      </c>
      <c r="H846" s="6">
        <f>F846*G846</f>
        <v/>
      </c>
      <c r="I846">
        <f>_xlfn.XLOOKUP(A846,MktTitle,MktCat,"n/a")</f>
        <v/>
      </c>
      <c r="J846" s="3">
        <f>_xlfn.XLOOKUP(A846,MktTitle,MktTotVol,0)</f>
        <v/>
      </c>
      <c r="K846">
        <f>IF(H846&gt;WhaleThreshold,"WHALE","")</f>
        <v/>
      </c>
    </row>
    <row r="847">
      <c r="A847" t="inlineStr">
        <is>
          <t>Will Morocco win the 2026 FIFA World Cup?</t>
        </is>
      </c>
      <c r="B847" s="4" t="n">
        <v>46205</v>
      </c>
      <c r="C847" s="5" t="n">
        <v>46205.9606712963</v>
      </c>
      <c r="D847" t="inlineStr">
        <is>
          <t>BUY</t>
        </is>
      </c>
      <c r="E847" t="inlineStr">
        <is>
          <t>No</t>
        </is>
      </c>
      <c r="F847" s="2" t="n">
        <v>0.976</v>
      </c>
      <c r="G847" s="6" t="n">
        <v>85</v>
      </c>
      <c r="H847" s="6">
        <f>F847*G847</f>
        <v/>
      </c>
      <c r="I847">
        <f>_xlfn.XLOOKUP(A847,MktTitle,MktCat,"n/a")</f>
        <v/>
      </c>
      <c r="J847" s="3">
        <f>_xlfn.XLOOKUP(A847,MktTitle,MktTotVol,0)</f>
        <v/>
      </c>
      <c r="K847">
        <f>IF(H847&gt;WhaleThreshold,"WHALE","")</f>
        <v/>
      </c>
    </row>
    <row r="848">
      <c r="A848" t="inlineStr">
        <is>
          <t>Will Morocco win the 2026 FIFA World Cup?</t>
        </is>
      </c>
      <c r="B848" s="4" t="n">
        <v>46205</v>
      </c>
      <c r="C848" s="5" t="n">
        <v>46205.9606712963</v>
      </c>
      <c r="D848" t="inlineStr">
        <is>
          <t>BUY</t>
        </is>
      </c>
      <c r="E848" t="inlineStr">
        <is>
          <t>No</t>
        </is>
      </c>
      <c r="F848" s="2" t="n">
        <v>0.976</v>
      </c>
      <c r="G848" s="6" t="n">
        <v>8</v>
      </c>
      <c r="H848" s="6">
        <f>F848*G848</f>
        <v/>
      </c>
      <c r="I848">
        <f>_xlfn.XLOOKUP(A848,MktTitle,MktCat,"n/a")</f>
        <v/>
      </c>
      <c r="J848" s="3">
        <f>_xlfn.XLOOKUP(A848,MktTitle,MktTotVol,0)</f>
        <v/>
      </c>
      <c r="K848">
        <f>IF(H848&gt;WhaleThreshold,"WHALE","")</f>
        <v/>
      </c>
    </row>
    <row r="849">
      <c r="A849" t="inlineStr">
        <is>
          <t>Will Morocco win the 2026 FIFA World Cup?</t>
        </is>
      </c>
      <c r="B849" s="4" t="n">
        <v>46205</v>
      </c>
      <c r="C849" s="5" t="n">
        <v>46205.96060185185</v>
      </c>
      <c r="D849" t="inlineStr">
        <is>
          <t>BUY</t>
        </is>
      </c>
      <c r="E849" t="inlineStr">
        <is>
          <t>No</t>
        </is>
      </c>
      <c r="F849" s="2" t="n">
        <v>0.976</v>
      </c>
      <c r="G849" s="6" t="n">
        <v>70</v>
      </c>
      <c r="H849" s="6">
        <f>F849*G849</f>
        <v/>
      </c>
      <c r="I849">
        <f>_xlfn.XLOOKUP(A849,MktTitle,MktCat,"n/a")</f>
        <v/>
      </c>
      <c r="J849" s="3">
        <f>_xlfn.XLOOKUP(A849,MktTitle,MktTotVol,0)</f>
        <v/>
      </c>
      <c r="K849">
        <f>IF(H849&gt;WhaleThreshold,"WHALE","")</f>
        <v/>
      </c>
    </row>
    <row r="850">
      <c r="A850" t="inlineStr">
        <is>
          <t>Will Morocco win the 2026 FIFA World Cup?</t>
        </is>
      </c>
      <c r="B850" s="4" t="n">
        <v>46205</v>
      </c>
      <c r="C850" s="5" t="n">
        <v>46205.96057870371</v>
      </c>
      <c r="D850" t="inlineStr">
        <is>
          <t>BUY</t>
        </is>
      </c>
      <c r="E850" t="inlineStr">
        <is>
          <t>No</t>
        </is>
      </c>
      <c r="F850" s="2" t="n">
        <v>0.976</v>
      </c>
      <c r="G850" s="6" t="n">
        <v>45</v>
      </c>
      <c r="H850" s="6">
        <f>F850*G850</f>
        <v/>
      </c>
      <c r="I850">
        <f>_xlfn.XLOOKUP(A850,MktTitle,MktCat,"n/a")</f>
        <v/>
      </c>
      <c r="J850" s="3">
        <f>_xlfn.XLOOKUP(A850,MktTitle,MktTotVol,0)</f>
        <v/>
      </c>
      <c r="K850">
        <f>IF(H850&gt;WhaleThreshold,"WHALE","")</f>
        <v/>
      </c>
    </row>
    <row r="851">
      <c r="A851" t="inlineStr">
        <is>
          <t>Will Morocco win the 2026 FIFA World Cup?</t>
        </is>
      </c>
      <c r="B851" s="4" t="n">
        <v>46205</v>
      </c>
      <c r="C851" s="5" t="n">
        <v>46205.96050925926</v>
      </c>
      <c r="D851" t="inlineStr">
        <is>
          <t>BUY</t>
        </is>
      </c>
      <c r="E851" t="inlineStr">
        <is>
          <t>No</t>
        </is>
      </c>
      <c r="F851" s="2" t="n">
        <v>0.976</v>
      </c>
      <c r="G851" s="6" t="n">
        <v>66.76000000000001</v>
      </c>
      <c r="H851" s="6">
        <f>F851*G851</f>
        <v/>
      </c>
      <c r="I851">
        <f>_xlfn.XLOOKUP(A851,MktTitle,MktCat,"n/a")</f>
        <v/>
      </c>
      <c r="J851" s="3">
        <f>_xlfn.XLOOKUP(A851,MktTitle,MktTotVol,0)</f>
        <v/>
      </c>
      <c r="K851">
        <f>IF(H851&gt;WhaleThreshold,"WHALE","")</f>
        <v/>
      </c>
    </row>
    <row r="852">
      <c r="A852" t="inlineStr">
        <is>
          <t>Will Morocco win the 2026 FIFA World Cup?</t>
        </is>
      </c>
      <c r="B852" s="4" t="n">
        <v>46205</v>
      </c>
      <c r="C852" s="5" t="n">
        <v>46205.96018518518</v>
      </c>
      <c r="D852" t="inlineStr">
        <is>
          <t>BUY</t>
        </is>
      </c>
      <c r="E852" t="inlineStr">
        <is>
          <t>No</t>
        </is>
      </c>
      <c r="F852" s="2" t="n">
        <v>0.976</v>
      </c>
      <c r="G852" s="6" t="n">
        <v>1.1</v>
      </c>
      <c r="H852" s="6">
        <f>F852*G852</f>
        <v/>
      </c>
      <c r="I852">
        <f>_xlfn.XLOOKUP(A852,MktTitle,MktCat,"n/a")</f>
        <v/>
      </c>
      <c r="J852" s="3">
        <f>_xlfn.XLOOKUP(A852,MktTitle,MktTotVol,0)</f>
        <v/>
      </c>
      <c r="K852">
        <f>IF(H852&gt;WhaleThreshold,"WHALE","")</f>
        <v/>
      </c>
    </row>
    <row r="853">
      <c r="A853" t="inlineStr">
        <is>
          <t>Will Morocco win the 2026 FIFA World Cup?</t>
        </is>
      </c>
      <c r="B853" s="4" t="n">
        <v>46205</v>
      </c>
      <c r="C853" s="5" t="n">
        <v>46205.96015046296</v>
      </c>
      <c r="D853" t="inlineStr">
        <is>
          <t>BUY</t>
        </is>
      </c>
      <c r="E853" t="inlineStr">
        <is>
          <t>No</t>
        </is>
      </c>
      <c r="F853" s="2" t="n">
        <v>0.976</v>
      </c>
      <c r="G853" s="6" t="n">
        <v>5</v>
      </c>
      <c r="H853" s="6">
        <f>F853*G853</f>
        <v/>
      </c>
      <c r="I853">
        <f>_xlfn.XLOOKUP(A853,MktTitle,MktCat,"n/a")</f>
        <v/>
      </c>
      <c r="J853" s="3">
        <f>_xlfn.XLOOKUP(A853,MktTitle,MktTotVol,0)</f>
        <v/>
      </c>
      <c r="K853">
        <f>IF(H853&gt;WhaleThreshold,"WHALE","")</f>
        <v/>
      </c>
    </row>
    <row r="854">
      <c r="A854" t="inlineStr">
        <is>
          <t>Will Morocco win the 2026 FIFA World Cup?</t>
        </is>
      </c>
      <c r="B854" s="4" t="n">
        <v>46205</v>
      </c>
      <c r="C854" s="5" t="n">
        <v>46205.96012731481</v>
      </c>
      <c r="D854" t="inlineStr">
        <is>
          <t>BUY</t>
        </is>
      </c>
      <c r="E854" t="inlineStr">
        <is>
          <t>Yes</t>
        </is>
      </c>
      <c r="F854" s="2" t="n">
        <v>0.025</v>
      </c>
      <c r="G854" s="6" t="n">
        <v>160</v>
      </c>
      <c r="H854" s="6">
        <f>F854*G854</f>
        <v/>
      </c>
      <c r="I854">
        <f>_xlfn.XLOOKUP(A854,MktTitle,MktCat,"n/a")</f>
        <v/>
      </c>
      <c r="J854" s="3">
        <f>_xlfn.XLOOKUP(A854,MktTitle,MktTotVol,0)</f>
        <v/>
      </c>
      <c r="K854">
        <f>IF(H854&gt;WhaleThreshold,"WHALE","")</f>
        <v/>
      </c>
    </row>
    <row r="855">
      <c r="A855" t="inlineStr">
        <is>
          <t>Will Morocco win the 2026 FIFA World Cup?</t>
        </is>
      </c>
      <c r="B855" s="4" t="n">
        <v>46205</v>
      </c>
      <c r="C855" s="5" t="n">
        <v>46205.96011574074</v>
      </c>
      <c r="D855" t="inlineStr">
        <is>
          <t>BUY</t>
        </is>
      </c>
      <c r="E855" t="inlineStr">
        <is>
          <t>No</t>
        </is>
      </c>
      <c r="F855" s="2" t="n">
        <v>0.976</v>
      </c>
      <c r="G855" s="6" t="n">
        <v>64.34</v>
      </c>
      <c r="H855" s="6">
        <f>F855*G855</f>
        <v/>
      </c>
      <c r="I855">
        <f>_xlfn.XLOOKUP(A855,MktTitle,MktCat,"n/a")</f>
        <v/>
      </c>
      <c r="J855" s="3">
        <f>_xlfn.XLOOKUP(A855,MktTitle,MktTotVol,0)</f>
        <v/>
      </c>
      <c r="K855">
        <f>IF(H855&gt;WhaleThreshold,"WHALE","")</f>
        <v/>
      </c>
    </row>
    <row r="856">
      <c r="A856" t="inlineStr">
        <is>
          <t>Will Morocco win the 2026 FIFA World Cup?</t>
        </is>
      </c>
      <c r="B856" s="4" t="n">
        <v>46205</v>
      </c>
      <c r="C856" s="5" t="n">
        <v>46205.96011574074</v>
      </c>
      <c r="D856" t="inlineStr">
        <is>
          <t>BUY</t>
        </is>
      </c>
      <c r="E856" t="inlineStr">
        <is>
          <t>No</t>
        </is>
      </c>
      <c r="F856" s="2" t="n">
        <v>0.976</v>
      </c>
      <c r="G856" s="6" t="n">
        <v>3.63</v>
      </c>
      <c r="H856" s="6">
        <f>F856*G856</f>
        <v/>
      </c>
      <c r="I856">
        <f>_xlfn.XLOOKUP(A856,MktTitle,MktCat,"n/a")</f>
        <v/>
      </c>
      <c r="J856" s="3">
        <f>_xlfn.XLOOKUP(A856,MktTitle,MktTotVol,0)</f>
        <v/>
      </c>
      <c r="K856">
        <f>IF(H856&gt;WhaleThreshold,"WHALE","")</f>
        <v/>
      </c>
    </row>
    <row r="857">
      <c r="A857" t="inlineStr">
        <is>
          <t>Will Morocco win the 2026 FIFA World Cup?</t>
        </is>
      </c>
      <c r="B857" s="4" t="n">
        <v>46205</v>
      </c>
      <c r="C857" s="5" t="n">
        <v>46205.9600462963</v>
      </c>
      <c r="D857" t="inlineStr">
        <is>
          <t>BUY</t>
        </is>
      </c>
      <c r="E857" t="inlineStr">
        <is>
          <t>No</t>
        </is>
      </c>
      <c r="F857" s="2" t="n">
        <v>0.976</v>
      </c>
      <c r="G857" s="6" t="n">
        <v>51.77</v>
      </c>
      <c r="H857" s="6">
        <f>F857*G857</f>
        <v/>
      </c>
      <c r="I857">
        <f>_xlfn.XLOOKUP(A857,MktTitle,MktCat,"n/a")</f>
        <v/>
      </c>
      <c r="J857" s="3">
        <f>_xlfn.XLOOKUP(A857,MktTitle,MktTotVol,0)</f>
        <v/>
      </c>
      <c r="K857">
        <f>IF(H857&gt;WhaleThreshold,"WHALE","")</f>
        <v/>
      </c>
    </row>
    <row r="858">
      <c r="A858" t="inlineStr">
        <is>
          <t>Will Morocco win the 2026 FIFA World Cup?</t>
        </is>
      </c>
      <c r="B858" s="4" t="n">
        <v>46205</v>
      </c>
      <c r="C858" s="5" t="n">
        <v>46205.96002314815</v>
      </c>
      <c r="D858" t="inlineStr">
        <is>
          <t>BUY</t>
        </is>
      </c>
      <c r="E858" t="inlineStr">
        <is>
          <t>No</t>
        </is>
      </c>
      <c r="F858" s="2" t="n">
        <v>0.976</v>
      </c>
      <c r="G858" s="6" t="n">
        <v>61.62</v>
      </c>
      <c r="H858" s="6">
        <f>F858*G858</f>
        <v/>
      </c>
      <c r="I858">
        <f>_xlfn.XLOOKUP(A858,MktTitle,MktCat,"n/a")</f>
        <v/>
      </c>
      <c r="J858" s="3">
        <f>_xlfn.XLOOKUP(A858,MktTitle,MktTotVol,0)</f>
        <v/>
      </c>
      <c r="K858">
        <f>IF(H858&gt;WhaleThreshold,"WHALE","")</f>
        <v/>
      </c>
    </row>
    <row r="859">
      <c r="A859" t="inlineStr">
        <is>
          <t>Will Morocco win the 2026 FIFA World Cup?</t>
        </is>
      </c>
      <c r="B859" s="4" t="n">
        <v>46205</v>
      </c>
      <c r="C859" s="5" t="n">
        <v>46205.95997685185</v>
      </c>
      <c r="D859" t="inlineStr">
        <is>
          <t>BUY</t>
        </is>
      </c>
      <c r="E859" t="inlineStr">
        <is>
          <t>No</t>
        </is>
      </c>
      <c r="F859" s="2" t="n">
        <v>0.976</v>
      </c>
      <c r="G859" s="6" t="n">
        <v>22.82</v>
      </c>
      <c r="H859" s="6">
        <f>F859*G859</f>
        <v/>
      </c>
      <c r="I859">
        <f>_xlfn.XLOOKUP(A859,MktTitle,MktCat,"n/a")</f>
        <v/>
      </c>
      <c r="J859" s="3">
        <f>_xlfn.XLOOKUP(A859,MktTitle,MktTotVol,0)</f>
        <v/>
      </c>
      <c r="K859">
        <f>IF(H859&gt;WhaleThreshold,"WHALE","")</f>
        <v/>
      </c>
    </row>
    <row r="860">
      <c r="A860" t="inlineStr">
        <is>
          <t>Will Morocco win the 2026 FIFA World Cup?</t>
        </is>
      </c>
      <c r="B860" s="4" t="n">
        <v>46205</v>
      </c>
      <c r="C860" s="5" t="n">
        <v>46205.95994212963</v>
      </c>
      <c r="D860" t="inlineStr">
        <is>
          <t>BUY</t>
        </is>
      </c>
      <c r="E860" t="inlineStr">
        <is>
          <t>No</t>
        </is>
      </c>
      <c r="F860" s="2" t="n">
        <v>0.976</v>
      </c>
      <c r="G860" s="6" t="n">
        <v>25.2</v>
      </c>
      <c r="H860" s="6">
        <f>F860*G860</f>
        <v/>
      </c>
      <c r="I860">
        <f>_xlfn.XLOOKUP(A860,MktTitle,MktCat,"n/a")</f>
        <v/>
      </c>
      <c r="J860" s="3">
        <f>_xlfn.XLOOKUP(A860,MktTitle,MktTotVol,0)</f>
        <v/>
      </c>
      <c r="K860">
        <f>IF(H860&gt;WhaleThreshold,"WHALE","")</f>
        <v/>
      </c>
    </row>
    <row r="861">
      <c r="A861" t="inlineStr">
        <is>
          <t>Will Morocco win the 2026 FIFA World Cup?</t>
        </is>
      </c>
      <c r="B861" s="4" t="n">
        <v>46205</v>
      </c>
      <c r="C861" s="5" t="n">
        <v>46205.95991898148</v>
      </c>
      <c r="D861" t="inlineStr">
        <is>
          <t>BUY</t>
        </is>
      </c>
      <c r="E861" t="inlineStr">
        <is>
          <t>No</t>
        </is>
      </c>
      <c r="F861" s="2" t="n">
        <v>0.976</v>
      </c>
      <c r="G861" s="6" t="n">
        <v>50.4</v>
      </c>
      <c r="H861" s="6">
        <f>F861*G861</f>
        <v/>
      </c>
      <c r="I861">
        <f>_xlfn.XLOOKUP(A861,MktTitle,MktCat,"n/a")</f>
        <v/>
      </c>
      <c r="J861" s="3">
        <f>_xlfn.XLOOKUP(A861,MktTitle,MktTotVol,0)</f>
        <v/>
      </c>
      <c r="K861">
        <f>IF(H861&gt;WhaleThreshold,"WHALE","")</f>
        <v/>
      </c>
    </row>
    <row r="862">
      <c r="A862" t="inlineStr">
        <is>
          <t>Will Morocco win the 2026 FIFA World Cup?</t>
        </is>
      </c>
      <c r="B862" s="4" t="n">
        <v>46205</v>
      </c>
      <c r="C862" s="5" t="n">
        <v>46205.95990740741</v>
      </c>
      <c r="D862" t="inlineStr">
        <is>
          <t>BUY</t>
        </is>
      </c>
      <c r="E862" t="inlineStr">
        <is>
          <t>No</t>
        </is>
      </c>
      <c r="F862" s="2" t="n">
        <v>0.976</v>
      </c>
      <c r="G862" s="6" t="n">
        <v>50.12</v>
      </c>
      <c r="H862" s="6">
        <f>F862*G862</f>
        <v/>
      </c>
      <c r="I862">
        <f>_xlfn.XLOOKUP(A862,MktTitle,MktCat,"n/a")</f>
        <v/>
      </c>
      <c r="J862" s="3">
        <f>_xlfn.XLOOKUP(A862,MktTitle,MktTotVol,0)</f>
        <v/>
      </c>
      <c r="K862">
        <f>IF(H862&gt;WhaleThreshold,"WHALE","")</f>
        <v/>
      </c>
    </row>
    <row r="863">
      <c r="A863" t="inlineStr">
        <is>
          <t>Will Morocco win the 2026 FIFA World Cup?</t>
        </is>
      </c>
      <c r="B863" s="4" t="n">
        <v>46205</v>
      </c>
      <c r="C863" s="5" t="n">
        <v>46205.95988425926</v>
      </c>
      <c r="D863" t="inlineStr">
        <is>
          <t>BUY</t>
        </is>
      </c>
      <c r="E863" t="inlineStr">
        <is>
          <t>No</t>
        </is>
      </c>
      <c r="F863" s="2" t="n">
        <v>0.976</v>
      </c>
      <c r="G863" s="6" t="n">
        <v>5</v>
      </c>
      <c r="H863" s="6">
        <f>F863*G863</f>
        <v/>
      </c>
      <c r="I863">
        <f>_xlfn.XLOOKUP(A863,MktTitle,MktCat,"n/a")</f>
        <v/>
      </c>
      <c r="J863" s="3">
        <f>_xlfn.XLOOKUP(A863,MktTitle,MktTotVol,0)</f>
        <v/>
      </c>
      <c r="K863">
        <f>IF(H863&gt;WhaleThreshold,"WHALE","")</f>
        <v/>
      </c>
    </row>
    <row r="864">
      <c r="A864" t="inlineStr">
        <is>
          <t>Will Morocco win the 2026 FIFA World Cup?</t>
        </is>
      </c>
      <c r="B864" s="4" t="n">
        <v>46205</v>
      </c>
      <c r="C864" s="5" t="n">
        <v>46205.95988425926</v>
      </c>
      <c r="D864" t="inlineStr">
        <is>
          <t>BUY</t>
        </is>
      </c>
      <c r="E864" t="inlineStr">
        <is>
          <t>No</t>
        </is>
      </c>
      <c r="F864" s="2" t="n">
        <v>0.976</v>
      </c>
      <c r="G864" s="6" t="n">
        <v>20</v>
      </c>
      <c r="H864" s="6">
        <f>F864*G864</f>
        <v/>
      </c>
      <c r="I864">
        <f>_xlfn.XLOOKUP(A864,MktTitle,MktCat,"n/a")</f>
        <v/>
      </c>
      <c r="J864" s="3">
        <f>_xlfn.XLOOKUP(A864,MktTitle,MktTotVol,0)</f>
        <v/>
      </c>
      <c r="K864">
        <f>IF(H864&gt;WhaleThreshold,"WHALE","")</f>
        <v/>
      </c>
    </row>
    <row r="865">
      <c r="A865" t="inlineStr">
        <is>
          <t>Will Morocco win the 2026 FIFA World Cup?</t>
        </is>
      </c>
      <c r="B865" s="4" t="n">
        <v>46205</v>
      </c>
      <c r="C865" s="5" t="n">
        <v>46205.95983796296</v>
      </c>
      <c r="D865" t="inlineStr">
        <is>
          <t>BUY</t>
        </is>
      </c>
      <c r="E865" t="inlineStr">
        <is>
          <t>No</t>
        </is>
      </c>
      <c r="F865" s="2" t="n">
        <v>0.976</v>
      </c>
      <c r="G865" s="6" t="n">
        <v>20.92</v>
      </c>
      <c r="H865" s="6">
        <f>F865*G865</f>
        <v/>
      </c>
      <c r="I865">
        <f>_xlfn.XLOOKUP(A865,MktTitle,MktCat,"n/a")</f>
        <v/>
      </c>
      <c r="J865" s="3">
        <f>_xlfn.XLOOKUP(A865,MktTitle,MktTotVol,0)</f>
        <v/>
      </c>
      <c r="K865">
        <f>IF(H865&gt;WhaleThreshold,"WHALE","")</f>
        <v/>
      </c>
    </row>
    <row r="866">
      <c r="A866" t="inlineStr">
        <is>
          <t>Will Morocco win the 2026 FIFA World Cup?</t>
        </is>
      </c>
      <c r="B866" s="4" t="n">
        <v>46205</v>
      </c>
      <c r="C866" s="5" t="n">
        <v>46205.95978009259</v>
      </c>
      <c r="D866" t="inlineStr">
        <is>
          <t>BUY</t>
        </is>
      </c>
      <c r="E866" t="inlineStr">
        <is>
          <t>No</t>
        </is>
      </c>
      <c r="F866" s="2" t="n">
        <v>0.976</v>
      </c>
      <c r="G866" s="6" t="n">
        <v>65</v>
      </c>
      <c r="H866" s="6">
        <f>F866*G866</f>
        <v/>
      </c>
      <c r="I866">
        <f>_xlfn.XLOOKUP(A866,MktTitle,MktCat,"n/a")</f>
        <v/>
      </c>
      <c r="J866" s="3">
        <f>_xlfn.XLOOKUP(A866,MktTitle,MktTotVol,0)</f>
        <v/>
      </c>
      <c r="K866">
        <f>IF(H866&gt;WhaleThreshold,"WHALE","")</f>
        <v/>
      </c>
    </row>
    <row r="867">
      <c r="A867" t="inlineStr">
        <is>
          <t>Will Morocco win the 2026 FIFA World Cup?</t>
        </is>
      </c>
      <c r="B867" s="4" t="n">
        <v>46205</v>
      </c>
      <c r="C867" s="5" t="n">
        <v>46205.95978009259</v>
      </c>
      <c r="D867" t="inlineStr">
        <is>
          <t>BUY</t>
        </is>
      </c>
      <c r="E867" t="inlineStr">
        <is>
          <t>No</t>
        </is>
      </c>
      <c r="F867" s="2" t="n">
        <v>0.976</v>
      </c>
      <c r="G867" s="6" t="n">
        <v>115</v>
      </c>
      <c r="H867" s="6">
        <f>F867*G867</f>
        <v/>
      </c>
      <c r="I867">
        <f>_xlfn.XLOOKUP(A867,MktTitle,MktCat,"n/a")</f>
        <v/>
      </c>
      <c r="J867" s="3">
        <f>_xlfn.XLOOKUP(A867,MktTitle,MktTotVol,0)</f>
        <v/>
      </c>
      <c r="K867">
        <f>IF(H867&gt;WhaleThreshold,"WHALE","")</f>
        <v/>
      </c>
    </row>
    <row r="868">
      <c r="A868" t="inlineStr">
        <is>
          <t>Will Morocco win the 2026 FIFA World Cup?</t>
        </is>
      </c>
      <c r="B868" s="4" t="n">
        <v>46205</v>
      </c>
      <c r="C868" s="5" t="n">
        <v>46205.95976851852</v>
      </c>
      <c r="D868" t="inlineStr">
        <is>
          <t>BUY</t>
        </is>
      </c>
      <c r="E868" t="inlineStr">
        <is>
          <t>No</t>
        </is>
      </c>
      <c r="F868" s="2" t="n">
        <v>0.976</v>
      </c>
      <c r="G868" s="6" t="n">
        <v>115</v>
      </c>
      <c r="H868" s="6">
        <f>F868*G868</f>
        <v/>
      </c>
      <c r="I868">
        <f>_xlfn.XLOOKUP(A868,MktTitle,MktCat,"n/a")</f>
        <v/>
      </c>
      <c r="J868" s="3">
        <f>_xlfn.XLOOKUP(A868,MktTitle,MktTotVol,0)</f>
        <v/>
      </c>
      <c r="K868">
        <f>IF(H868&gt;WhaleThreshold,"WHALE","")</f>
        <v/>
      </c>
    </row>
    <row r="869">
      <c r="A869" t="inlineStr">
        <is>
          <t>Will Morocco win the 2026 FIFA World Cup?</t>
        </is>
      </c>
      <c r="B869" s="4" t="n">
        <v>46205</v>
      </c>
      <c r="C869" s="5" t="n">
        <v>46205.95976851852</v>
      </c>
      <c r="D869" t="inlineStr">
        <is>
          <t>BUY</t>
        </is>
      </c>
      <c r="E869" t="inlineStr">
        <is>
          <t>No</t>
        </is>
      </c>
      <c r="F869" s="2" t="n">
        <v>0.976</v>
      </c>
      <c r="G869" s="6" t="n">
        <v>60</v>
      </c>
      <c r="H869" s="6">
        <f>F869*G869</f>
        <v/>
      </c>
      <c r="I869">
        <f>_xlfn.XLOOKUP(A869,MktTitle,MktCat,"n/a")</f>
        <v/>
      </c>
      <c r="J869" s="3">
        <f>_xlfn.XLOOKUP(A869,MktTitle,MktTotVol,0)</f>
        <v/>
      </c>
      <c r="K869">
        <f>IF(H869&gt;WhaleThreshold,"WHALE","")</f>
        <v/>
      </c>
    </row>
    <row r="870">
      <c r="A870" t="inlineStr">
        <is>
          <t>Will Morocco win the 2026 FIFA World Cup?</t>
        </is>
      </c>
      <c r="B870" s="4" t="n">
        <v>46205</v>
      </c>
      <c r="C870" s="5" t="n">
        <v>46205.95974537037</v>
      </c>
      <c r="D870" t="inlineStr">
        <is>
          <t>BUY</t>
        </is>
      </c>
      <c r="E870" t="inlineStr">
        <is>
          <t>No</t>
        </is>
      </c>
      <c r="F870" s="2" t="n">
        <v>0.976</v>
      </c>
      <c r="G870" s="6" t="n">
        <v>55</v>
      </c>
      <c r="H870" s="6">
        <f>F870*G870</f>
        <v/>
      </c>
      <c r="I870">
        <f>_xlfn.XLOOKUP(A870,MktTitle,MktCat,"n/a")</f>
        <v/>
      </c>
      <c r="J870" s="3">
        <f>_xlfn.XLOOKUP(A870,MktTitle,MktTotVol,0)</f>
        <v/>
      </c>
      <c r="K870">
        <f>IF(H870&gt;WhaleThreshold,"WHALE","")</f>
        <v/>
      </c>
    </row>
    <row r="871">
      <c r="A871" t="inlineStr">
        <is>
          <t>Will Morocco win the 2026 FIFA World Cup?</t>
        </is>
      </c>
      <c r="B871" s="4" t="n">
        <v>46205</v>
      </c>
      <c r="C871" s="5" t="n">
        <v>46205.9597337963</v>
      </c>
      <c r="D871" t="inlineStr">
        <is>
          <t>BUY</t>
        </is>
      </c>
      <c r="E871" t="inlineStr">
        <is>
          <t>No</t>
        </is>
      </c>
      <c r="F871" s="2" t="n">
        <v>0.976</v>
      </c>
      <c r="G871" s="6" t="n">
        <v>23.4</v>
      </c>
      <c r="H871" s="6">
        <f>F871*G871</f>
        <v/>
      </c>
      <c r="I871">
        <f>_xlfn.XLOOKUP(A871,MktTitle,MktCat,"n/a")</f>
        <v/>
      </c>
      <c r="J871" s="3">
        <f>_xlfn.XLOOKUP(A871,MktTitle,MktTotVol,0)</f>
        <v/>
      </c>
      <c r="K871">
        <f>IF(H871&gt;WhaleThreshold,"WHALE","")</f>
        <v/>
      </c>
    </row>
    <row r="872">
      <c r="A872" t="inlineStr">
        <is>
          <t>Will Morocco win the 2026 FIFA World Cup?</t>
        </is>
      </c>
      <c r="B872" s="4" t="n">
        <v>46205</v>
      </c>
      <c r="C872" s="5" t="n">
        <v>46205.9597337963</v>
      </c>
      <c r="D872" t="inlineStr">
        <is>
          <t>BUY</t>
        </is>
      </c>
      <c r="E872" t="inlineStr">
        <is>
          <t>No</t>
        </is>
      </c>
      <c r="F872" s="2" t="n">
        <v>0.976</v>
      </c>
      <c r="G872" s="6" t="n">
        <v>115</v>
      </c>
      <c r="H872" s="6">
        <f>F872*G872</f>
        <v/>
      </c>
      <c r="I872">
        <f>_xlfn.XLOOKUP(A872,MktTitle,MktCat,"n/a")</f>
        <v/>
      </c>
      <c r="J872" s="3">
        <f>_xlfn.XLOOKUP(A872,MktTitle,MktTotVol,0)</f>
        <v/>
      </c>
      <c r="K872">
        <f>IF(H872&gt;WhaleThreshold,"WHALE","")</f>
        <v/>
      </c>
    </row>
    <row r="873">
      <c r="A873" t="inlineStr">
        <is>
          <t>Will Morocco win the 2026 FIFA World Cup?</t>
        </is>
      </c>
      <c r="B873" s="4" t="n">
        <v>46205</v>
      </c>
      <c r="C873" s="5" t="n">
        <v>46205.9597337963</v>
      </c>
      <c r="D873" t="inlineStr">
        <is>
          <t>BUY</t>
        </is>
      </c>
      <c r="E873" t="inlineStr">
        <is>
          <t>No</t>
        </is>
      </c>
      <c r="F873" s="2" t="n">
        <v>0.976</v>
      </c>
      <c r="G873" s="6" t="n">
        <v>115</v>
      </c>
      <c r="H873" s="6">
        <f>F873*G873</f>
        <v/>
      </c>
      <c r="I873">
        <f>_xlfn.XLOOKUP(A873,MktTitle,MktCat,"n/a")</f>
        <v/>
      </c>
      <c r="J873" s="3">
        <f>_xlfn.XLOOKUP(A873,MktTitle,MktTotVol,0)</f>
        <v/>
      </c>
      <c r="K873">
        <f>IF(H873&gt;WhaleThreshold,"WHALE","")</f>
        <v/>
      </c>
    </row>
    <row r="874">
      <c r="A874" t="inlineStr">
        <is>
          <t>Will Morocco win the 2026 FIFA World Cup?</t>
        </is>
      </c>
      <c r="B874" s="4" t="n">
        <v>46205</v>
      </c>
      <c r="C874" s="5" t="n">
        <v>46205.9597337963</v>
      </c>
      <c r="D874" t="inlineStr">
        <is>
          <t>BUY</t>
        </is>
      </c>
      <c r="E874" t="inlineStr">
        <is>
          <t>No</t>
        </is>
      </c>
      <c r="F874" s="2" t="n">
        <v>0.976</v>
      </c>
      <c r="G874" s="6" t="n">
        <v>46.8</v>
      </c>
      <c r="H874" s="6">
        <f>F874*G874</f>
        <v/>
      </c>
      <c r="I874">
        <f>_xlfn.XLOOKUP(A874,MktTitle,MktCat,"n/a")</f>
        <v/>
      </c>
      <c r="J874" s="3">
        <f>_xlfn.XLOOKUP(A874,MktTitle,MktTotVol,0)</f>
        <v/>
      </c>
      <c r="K874">
        <f>IF(H874&gt;WhaleThreshold,"WHALE","")</f>
        <v/>
      </c>
    </row>
    <row r="875">
      <c r="A875" t="inlineStr">
        <is>
          <t>Will Morocco win the 2026 FIFA World Cup?</t>
        </is>
      </c>
      <c r="B875" s="4" t="n">
        <v>46205</v>
      </c>
      <c r="C875" s="5" t="n">
        <v>46205.95953703704</v>
      </c>
      <c r="D875" t="inlineStr">
        <is>
          <t>BUY</t>
        </is>
      </c>
      <c r="E875" t="inlineStr">
        <is>
          <t>No</t>
        </is>
      </c>
      <c r="F875" s="2" t="n">
        <v>0.976</v>
      </c>
      <c r="G875" s="6" t="n">
        <v>5.2356</v>
      </c>
      <c r="H875" s="6">
        <f>F875*G875</f>
        <v/>
      </c>
      <c r="I875">
        <f>_xlfn.XLOOKUP(A875,MktTitle,MktCat,"n/a")</f>
        <v/>
      </c>
      <c r="J875" s="3">
        <f>_xlfn.XLOOKUP(A875,MktTitle,MktTotVol,0)</f>
        <v/>
      </c>
      <c r="K875">
        <f>IF(H875&gt;WhaleThreshold,"WHALE","")</f>
        <v/>
      </c>
    </row>
    <row r="876">
      <c r="A876" t="inlineStr">
        <is>
          <t>Will Morocco win the 2026 FIFA World Cup?</t>
        </is>
      </c>
      <c r="B876" s="4" t="n">
        <v>46205</v>
      </c>
      <c r="C876" s="5" t="n">
        <v>46205.95949074074</v>
      </c>
      <c r="D876" t="inlineStr">
        <is>
          <t>SELL</t>
        </is>
      </c>
      <c r="E876" t="inlineStr">
        <is>
          <t>Yes</t>
        </is>
      </c>
      <c r="F876" s="2" t="n">
        <v>0.024</v>
      </c>
      <c r="G876" s="6" t="n">
        <v>3204.02</v>
      </c>
      <c r="H876" s="6">
        <f>F876*G876</f>
        <v/>
      </c>
      <c r="I876">
        <f>_xlfn.XLOOKUP(A876,MktTitle,MktCat,"n/a")</f>
        <v/>
      </c>
      <c r="J876" s="3">
        <f>_xlfn.XLOOKUP(A876,MktTitle,MktTotVol,0)</f>
        <v/>
      </c>
      <c r="K876">
        <f>IF(H876&gt;WhaleThreshold,"WHALE","")</f>
        <v/>
      </c>
    </row>
    <row r="877">
      <c r="A877" t="inlineStr">
        <is>
          <t>Will Morocco win the 2026 FIFA World Cup?</t>
        </is>
      </c>
      <c r="B877" s="4" t="n">
        <v>46205</v>
      </c>
      <c r="C877" s="5" t="n">
        <v>46205.95936342593</v>
      </c>
      <c r="D877" t="inlineStr">
        <is>
          <t>BUY</t>
        </is>
      </c>
      <c r="E877" t="inlineStr">
        <is>
          <t>No</t>
        </is>
      </c>
      <c r="F877" s="2" t="n">
        <v>0.976</v>
      </c>
      <c r="G877" s="6" t="n">
        <v>252</v>
      </c>
      <c r="H877" s="6">
        <f>F877*G877</f>
        <v/>
      </c>
      <c r="I877">
        <f>_xlfn.XLOOKUP(A877,MktTitle,MktCat,"n/a")</f>
        <v/>
      </c>
      <c r="J877" s="3">
        <f>_xlfn.XLOOKUP(A877,MktTitle,MktTotVol,0)</f>
        <v/>
      </c>
      <c r="K877">
        <f>IF(H877&gt;WhaleThreshold,"WHALE","")</f>
        <v/>
      </c>
    </row>
    <row r="878">
      <c r="A878" t="inlineStr">
        <is>
          <t>Will Morocco win the 2026 FIFA World Cup?</t>
        </is>
      </c>
      <c r="B878" s="4" t="n">
        <v>46205</v>
      </c>
      <c r="C878" s="5" t="n">
        <v>46205.95925925926</v>
      </c>
      <c r="D878" t="inlineStr">
        <is>
          <t>SELL</t>
        </is>
      </c>
      <c r="E878" t="inlineStr">
        <is>
          <t>No</t>
        </is>
      </c>
      <c r="F878" s="2" t="n">
        <v>0.975</v>
      </c>
      <c r="G878" s="6" t="n">
        <v>48.84</v>
      </c>
      <c r="H878" s="6">
        <f>F878*G878</f>
        <v/>
      </c>
      <c r="I878">
        <f>_xlfn.XLOOKUP(A878,MktTitle,MktCat,"n/a")</f>
        <v/>
      </c>
      <c r="J878" s="3">
        <f>_xlfn.XLOOKUP(A878,MktTitle,MktTotVol,0)</f>
        <v/>
      </c>
      <c r="K878">
        <f>IF(H878&gt;WhaleThreshold,"WHALE","")</f>
        <v/>
      </c>
    </row>
    <row r="879">
      <c r="A879" t="inlineStr">
        <is>
          <t>Will Morocco win the 2026 FIFA World Cup?</t>
        </is>
      </c>
      <c r="B879" s="4" t="n">
        <v>46205</v>
      </c>
      <c r="C879" s="5" t="n">
        <v>46205.95894675926</v>
      </c>
      <c r="D879" t="inlineStr">
        <is>
          <t>BUY</t>
        </is>
      </c>
      <c r="E879" t="inlineStr">
        <is>
          <t>No</t>
        </is>
      </c>
      <c r="F879" s="2" t="n">
        <v>0.976</v>
      </c>
      <c r="G879" s="6" t="n">
        <v>2.94</v>
      </c>
      <c r="H879" s="6">
        <f>F879*G879</f>
        <v/>
      </c>
      <c r="I879">
        <f>_xlfn.XLOOKUP(A879,MktTitle,MktCat,"n/a")</f>
        <v/>
      </c>
      <c r="J879" s="3">
        <f>_xlfn.XLOOKUP(A879,MktTitle,MktTotVol,0)</f>
        <v/>
      </c>
      <c r="K879">
        <f>IF(H879&gt;WhaleThreshold,"WHALE","")</f>
        <v/>
      </c>
    </row>
    <row r="880">
      <c r="A880" t="inlineStr">
        <is>
          <t>Will Morocco win the 2026 FIFA World Cup?</t>
        </is>
      </c>
      <c r="B880" s="4" t="n">
        <v>46205</v>
      </c>
      <c r="C880" s="5" t="n">
        <v>46205.95893518518</v>
      </c>
      <c r="D880" t="inlineStr">
        <is>
          <t>BUY</t>
        </is>
      </c>
      <c r="E880" t="inlineStr">
        <is>
          <t>No</t>
        </is>
      </c>
      <c r="F880" s="2" t="n">
        <v>0.976</v>
      </c>
      <c r="G880" s="6" t="n">
        <v>5</v>
      </c>
      <c r="H880" s="6">
        <f>F880*G880</f>
        <v/>
      </c>
      <c r="I880">
        <f>_xlfn.XLOOKUP(A880,MktTitle,MktCat,"n/a")</f>
        <v/>
      </c>
      <c r="J880" s="3">
        <f>_xlfn.XLOOKUP(A880,MktTitle,MktTotVol,0)</f>
        <v/>
      </c>
      <c r="K880">
        <f>IF(H880&gt;WhaleThreshold,"WHALE","")</f>
        <v/>
      </c>
    </row>
    <row r="881">
      <c r="A881" t="inlineStr">
        <is>
          <t>Will Morocco win the 2026 FIFA World Cup?</t>
        </is>
      </c>
      <c r="B881" s="4" t="n">
        <v>46205</v>
      </c>
      <c r="C881" s="5" t="n">
        <v>46205.95890046296</v>
      </c>
      <c r="D881" t="inlineStr">
        <is>
          <t>BUY</t>
        </is>
      </c>
      <c r="E881" t="inlineStr">
        <is>
          <t>No</t>
        </is>
      </c>
      <c r="F881" s="2" t="n">
        <v>0.976</v>
      </c>
      <c r="G881" s="6" t="n">
        <v>5</v>
      </c>
      <c r="H881" s="6">
        <f>F881*G881</f>
        <v/>
      </c>
      <c r="I881">
        <f>_xlfn.XLOOKUP(A881,MktTitle,MktCat,"n/a")</f>
        <v/>
      </c>
      <c r="J881" s="3">
        <f>_xlfn.XLOOKUP(A881,MktTitle,MktTotVol,0)</f>
        <v/>
      </c>
      <c r="K881">
        <f>IF(H881&gt;WhaleThreshold,"WHALE","")</f>
        <v/>
      </c>
    </row>
    <row r="882">
      <c r="A882" t="inlineStr">
        <is>
          <t>Will Morocco win the 2026 FIFA World Cup?</t>
        </is>
      </c>
      <c r="B882" s="4" t="n">
        <v>46205</v>
      </c>
      <c r="C882" s="5" t="n">
        <v>46205.95886574074</v>
      </c>
      <c r="D882" t="inlineStr">
        <is>
          <t>BUY</t>
        </is>
      </c>
      <c r="E882" t="inlineStr">
        <is>
          <t>No</t>
        </is>
      </c>
      <c r="F882" s="2" t="n">
        <v>0.976</v>
      </c>
      <c r="G882" s="6" t="n">
        <v>10</v>
      </c>
      <c r="H882" s="6">
        <f>F882*G882</f>
        <v/>
      </c>
      <c r="I882">
        <f>_xlfn.XLOOKUP(A882,MktTitle,MktCat,"n/a")</f>
        <v/>
      </c>
      <c r="J882" s="3">
        <f>_xlfn.XLOOKUP(A882,MktTitle,MktTotVol,0)</f>
        <v/>
      </c>
      <c r="K882">
        <f>IF(H882&gt;WhaleThreshold,"WHALE","")</f>
        <v/>
      </c>
    </row>
    <row r="883">
      <c r="A883" t="inlineStr">
        <is>
          <t>Will Morocco win the 2026 FIFA World Cup?</t>
        </is>
      </c>
      <c r="B883" s="4" t="n">
        <v>46205</v>
      </c>
      <c r="C883" s="5" t="n">
        <v>46205.95886574074</v>
      </c>
      <c r="D883" t="inlineStr">
        <is>
          <t>BUY</t>
        </is>
      </c>
      <c r="E883" t="inlineStr">
        <is>
          <t>No</t>
        </is>
      </c>
      <c r="F883" s="2" t="n">
        <v>0.976</v>
      </c>
      <c r="G883" s="6" t="n">
        <v>10</v>
      </c>
      <c r="H883" s="6">
        <f>F883*G883</f>
        <v/>
      </c>
      <c r="I883">
        <f>_xlfn.XLOOKUP(A883,MktTitle,MktCat,"n/a")</f>
        <v/>
      </c>
      <c r="J883" s="3">
        <f>_xlfn.XLOOKUP(A883,MktTitle,MktTotVol,0)</f>
        <v/>
      </c>
      <c r="K883">
        <f>IF(H883&gt;WhaleThreshold,"WHALE","")</f>
        <v/>
      </c>
    </row>
    <row r="884">
      <c r="A884" t="inlineStr">
        <is>
          <t>Will Morocco win the 2026 FIFA World Cup?</t>
        </is>
      </c>
      <c r="B884" s="4" t="n">
        <v>46205</v>
      </c>
      <c r="C884" s="5" t="n">
        <v>46205.95884259259</v>
      </c>
      <c r="D884" t="inlineStr">
        <is>
          <t>BUY</t>
        </is>
      </c>
      <c r="E884" t="inlineStr">
        <is>
          <t>No</t>
        </is>
      </c>
      <c r="F884" s="2" t="n">
        <v>0.976</v>
      </c>
      <c r="G884" s="6" t="n">
        <v>10</v>
      </c>
      <c r="H884" s="6">
        <f>F884*G884</f>
        <v/>
      </c>
      <c r="I884">
        <f>_xlfn.XLOOKUP(A884,MktTitle,MktCat,"n/a")</f>
        <v/>
      </c>
      <c r="J884" s="3">
        <f>_xlfn.XLOOKUP(A884,MktTitle,MktTotVol,0)</f>
        <v/>
      </c>
      <c r="K884">
        <f>IF(H884&gt;WhaleThreshold,"WHALE","")</f>
        <v/>
      </c>
    </row>
    <row r="885">
      <c r="A885" t="inlineStr">
        <is>
          <t>Will Morocco win the 2026 FIFA World Cup?</t>
        </is>
      </c>
      <c r="B885" s="4" t="n">
        <v>46205</v>
      </c>
      <c r="C885" s="5" t="n">
        <v>46205.95883101852</v>
      </c>
      <c r="D885" t="inlineStr">
        <is>
          <t>BUY</t>
        </is>
      </c>
      <c r="E885" t="inlineStr">
        <is>
          <t>No</t>
        </is>
      </c>
      <c r="F885" s="2" t="n">
        <v>0.976</v>
      </c>
      <c r="G885" s="6" t="n">
        <v>20</v>
      </c>
      <c r="H885" s="6">
        <f>F885*G885</f>
        <v/>
      </c>
      <c r="I885">
        <f>_xlfn.XLOOKUP(A885,MktTitle,MktCat,"n/a")</f>
        <v/>
      </c>
      <c r="J885" s="3">
        <f>_xlfn.XLOOKUP(A885,MktTitle,MktTotVol,0)</f>
        <v/>
      </c>
      <c r="K885">
        <f>IF(H885&gt;WhaleThreshold,"WHALE","")</f>
        <v/>
      </c>
    </row>
    <row r="886">
      <c r="A886" t="inlineStr">
        <is>
          <t>Will Morocco win the 2026 FIFA World Cup?</t>
        </is>
      </c>
      <c r="B886" s="4" t="n">
        <v>46205</v>
      </c>
      <c r="C886" s="5" t="n">
        <v>46205.95883101852</v>
      </c>
      <c r="D886" t="inlineStr">
        <is>
          <t>BUY</t>
        </is>
      </c>
      <c r="E886" t="inlineStr">
        <is>
          <t>No</t>
        </is>
      </c>
      <c r="F886" s="2" t="n">
        <v>0.976</v>
      </c>
      <c r="G886" s="6" t="n">
        <v>115</v>
      </c>
      <c r="H886" s="6">
        <f>F886*G886</f>
        <v/>
      </c>
      <c r="I886">
        <f>_xlfn.XLOOKUP(A886,MktTitle,MktCat,"n/a")</f>
        <v/>
      </c>
      <c r="J886" s="3">
        <f>_xlfn.XLOOKUP(A886,MktTitle,MktTotVol,0)</f>
        <v/>
      </c>
      <c r="K886">
        <f>IF(H886&gt;WhaleThreshold,"WHALE","")</f>
        <v/>
      </c>
    </row>
    <row r="887">
      <c r="A887" t="inlineStr">
        <is>
          <t>Will Morocco win the 2026 FIFA World Cup?</t>
        </is>
      </c>
      <c r="B887" s="4" t="n">
        <v>46205</v>
      </c>
      <c r="C887" s="5" t="n">
        <v>46205.95880787037</v>
      </c>
      <c r="D887" t="inlineStr">
        <is>
          <t>BUY</t>
        </is>
      </c>
      <c r="E887" t="inlineStr">
        <is>
          <t>No</t>
        </is>
      </c>
      <c r="F887" s="2" t="n">
        <v>0.976</v>
      </c>
      <c r="G887" s="6" t="n">
        <v>70</v>
      </c>
      <c r="H887" s="6">
        <f>F887*G887</f>
        <v/>
      </c>
      <c r="I887">
        <f>_xlfn.XLOOKUP(A887,MktTitle,MktCat,"n/a")</f>
        <v/>
      </c>
      <c r="J887" s="3">
        <f>_xlfn.XLOOKUP(A887,MktTitle,MktTotVol,0)</f>
        <v/>
      </c>
      <c r="K887">
        <f>IF(H887&gt;WhaleThreshold,"WHALE","")</f>
        <v/>
      </c>
    </row>
    <row r="888">
      <c r="A888" t="inlineStr">
        <is>
          <t>Will Morocco win the 2026 FIFA World Cup?</t>
        </is>
      </c>
      <c r="B888" s="4" t="n">
        <v>46205</v>
      </c>
      <c r="C888" s="5" t="n">
        <v>46205.95880787037</v>
      </c>
      <c r="D888" t="inlineStr">
        <is>
          <t>BUY</t>
        </is>
      </c>
      <c r="E888" t="inlineStr">
        <is>
          <t>No</t>
        </is>
      </c>
      <c r="F888" s="2" t="n">
        <v>0.976</v>
      </c>
      <c r="G888" s="6" t="n">
        <v>27.2</v>
      </c>
      <c r="H888" s="6">
        <f>F888*G888</f>
        <v/>
      </c>
      <c r="I888">
        <f>_xlfn.XLOOKUP(A888,MktTitle,MktCat,"n/a")</f>
        <v/>
      </c>
      <c r="J888" s="3">
        <f>_xlfn.XLOOKUP(A888,MktTitle,MktTotVol,0)</f>
        <v/>
      </c>
      <c r="K888">
        <f>IF(H888&gt;WhaleThreshold,"WHALE","")</f>
        <v/>
      </c>
    </row>
    <row r="889">
      <c r="A889" t="inlineStr">
        <is>
          <t>Will Morocco win the 2026 FIFA World Cup?</t>
        </is>
      </c>
      <c r="B889" s="4" t="n">
        <v>46205</v>
      </c>
      <c r="C889" s="5" t="n">
        <v>46205.9587962963</v>
      </c>
      <c r="D889" t="inlineStr">
        <is>
          <t>BUY</t>
        </is>
      </c>
      <c r="E889" t="inlineStr">
        <is>
          <t>No</t>
        </is>
      </c>
      <c r="F889" s="2" t="n">
        <v>0.976</v>
      </c>
      <c r="G889" s="6" t="n">
        <v>115</v>
      </c>
      <c r="H889" s="6">
        <f>F889*G889</f>
        <v/>
      </c>
      <c r="I889">
        <f>_xlfn.XLOOKUP(A889,MktTitle,MktCat,"n/a")</f>
        <v/>
      </c>
      <c r="J889" s="3">
        <f>_xlfn.XLOOKUP(A889,MktTitle,MktTotVol,0)</f>
        <v/>
      </c>
      <c r="K889">
        <f>IF(H889&gt;WhaleThreshold,"WHALE","")</f>
        <v/>
      </c>
    </row>
    <row r="890">
      <c r="A890" t="inlineStr">
        <is>
          <t>Will Morocco win the 2026 FIFA World Cup?</t>
        </is>
      </c>
      <c r="B890" s="4" t="n">
        <v>46205</v>
      </c>
      <c r="C890" s="5" t="n">
        <v>46205.9587962963</v>
      </c>
      <c r="D890" t="inlineStr">
        <is>
          <t>BUY</t>
        </is>
      </c>
      <c r="E890" t="inlineStr">
        <is>
          <t>No</t>
        </is>
      </c>
      <c r="F890" s="2" t="n">
        <v>0.976</v>
      </c>
      <c r="G890" s="6" t="n">
        <v>47</v>
      </c>
      <c r="H890" s="6">
        <f>F890*G890</f>
        <v/>
      </c>
      <c r="I890">
        <f>_xlfn.XLOOKUP(A890,MktTitle,MktCat,"n/a")</f>
        <v/>
      </c>
      <c r="J890" s="3">
        <f>_xlfn.XLOOKUP(A890,MktTitle,MktTotVol,0)</f>
        <v/>
      </c>
      <c r="K890">
        <f>IF(H890&gt;WhaleThreshold,"WHALE","")</f>
        <v/>
      </c>
    </row>
    <row r="891">
      <c r="A891" t="inlineStr">
        <is>
          <t>Will Morocco win the 2026 FIFA World Cup?</t>
        </is>
      </c>
      <c r="B891" s="4" t="n">
        <v>46205</v>
      </c>
      <c r="C891" s="5" t="n">
        <v>46205.9587962963</v>
      </c>
      <c r="D891" t="inlineStr">
        <is>
          <t>BUY</t>
        </is>
      </c>
      <c r="E891" t="inlineStr">
        <is>
          <t>No</t>
        </is>
      </c>
      <c r="F891" s="2" t="n">
        <v>0.976</v>
      </c>
      <c r="G891" s="6" t="n">
        <v>115</v>
      </c>
      <c r="H891" s="6">
        <f>F891*G891</f>
        <v/>
      </c>
      <c r="I891">
        <f>_xlfn.XLOOKUP(A891,MktTitle,MktCat,"n/a")</f>
        <v/>
      </c>
      <c r="J891" s="3">
        <f>_xlfn.XLOOKUP(A891,MktTitle,MktTotVol,0)</f>
        <v/>
      </c>
      <c r="K891">
        <f>IF(H891&gt;WhaleThreshold,"WHALE","")</f>
        <v/>
      </c>
    </row>
    <row r="892">
      <c r="A892" t="inlineStr">
        <is>
          <t>Will Morocco win the 2026 FIFA World Cup?</t>
        </is>
      </c>
      <c r="B892" s="4" t="n">
        <v>46205</v>
      </c>
      <c r="C892" s="5" t="n">
        <v>46205.95851851852</v>
      </c>
      <c r="D892" t="inlineStr">
        <is>
          <t>BUY</t>
        </is>
      </c>
      <c r="E892" t="inlineStr">
        <is>
          <t>No</t>
        </is>
      </c>
      <c r="F892" s="2" t="n">
        <v>0.976</v>
      </c>
      <c r="G892" s="6" t="n">
        <v>10</v>
      </c>
      <c r="H892" s="6">
        <f>F892*G892</f>
        <v/>
      </c>
      <c r="I892">
        <f>_xlfn.XLOOKUP(A892,MktTitle,MktCat,"n/a")</f>
        <v/>
      </c>
      <c r="J892" s="3">
        <f>_xlfn.XLOOKUP(A892,MktTitle,MktTotVol,0)</f>
        <v/>
      </c>
      <c r="K892">
        <f>IF(H892&gt;WhaleThreshold,"WHALE","")</f>
        <v/>
      </c>
    </row>
    <row r="893">
      <c r="A893" t="inlineStr">
        <is>
          <t>Will Morocco win the 2026 FIFA World Cup?</t>
        </is>
      </c>
      <c r="B893" s="4" t="n">
        <v>46205</v>
      </c>
      <c r="C893" s="5" t="n">
        <v>46205.95851851852</v>
      </c>
      <c r="D893" t="inlineStr">
        <is>
          <t>BUY</t>
        </is>
      </c>
      <c r="E893" t="inlineStr">
        <is>
          <t>No</t>
        </is>
      </c>
      <c r="F893" s="2" t="n">
        <v>0.976</v>
      </c>
      <c r="G893" s="6" t="n">
        <v>10</v>
      </c>
      <c r="H893" s="6">
        <f>F893*G893</f>
        <v/>
      </c>
      <c r="I893">
        <f>_xlfn.XLOOKUP(A893,MktTitle,MktCat,"n/a")</f>
        <v/>
      </c>
      <c r="J893" s="3">
        <f>_xlfn.XLOOKUP(A893,MktTitle,MktTotVol,0)</f>
        <v/>
      </c>
      <c r="K893">
        <f>IF(H893&gt;WhaleThreshold,"WHALE","")</f>
        <v/>
      </c>
    </row>
    <row r="894">
      <c r="A894" t="inlineStr">
        <is>
          <t>Will Morocco win the 2026 FIFA World Cup?</t>
        </is>
      </c>
      <c r="B894" s="4" t="n">
        <v>46205</v>
      </c>
      <c r="C894" s="5" t="n">
        <v>46205.95841435185</v>
      </c>
      <c r="D894" t="inlineStr">
        <is>
          <t>SELL</t>
        </is>
      </c>
      <c r="E894" t="inlineStr">
        <is>
          <t>Yes</t>
        </is>
      </c>
      <c r="F894" s="2" t="n">
        <v>0.024</v>
      </c>
      <c r="G894" s="6" t="n">
        <v>220.26</v>
      </c>
      <c r="H894" s="6">
        <f>F894*G894</f>
        <v/>
      </c>
      <c r="I894">
        <f>_xlfn.XLOOKUP(A894,MktTitle,MktCat,"n/a")</f>
        <v/>
      </c>
      <c r="J894" s="3">
        <f>_xlfn.XLOOKUP(A894,MktTitle,MktTotVol,0)</f>
        <v/>
      </c>
      <c r="K894">
        <f>IF(H894&gt;WhaleThreshold,"WHALE","")</f>
        <v/>
      </c>
    </row>
    <row r="895">
      <c r="A895" t="inlineStr">
        <is>
          <t>Will Morocco win the 2026 FIFA World Cup?</t>
        </is>
      </c>
      <c r="B895" s="4" t="n">
        <v>46205</v>
      </c>
      <c r="C895" s="5" t="n">
        <v>46205.95837962963</v>
      </c>
      <c r="D895" t="inlineStr">
        <is>
          <t>BUY</t>
        </is>
      </c>
      <c r="E895" t="inlineStr">
        <is>
          <t>No</t>
        </is>
      </c>
      <c r="F895" s="2" t="n">
        <v>0.976</v>
      </c>
      <c r="G895" s="6" t="n">
        <v>15</v>
      </c>
      <c r="H895" s="6">
        <f>F895*G895</f>
        <v/>
      </c>
      <c r="I895">
        <f>_xlfn.XLOOKUP(A895,MktTitle,MktCat,"n/a")</f>
        <v/>
      </c>
      <c r="J895" s="3">
        <f>_xlfn.XLOOKUP(A895,MktTitle,MktTotVol,0)</f>
        <v/>
      </c>
      <c r="K895">
        <f>IF(H895&gt;WhaleThreshold,"WHALE","")</f>
        <v/>
      </c>
    </row>
    <row r="896">
      <c r="A896" t="inlineStr">
        <is>
          <t>Will Morocco win the 2026 FIFA World Cup?</t>
        </is>
      </c>
      <c r="B896" s="4" t="n">
        <v>46205</v>
      </c>
      <c r="C896" s="5" t="n">
        <v>46205.95835648148</v>
      </c>
      <c r="D896" t="inlineStr">
        <is>
          <t>BUY</t>
        </is>
      </c>
      <c r="E896" t="inlineStr">
        <is>
          <t>No</t>
        </is>
      </c>
      <c r="F896" s="2" t="n">
        <v>0.976</v>
      </c>
      <c r="G896" s="6" t="n">
        <v>50</v>
      </c>
      <c r="H896" s="6">
        <f>F896*G896</f>
        <v/>
      </c>
      <c r="I896">
        <f>_xlfn.XLOOKUP(A896,MktTitle,MktCat,"n/a")</f>
        <v/>
      </c>
      <c r="J896" s="3">
        <f>_xlfn.XLOOKUP(A896,MktTitle,MktTotVol,0)</f>
        <v/>
      </c>
      <c r="K896">
        <f>IF(H896&gt;WhaleThreshold,"WHALE","")</f>
        <v/>
      </c>
    </row>
    <row r="897">
      <c r="A897" t="inlineStr">
        <is>
          <t>Will Morocco win the 2026 FIFA World Cup?</t>
        </is>
      </c>
      <c r="B897" s="4" t="n">
        <v>46205</v>
      </c>
      <c r="C897" s="5" t="n">
        <v>46205.95834490741</v>
      </c>
      <c r="D897" t="inlineStr">
        <is>
          <t>BUY</t>
        </is>
      </c>
      <c r="E897" t="inlineStr">
        <is>
          <t>No</t>
        </is>
      </c>
      <c r="F897" s="2" t="n">
        <v>0.976</v>
      </c>
      <c r="G897" s="6" t="n">
        <v>65</v>
      </c>
      <c r="H897" s="6">
        <f>F897*G897</f>
        <v/>
      </c>
      <c r="I897">
        <f>_xlfn.XLOOKUP(A897,MktTitle,MktCat,"n/a")</f>
        <v/>
      </c>
      <c r="J897" s="3">
        <f>_xlfn.XLOOKUP(A897,MktTitle,MktTotVol,0)</f>
        <v/>
      </c>
      <c r="K897">
        <f>IF(H897&gt;WhaleThreshold,"WHALE","")</f>
        <v/>
      </c>
    </row>
    <row r="898">
      <c r="A898" t="inlineStr">
        <is>
          <t>Will Morocco win the 2026 FIFA World Cup?</t>
        </is>
      </c>
      <c r="B898" s="4" t="n">
        <v>46205</v>
      </c>
      <c r="C898" s="5" t="n">
        <v>46205.95834490741</v>
      </c>
      <c r="D898" t="inlineStr">
        <is>
          <t>BUY</t>
        </is>
      </c>
      <c r="E898" t="inlineStr">
        <is>
          <t>No</t>
        </is>
      </c>
      <c r="F898" s="2" t="n">
        <v>0.976</v>
      </c>
      <c r="G898" s="6" t="n">
        <v>73.59999999999999</v>
      </c>
      <c r="H898" s="6">
        <f>F898*G898</f>
        <v/>
      </c>
      <c r="I898">
        <f>_xlfn.XLOOKUP(A898,MktTitle,MktCat,"n/a")</f>
        <v/>
      </c>
      <c r="J898" s="3">
        <f>_xlfn.XLOOKUP(A898,MktTitle,MktTotVol,0)</f>
        <v/>
      </c>
      <c r="K898">
        <f>IF(H898&gt;WhaleThreshold,"WHALE","")</f>
        <v/>
      </c>
    </row>
    <row r="899">
      <c r="A899" t="inlineStr">
        <is>
          <t>Will Morocco win the 2026 FIFA World Cup?</t>
        </is>
      </c>
      <c r="B899" s="4" t="n">
        <v>46205</v>
      </c>
      <c r="C899" s="5" t="n">
        <v>46205.95834490741</v>
      </c>
      <c r="D899" t="inlineStr">
        <is>
          <t>BUY</t>
        </is>
      </c>
      <c r="E899" t="inlineStr">
        <is>
          <t>No</t>
        </is>
      </c>
      <c r="F899" s="2" t="n">
        <v>0.976</v>
      </c>
      <c r="G899" s="6" t="n">
        <v>115</v>
      </c>
      <c r="H899" s="6">
        <f>F899*G899</f>
        <v/>
      </c>
      <c r="I899">
        <f>_xlfn.XLOOKUP(A899,MktTitle,MktCat,"n/a")</f>
        <v/>
      </c>
      <c r="J899" s="3">
        <f>_xlfn.XLOOKUP(A899,MktTitle,MktTotVol,0)</f>
        <v/>
      </c>
      <c r="K899">
        <f>IF(H899&gt;WhaleThreshold,"WHALE","")</f>
        <v/>
      </c>
    </row>
    <row r="900">
      <c r="A900" t="inlineStr">
        <is>
          <t>Will Morocco win the 2026 FIFA World Cup?</t>
        </is>
      </c>
      <c r="B900" s="4" t="n">
        <v>46205</v>
      </c>
      <c r="C900" s="5" t="n">
        <v>46205.9559837963</v>
      </c>
      <c r="D900" t="inlineStr">
        <is>
          <t>SELL</t>
        </is>
      </c>
      <c r="E900" t="inlineStr">
        <is>
          <t>No</t>
        </is>
      </c>
      <c r="F900" s="2" t="n">
        <v>0.975</v>
      </c>
      <c r="G900" s="6" t="n">
        <v>42</v>
      </c>
      <c r="H900" s="6">
        <f>F900*G900</f>
        <v/>
      </c>
      <c r="I900">
        <f>_xlfn.XLOOKUP(A900,MktTitle,MktCat,"n/a")</f>
        <v/>
      </c>
      <c r="J900" s="3">
        <f>_xlfn.XLOOKUP(A900,MktTitle,MktTotVol,0)</f>
        <v/>
      </c>
      <c r="K900">
        <f>IF(H900&gt;WhaleThreshold,"WHALE","")</f>
        <v/>
      </c>
    </row>
    <row r="901">
      <c r="A901" t="inlineStr">
        <is>
          <t>Will Morocco win the 2026 FIFA World Cup?</t>
        </is>
      </c>
      <c r="B901" s="4" t="n">
        <v>46205</v>
      </c>
      <c r="C901" s="5" t="n">
        <v>46205.95516203704</v>
      </c>
      <c r="D901" t="inlineStr">
        <is>
          <t>BUY</t>
        </is>
      </c>
      <c r="E901" t="inlineStr">
        <is>
          <t>Yes</t>
        </is>
      </c>
      <c r="F901" s="2" t="n">
        <v>0.025</v>
      </c>
      <c r="G901" s="6" t="n">
        <v>765.2</v>
      </c>
      <c r="H901" s="6">
        <f>F901*G901</f>
        <v/>
      </c>
      <c r="I901">
        <f>_xlfn.XLOOKUP(A901,MktTitle,MktCat,"n/a")</f>
        <v/>
      </c>
      <c r="J901" s="3">
        <f>_xlfn.XLOOKUP(A901,MktTitle,MktTotVol,0)</f>
        <v/>
      </c>
      <c r="K901">
        <f>IF(H901&gt;WhaleThreshold,"WHALE","")</f>
        <v/>
      </c>
    </row>
    <row r="902">
      <c r="A902" t="inlineStr">
        <is>
          <t>Will Croatia win the 2026 FIFA World Cup?</t>
        </is>
      </c>
      <c r="B902" s="4" t="n">
        <v>46206</v>
      </c>
      <c r="C902" s="5" t="n">
        <v>46206.08394675926</v>
      </c>
      <c r="D902" t="inlineStr">
        <is>
          <t>SELL</t>
        </is>
      </c>
      <c r="E902" t="inlineStr">
        <is>
          <t>No</t>
        </is>
      </c>
      <c r="F902" s="2" t="n">
        <v>0.999</v>
      </c>
      <c r="G902" s="6" t="n">
        <v>2.33</v>
      </c>
      <c r="H902" s="6">
        <f>F902*G902</f>
        <v/>
      </c>
      <c r="I902">
        <f>_xlfn.XLOOKUP(A902,MktTitle,MktCat,"n/a")</f>
        <v/>
      </c>
      <c r="J902" s="3">
        <f>_xlfn.XLOOKUP(A902,MktTitle,MktTotVol,0)</f>
        <v/>
      </c>
      <c r="K902">
        <f>IF(H902&gt;WhaleThreshold,"WHALE","")</f>
        <v/>
      </c>
    </row>
    <row r="903">
      <c r="A903" t="inlineStr">
        <is>
          <t>Will Croatia win the 2026 FIFA World Cup?</t>
        </is>
      </c>
      <c r="B903" s="4" t="n">
        <v>46206</v>
      </c>
      <c r="C903" s="5" t="n">
        <v>46206.07733796296</v>
      </c>
      <c r="D903" t="inlineStr">
        <is>
          <t>SELL</t>
        </is>
      </c>
      <c r="E903" t="inlineStr">
        <is>
          <t>No</t>
        </is>
      </c>
      <c r="F903" s="2" t="n">
        <v>0.999</v>
      </c>
      <c r="G903" s="6" t="n">
        <v>34.91</v>
      </c>
      <c r="H903" s="6">
        <f>F903*G903</f>
        <v/>
      </c>
      <c r="I903">
        <f>_xlfn.XLOOKUP(A903,MktTitle,MktCat,"n/a")</f>
        <v/>
      </c>
      <c r="J903" s="3">
        <f>_xlfn.XLOOKUP(A903,MktTitle,MktTotVol,0)</f>
        <v/>
      </c>
      <c r="K903">
        <f>IF(H903&gt;WhaleThreshold,"WHALE","")</f>
        <v/>
      </c>
    </row>
    <row r="904">
      <c r="A904" t="inlineStr">
        <is>
          <t>Will Croatia win the 2026 FIFA World Cup?</t>
        </is>
      </c>
      <c r="B904" s="4" t="n">
        <v>46206</v>
      </c>
      <c r="C904" s="5" t="n">
        <v>46206.0734837963</v>
      </c>
      <c r="D904" t="inlineStr">
        <is>
          <t>SELL</t>
        </is>
      </c>
      <c r="E904" t="inlineStr">
        <is>
          <t>No</t>
        </is>
      </c>
      <c r="F904" s="2" t="n">
        <v>0.999</v>
      </c>
      <c r="G904" s="6" t="n">
        <v>52.4</v>
      </c>
      <c r="H904" s="6">
        <f>F904*G904</f>
        <v/>
      </c>
      <c r="I904">
        <f>_xlfn.XLOOKUP(A904,MktTitle,MktCat,"n/a")</f>
        <v/>
      </c>
      <c r="J904" s="3">
        <f>_xlfn.XLOOKUP(A904,MktTitle,MktTotVol,0)</f>
        <v/>
      </c>
      <c r="K904">
        <f>IF(H904&gt;WhaleThreshold,"WHALE","")</f>
        <v/>
      </c>
    </row>
    <row r="905">
      <c r="A905" t="inlineStr">
        <is>
          <t>Will Croatia win the 2026 FIFA World Cup?</t>
        </is>
      </c>
      <c r="B905" s="4" t="n">
        <v>46206</v>
      </c>
      <c r="C905" s="5" t="n">
        <v>46206.06094907408</v>
      </c>
      <c r="D905" t="inlineStr">
        <is>
          <t>SELL</t>
        </is>
      </c>
      <c r="E905" t="inlineStr">
        <is>
          <t>No</t>
        </is>
      </c>
      <c r="F905" s="2" t="n">
        <v>0.999</v>
      </c>
      <c r="G905" s="6" t="n">
        <v>16.04</v>
      </c>
      <c r="H905" s="6">
        <f>F905*G905</f>
        <v/>
      </c>
      <c r="I905">
        <f>_xlfn.XLOOKUP(A905,MktTitle,MktCat,"n/a")</f>
        <v/>
      </c>
      <c r="J905" s="3">
        <f>_xlfn.XLOOKUP(A905,MktTitle,MktTotVol,0)</f>
        <v/>
      </c>
      <c r="K905">
        <f>IF(H905&gt;WhaleThreshold,"WHALE","")</f>
        <v/>
      </c>
    </row>
    <row r="906">
      <c r="A906" t="inlineStr">
        <is>
          <t>Will Croatia win the 2026 FIFA World Cup?</t>
        </is>
      </c>
      <c r="B906" s="4" t="n">
        <v>46206</v>
      </c>
      <c r="C906" s="5" t="n">
        <v>46206.06063657408</v>
      </c>
      <c r="D906" t="inlineStr">
        <is>
          <t>SELL</t>
        </is>
      </c>
      <c r="E906" t="inlineStr">
        <is>
          <t>No</t>
        </is>
      </c>
      <c r="F906" s="2" t="n">
        <v>0.999</v>
      </c>
      <c r="G906" s="6" t="n">
        <v>14.04</v>
      </c>
      <c r="H906" s="6">
        <f>F906*G906</f>
        <v/>
      </c>
      <c r="I906">
        <f>_xlfn.XLOOKUP(A906,MktTitle,MktCat,"n/a")</f>
        <v/>
      </c>
      <c r="J906" s="3">
        <f>_xlfn.XLOOKUP(A906,MktTitle,MktTotVol,0)</f>
        <v/>
      </c>
      <c r="K906">
        <f>IF(H906&gt;WhaleThreshold,"WHALE","")</f>
        <v/>
      </c>
    </row>
    <row r="907">
      <c r="A907" t="inlineStr">
        <is>
          <t>Will Croatia win the 2026 FIFA World Cup?</t>
        </is>
      </c>
      <c r="B907" s="4" t="n">
        <v>46206</v>
      </c>
      <c r="C907" s="5" t="n">
        <v>46206.05751157407</v>
      </c>
      <c r="D907" t="inlineStr">
        <is>
          <t>SELL</t>
        </is>
      </c>
      <c r="E907" t="inlineStr">
        <is>
          <t>No</t>
        </is>
      </c>
      <c r="F907" s="2" t="n">
        <v>0.999</v>
      </c>
      <c r="G907" s="6" t="n">
        <v>30.09</v>
      </c>
      <c r="H907" s="6">
        <f>F907*G907</f>
        <v/>
      </c>
      <c r="I907">
        <f>_xlfn.XLOOKUP(A907,MktTitle,MktCat,"n/a")</f>
        <v/>
      </c>
      <c r="J907" s="3">
        <f>_xlfn.XLOOKUP(A907,MktTitle,MktTotVol,0)</f>
        <v/>
      </c>
      <c r="K907">
        <f>IF(H907&gt;WhaleThreshold,"WHALE","")</f>
        <v/>
      </c>
    </row>
    <row r="908">
      <c r="A908" t="inlineStr">
        <is>
          <t>Will Croatia win the 2026 FIFA World Cup?</t>
        </is>
      </c>
      <c r="B908" s="4" t="n">
        <v>46206</v>
      </c>
      <c r="C908" s="5" t="n">
        <v>46206.05665509259</v>
      </c>
      <c r="D908" t="inlineStr">
        <is>
          <t>SELL</t>
        </is>
      </c>
      <c r="E908" t="inlineStr">
        <is>
          <t>No</t>
        </is>
      </c>
      <c r="F908" s="2" t="n">
        <v>0.999</v>
      </c>
      <c r="G908" s="6" t="n">
        <v>38.66</v>
      </c>
      <c r="H908" s="6">
        <f>F908*G908</f>
        <v/>
      </c>
      <c r="I908">
        <f>_xlfn.XLOOKUP(A908,MktTitle,MktCat,"n/a")</f>
        <v/>
      </c>
      <c r="J908" s="3">
        <f>_xlfn.XLOOKUP(A908,MktTitle,MktTotVol,0)</f>
        <v/>
      </c>
      <c r="K908">
        <f>IF(H908&gt;WhaleThreshold,"WHALE","")</f>
        <v/>
      </c>
    </row>
    <row r="909">
      <c r="A909" t="inlineStr">
        <is>
          <t>Will Croatia win the 2026 FIFA World Cup?</t>
        </is>
      </c>
      <c r="B909" s="4" t="n">
        <v>46206</v>
      </c>
      <c r="C909" s="5" t="n">
        <v>46206.05450231482</v>
      </c>
      <c r="D909" t="inlineStr">
        <is>
          <t>SELL</t>
        </is>
      </c>
      <c r="E909" t="inlineStr">
        <is>
          <t>No</t>
        </is>
      </c>
      <c r="F909" s="2" t="n">
        <v>0.999</v>
      </c>
      <c r="G909" s="6" t="n">
        <v>53.71</v>
      </c>
      <c r="H909" s="6">
        <f>F909*G909</f>
        <v/>
      </c>
      <c r="I909">
        <f>_xlfn.XLOOKUP(A909,MktTitle,MktCat,"n/a")</f>
        <v/>
      </c>
      <c r="J909" s="3">
        <f>_xlfn.XLOOKUP(A909,MktTitle,MktTotVol,0)</f>
        <v/>
      </c>
      <c r="K909">
        <f>IF(H909&gt;WhaleThreshold,"WHALE","")</f>
        <v/>
      </c>
    </row>
    <row r="910">
      <c r="A910" t="inlineStr">
        <is>
          <t>Will Croatia win the 2026 FIFA World Cup?</t>
        </is>
      </c>
      <c r="B910" s="4" t="n">
        <v>46206</v>
      </c>
      <c r="C910" s="5" t="n">
        <v>46206.05217592593</v>
      </c>
      <c r="D910" t="inlineStr">
        <is>
          <t>SELL</t>
        </is>
      </c>
      <c r="E910" t="inlineStr">
        <is>
          <t>No</t>
        </is>
      </c>
      <c r="F910" s="2" t="n">
        <v>0.999</v>
      </c>
      <c r="G910" s="6" t="n">
        <v>52.72</v>
      </c>
      <c r="H910" s="6">
        <f>F910*G910</f>
        <v/>
      </c>
      <c r="I910">
        <f>_xlfn.XLOOKUP(A910,MktTitle,MktCat,"n/a")</f>
        <v/>
      </c>
      <c r="J910" s="3">
        <f>_xlfn.XLOOKUP(A910,MktTitle,MktTotVol,0)</f>
        <v/>
      </c>
      <c r="K910">
        <f>IF(H910&gt;WhaleThreshold,"WHALE","")</f>
        <v/>
      </c>
    </row>
    <row r="911">
      <c r="A911" t="inlineStr">
        <is>
          <t>Will Croatia win the 2026 FIFA World Cup?</t>
        </is>
      </c>
      <c r="B911" s="4" t="n">
        <v>46206</v>
      </c>
      <c r="C911" s="5" t="n">
        <v>46206.0487037037</v>
      </c>
      <c r="D911" t="inlineStr">
        <is>
          <t>SELL</t>
        </is>
      </c>
      <c r="E911" t="inlineStr">
        <is>
          <t>No</t>
        </is>
      </c>
      <c r="F911" s="2" t="n">
        <v>0.999</v>
      </c>
      <c r="G911" s="6" t="n">
        <v>31.97</v>
      </c>
      <c r="H911" s="6">
        <f>F911*G911</f>
        <v/>
      </c>
      <c r="I911">
        <f>_xlfn.XLOOKUP(A911,MktTitle,MktCat,"n/a")</f>
        <v/>
      </c>
      <c r="J911" s="3">
        <f>_xlfn.XLOOKUP(A911,MktTitle,MktTotVol,0)</f>
        <v/>
      </c>
      <c r="K911">
        <f>IF(H911&gt;WhaleThreshold,"WHALE","")</f>
        <v/>
      </c>
    </row>
    <row r="912">
      <c r="A912" t="inlineStr">
        <is>
          <t>Will Croatia win the 2026 FIFA World Cup?</t>
        </is>
      </c>
      <c r="B912" s="4" t="n">
        <v>46206</v>
      </c>
      <c r="C912" s="5" t="n">
        <v>46206.04856481482</v>
      </c>
      <c r="D912" t="inlineStr">
        <is>
          <t>SELL</t>
        </is>
      </c>
      <c r="E912" t="inlineStr">
        <is>
          <t>No</t>
        </is>
      </c>
      <c r="F912" s="2" t="n">
        <v>0.999</v>
      </c>
      <c r="G912" s="6" t="n">
        <v>31.97</v>
      </c>
      <c r="H912" s="6">
        <f>F912*G912</f>
        <v/>
      </c>
      <c r="I912">
        <f>_xlfn.XLOOKUP(A912,MktTitle,MktCat,"n/a")</f>
        <v/>
      </c>
      <c r="J912" s="3">
        <f>_xlfn.XLOOKUP(A912,MktTitle,MktTotVol,0)</f>
        <v/>
      </c>
      <c r="K912">
        <f>IF(H912&gt;WhaleThreshold,"WHALE","")</f>
        <v/>
      </c>
    </row>
    <row r="913">
      <c r="A913" t="inlineStr">
        <is>
          <t>Will Croatia win the 2026 FIFA World Cup?</t>
        </is>
      </c>
      <c r="B913" s="4" t="n">
        <v>46206</v>
      </c>
      <c r="C913" s="5" t="n">
        <v>46206.04856481482</v>
      </c>
      <c r="D913" t="inlineStr">
        <is>
          <t>SELL</t>
        </is>
      </c>
      <c r="E913" t="inlineStr">
        <is>
          <t>No</t>
        </is>
      </c>
      <c r="F913" s="2" t="n">
        <v>0.999</v>
      </c>
      <c r="G913" s="6" t="n">
        <v>29.73</v>
      </c>
      <c r="H913" s="6">
        <f>F913*G913</f>
        <v/>
      </c>
      <c r="I913">
        <f>_xlfn.XLOOKUP(A913,MktTitle,MktCat,"n/a")</f>
        <v/>
      </c>
      <c r="J913" s="3">
        <f>_xlfn.XLOOKUP(A913,MktTitle,MktTotVol,0)</f>
        <v/>
      </c>
      <c r="K913">
        <f>IF(H913&gt;WhaleThreshold,"WHALE","")</f>
        <v/>
      </c>
    </row>
    <row r="914">
      <c r="A914" t="inlineStr">
        <is>
          <t>Will Croatia win the 2026 FIFA World Cup?</t>
        </is>
      </c>
      <c r="B914" s="4" t="n">
        <v>46206</v>
      </c>
      <c r="C914" s="5" t="n">
        <v>46206.04856481482</v>
      </c>
      <c r="D914" t="inlineStr">
        <is>
          <t>SELL</t>
        </is>
      </c>
      <c r="E914" t="inlineStr">
        <is>
          <t>No</t>
        </is>
      </c>
      <c r="F914" s="2" t="n">
        <v>0.999</v>
      </c>
      <c r="G914" s="6" t="n">
        <v>60.75</v>
      </c>
      <c r="H914" s="6">
        <f>F914*G914</f>
        <v/>
      </c>
      <c r="I914">
        <f>_xlfn.XLOOKUP(A914,MktTitle,MktCat,"n/a")</f>
        <v/>
      </c>
      <c r="J914" s="3">
        <f>_xlfn.XLOOKUP(A914,MktTitle,MktTotVol,0)</f>
        <v/>
      </c>
      <c r="K914">
        <f>IF(H914&gt;WhaleThreshold,"WHALE","")</f>
        <v/>
      </c>
    </row>
    <row r="915">
      <c r="A915" t="inlineStr">
        <is>
          <t>Will Croatia win the 2026 FIFA World Cup?</t>
        </is>
      </c>
      <c r="B915" s="4" t="n">
        <v>46206</v>
      </c>
      <c r="C915" s="5" t="n">
        <v>46206.04855324074</v>
      </c>
      <c r="D915" t="inlineStr">
        <is>
          <t>BUY</t>
        </is>
      </c>
      <c r="E915" t="inlineStr">
        <is>
          <t>Yes</t>
        </is>
      </c>
      <c r="F915" s="2" t="n">
        <v>0.001</v>
      </c>
      <c r="G915" s="6" t="n">
        <v>1920</v>
      </c>
      <c r="H915" s="6">
        <f>F915*G915</f>
        <v/>
      </c>
      <c r="I915">
        <f>_xlfn.XLOOKUP(A915,MktTitle,MktCat,"n/a")</f>
        <v/>
      </c>
      <c r="J915" s="3">
        <f>_xlfn.XLOOKUP(A915,MktTitle,MktTotVol,0)</f>
        <v/>
      </c>
      <c r="K915">
        <f>IF(H915&gt;WhaleThreshold,"WHALE","")</f>
        <v/>
      </c>
    </row>
    <row r="916">
      <c r="A916" t="inlineStr">
        <is>
          <t>Will Croatia win the 2026 FIFA World Cup?</t>
        </is>
      </c>
      <c r="B916" s="4" t="n">
        <v>46206</v>
      </c>
      <c r="C916" s="5" t="n">
        <v>46206.04728009259</v>
      </c>
      <c r="D916" t="inlineStr">
        <is>
          <t>BUY</t>
        </is>
      </c>
      <c r="E916" t="inlineStr">
        <is>
          <t>Yes</t>
        </is>
      </c>
      <c r="F916" s="2" t="n">
        <v>0.001</v>
      </c>
      <c r="G916" s="6" t="n">
        <v>1000</v>
      </c>
      <c r="H916" s="6">
        <f>F916*G916</f>
        <v/>
      </c>
      <c r="I916">
        <f>_xlfn.XLOOKUP(A916,MktTitle,MktCat,"n/a")</f>
        <v/>
      </c>
      <c r="J916" s="3">
        <f>_xlfn.XLOOKUP(A916,MktTitle,MktTotVol,0)</f>
        <v/>
      </c>
      <c r="K916">
        <f>IF(H916&gt;WhaleThreshold,"WHALE","")</f>
        <v/>
      </c>
    </row>
    <row r="917">
      <c r="A917" t="inlineStr">
        <is>
          <t>Will Croatia win the 2026 FIFA World Cup?</t>
        </is>
      </c>
      <c r="B917" s="4" t="n">
        <v>46206</v>
      </c>
      <c r="C917" s="5" t="n">
        <v>46206.0469212963</v>
      </c>
      <c r="D917" t="inlineStr">
        <is>
          <t>SELL</t>
        </is>
      </c>
      <c r="E917" t="inlineStr">
        <is>
          <t>No</t>
        </is>
      </c>
      <c r="F917" s="2" t="n">
        <v>0.999</v>
      </c>
      <c r="G917" s="6" t="n">
        <v>116.57</v>
      </c>
      <c r="H917" s="6">
        <f>F917*G917</f>
        <v/>
      </c>
      <c r="I917">
        <f>_xlfn.XLOOKUP(A917,MktTitle,MktCat,"n/a")</f>
        <v/>
      </c>
      <c r="J917" s="3">
        <f>_xlfn.XLOOKUP(A917,MktTitle,MktTotVol,0)</f>
        <v/>
      </c>
      <c r="K917">
        <f>IF(H917&gt;WhaleThreshold,"WHALE","")</f>
        <v/>
      </c>
    </row>
    <row r="918">
      <c r="A918" t="inlineStr">
        <is>
          <t>Will Croatia win the 2026 FIFA World Cup?</t>
        </is>
      </c>
      <c r="B918" s="4" t="n">
        <v>46206</v>
      </c>
      <c r="C918" s="5" t="n">
        <v>46206.04672453704</v>
      </c>
      <c r="D918" t="inlineStr">
        <is>
          <t>SELL</t>
        </is>
      </c>
      <c r="E918" t="inlineStr">
        <is>
          <t>No</t>
        </is>
      </c>
      <c r="F918" s="2" t="n">
        <v>0.999</v>
      </c>
      <c r="G918" s="6" t="n">
        <v>31.22</v>
      </c>
      <c r="H918" s="6">
        <f>F918*G918</f>
        <v/>
      </c>
      <c r="I918">
        <f>_xlfn.XLOOKUP(A918,MktTitle,MktCat,"n/a")</f>
        <v/>
      </c>
      <c r="J918" s="3">
        <f>_xlfn.XLOOKUP(A918,MktTitle,MktTotVol,0)</f>
        <v/>
      </c>
      <c r="K918">
        <f>IF(H918&gt;WhaleThreshold,"WHALE","")</f>
        <v/>
      </c>
    </row>
    <row r="919">
      <c r="A919" t="inlineStr">
        <is>
          <t>Will Croatia win the 2026 FIFA World Cup?</t>
        </is>
      </c>
      <c r="B919" s="4" t="n">
        <v>46206</v>
      </c>
      <c r="C919" s="5" t="n">
        <v>46206.04657407408</v>
      </c>
      <c r="D919" t="inlineStr">
        <is>
          <t>BUY</t>
        </is>
      </c>
      <c r="E919" t="inlineStr">
        <is>
          <t>Yes</t>
        </is>
      </c>
      <c r="F919" s="2" t="n">
        <v>0.001</v>
      </c>
      <c r="G919" s="6" t="n">
        <v>1000</v>
      </c>
      <c r="H919" s="6">
        <f>F919*G919</f>
        <v/>
      </c>
      <c r="I919">
        <f>_xlfn.XLOOKUP(A919,MktTitle,MktCat,"n/a")</f>
        <v/>
      </c>
      <c r="J919" s="3">
        <f>_xlfn.XLOOKUP(A919,MktTitle,MktTotVol,0)</f>
        <v/>
      </c>
      <c r="K919">
        <f>IF(H919&gt;WhaleThreshold,"WHALE","")</f>
        <v/>
      </c>
    </row>
    <row r="920">
      <c r="A920" t="inlineStr">
        <is>
          <t>Will Croatia win the 2026 FIFA World Cup?</t>
        </is>
      </c>
      <c r="B920" s="4" t="n">
        <v>46206</v>
      </c>
      <c r="C920" s="5" t="n">
        <v>46206.04644675926</v>
      </c>
      <c r="D920" t="inlineStr">
        <is>
          <t>SELL</t>
        </is>
      </c>
      <c r="E920" t="inlineStr">
        <is>
          <t>No</t>
        </is>
      </c>
      <c r="F920" s="2" t="n">
        <v>0.999</v>
      </c>
      <c r="G920" s="6" t="n">
        <v>20.68</v>
      </c>
      <c r="H920" s="6">
        <f>F920*G920</f>
        <v/>
      </c>
      <c r="I920">
        <f>_xlfn.XLOOKUP(A920,MktTitle,MktCat,"n/a")</f>
        <v/>
      </c>
      <c r="J920" s="3">
        <f>_xlfn.XLOOKUP(A920,MktTitle,MktTotVol,0)</f>
        <v/>
      </c>
      <c r="K920">
        <f>IF(H920&gt;WhaleThreshold,"WHALE","")</f>
        <v/>
      </c>
    </row>
    <row r="921">
      <c r="A921" t="inlineStr">
        <is>
          <t>Will Croatia win the 2026 FIFA World Cup?</t>
        </is>
      </c>
      <c r="B921" s="4" t="n">
        <v>46206</v>
      </c>
      <c r="C921" s="5" t="n">
        <v>46206.04644675926</v>
      </c>
      <c r="D921" t="inlineStr">
        <is>
          <t>SELL</t>
        </is>
      </c>
      <c r="E921" t="inlineStr">
        <is>
          <t>No</t>
        </is>
      </c>
      <c r="F921" s="2" t="n">
        <v>0.999</v>
      </c>
      <c r="G921" s="6" t="n">
        <v>62.48</v>
      </c>
      <c r="H921" s="6">
        <f>F921*G921</f>
        <v/>
      </c>
      <c r="I921">
        <f>_xlfn.XLOOKUP(A921,MktTitle,MktCat,"n/a")</f>
        <v/>
      </c>
      <c r="J921" s="3">
        <f>_xlfn.XLOOKUP(A921,MktTitle,MktTotVol,0)</f>
        <v/>
      </c>
      <c r="K921">
        <f>IF(H921&gt;WhaleThreshold,"WHALE","")</f>
        <v/>
      </c>
    </row>
    <row r="922">
      <c r="A922" t="inlineStr">
        <is>
          <t>Will Croatia win the 2026 FIFA World Cup?</t>
        </is>
      </c>
      <c r="B922" s="4" t="n">
        <v>46206</v>
      </c>
      <c r="C922" s="5" t="n">
        <v>46206.04643518518</v>
      </c>
      <c r="D922" t="inlineStr">
        <is>
          <t>SELL</t>
        </is>
      </c>
      <c r="E922" t="inlineStr">
        <is>
          <t>No</t>
        </is>
      </c>
      <c r="F922" s="2" t="n">
        <v>0.999</v>
      </c>
      <c r="G922" s="6" t="n">
        <v>72.14</v>
      </c>
      <c r="H922" s="6">
        <f>F922*G922</f>
        <v/>
      </c>
      <c r="I922">
        <f>_xlfn.XLOOKUP(A922,MktTitle,MktCat,"n/a")</f>
        <v/>
      </c>
      <c r="J922" s="3">
        <f>_xlfn.XLOOKUP(A922,MktTitle,MktTotVol,0)</f>
        <v/>
      </c>
      <c r="K922">
        <f>IF(H922&gt;WhaleThreshold,"WHALE","")</f>
        <v/>
      </c>
    </row>
    <row r="923">
      <c r="A923" t="inlineStr">
        <is>
          <t>Will Croatia win the 2026 FIFA World Cup?</t>
        </is>
      </c>
      <c r="B923" s="4" t="n">
        <v>46206</v>
      </c>
      <c r="C923" s="5" t="n">
        <v>46206.04609953704</v>
      </c>
      <c r="D923" t="inlineStr">
        <is>
          <t>BUY</t>
        </is>
      </c>
      <c r="E923" t="inlineStr">
        <is>
          <t>Yes</t>
        </is>
      </c>
      <c r="F923" s="2" t="n">
        <v>0.001</v>
      </c>
      <c r="G923" s="6" t="n">
        <v>1000</v>
      </c>
      <c r="H923" s="6">
        <f>F923*G923</f>
        <v/>
      </c>
      <c r="I923">
        <f>_xlfn.XLOOKUP(A923,MktTitle,MktCat,"n/a")</f>
        <v/>
      </c>
      <c r="J923" s="3">
        <f>_xlfn.XLOOKUP(A923,MktTitle,MktTotVol,0)</f>
        <v/>
      </c>
      <c r="K923">
        <f>IF(H923&gt;WhaleThreshold,"WHALE","")</f>
        <v/>
      </c>
    </row>
    <row r="924">
      <c r="A924" t="inlineStr">
        <is>
          <t>Will Croatia win the 2026 FIFA World Cup?</t>
        </is>
      </c>
      <c r="B924" s="4" t="n">
        <v>46206</v>
      </c>
      <c r="C924" s="5" t="n">
        <v>46206.04568287037</v>
      </c>
      <c r="D924" t="inlineStr">
        <is>
          <t>SELL</t>
        </is>
      </c>
      <c r="E924" t="inlineStr">
        <is>
          <t>No</t>
        </is>
      </c>
      <c r="F924" s="2" t="n">
        <v>0.999</v>
      </c>
      <c r="G924" s="6" t="n">
        <v>31.69</v>
      </c>
      <c r="H924" s="6">
        <f>F924*G924</f>
        <v/>
      </c>
      <c r="I924">
        <f>_xlfn.XLOOKUP(A924,MktTitle,MktCat,"n/a")</f>
        <v/>
      </c>
      <c r="J924" s="3">
        <f>_xlfn.XLOOKUP(A924,MktTitle,MktTotVol,0)</f>
        <v/>
      </c>
      <c r="K924">
        <f>IF(H924&gt;WhaleThreshold,"WHALE","")</f>
        <v/>
      </c>
    </row>
    <row r="925">
      <c r="A925" t="inlineStr">
        <is>
          <t>Will Croatia win the 2026 FIFA World Cup?</t>
        </is>
      </c>
      <c r="B925" s="4" t="n">
        <v>46206</v>
      </c>
      <c r="C925" s="5" t="n">
        <v>46206.04543981481</v>
      </c>
      <c r="D925" t="inlineStr">
        <is>
          <t>SELL</t>
        </is>
      </c>
      <c r="E925" t="inlineStr">
        <is>
          <t>No</t>
        </is>
      </c>
      <c r="F925" s="2" t="n">
        <v>0.999</v>
      </c>
      <c r="G925" s="6" t="n">
        <v>6.59</v>
      </c>
      <c r="H925" s="6">
        <f>F925*G925</f>
        <v/>
      </c>
      <c r="I925">
        <f>_xlfn.XLOOKUP(A925,MktTitle,MktCat,"n/a")</f>
        <v/>
      </c>
      <c r="J925" s="3">
        <f>_xlfn.XLOOKUP(A925,MktTitle,MktTotVol,0)</f>
        <v/>
      </c>
      <c r="K925">
        <f>IF(H925&gt;WhaleThreshold,"WHALE","")</f>
        <v/>
      </c>
    </row>
    <row r="926">
      <c r="A926" t="inlineStr">
        <is>
          <t>Will Croatia win the 2026 FIFA World Cup?</t>
        </is>
      </c>
      <c r="B926" s="4" t="n">
        <v>46206</v>
      </c>
      <c r="C926" s="5" t="n">
        <v>46206.04543981481</v>
      </c>
      <c r="D926" t="inlineStr">
        <is>
          <t>SELL</t>
        </is>
      </c>
      <c r="E926" t="inlineStr">
        <is>
          <t>No</t>
        </is>
      </c>
      <c r="F926" s="2" t="n">
        <v>0.999</v>
      </c>
      <c r="G926" s="6" t="n">
        <v>6.08</v>
      </c>
      <c r="H926" s="6">
        <f>F926*G926</f>
        <v/>
      </c>
      <c r="I926">
        <f>_xlfn.XLOOKUP(A926,MktTitle,MktCat,"n/a")</f>
        <v/>
      </c>
      <c r="J926" s="3">
        <f>_xlfn.XLOOKUP(A926,MktTitle,MktTotVol,0)</f>
        <v/>
      </c>
      <c r="K926">
        <f>IF(H926&gt;WhaleThreshold,"WHALE","")</f>
        <v/>
      </c>
    </row>
    <row r="927">
      <c r="A927" t="inlineStr">
        <is>
          <t>Will Croatia win the 2026 FIFA World Cup?</t>
        </is>
      </c>
      <c r="B927" s="4" t="n">
        <v>46206</v>
      </c>
      <c r="C927" s="5" t="n">
        <v>46206.04543981481</v>
      </c>
      <c r="D927" t="inlineStr">
        <is>
          <t>SELL</t>
        </is>
      </c>
      <c r="E927" t="inlineStr">
        <is>
          <t>No</t>
        </is>
      </c>
      <c r="F927" s="2" t="n">
        <v>0.999</v>
      </c>
      <c r="G927" s="6" t="n">
        <v>5.29</v>
      </c>
      <c r="H927" s="6">
        <f>F927*G927</f>
        <v/>
      </c>
      <c r="I927">
        <f>_xlfn.XLOOKUP(A927,MktTitle,MktCat,"n/a")</f>
        <v/>
      </c>
      <c r="J927" s="3">
        <f>_xlfn.XLOOKUP(A927,MktTitle,MktTotVol,0)</f>
        <v/>
      </c>
      <c r="K927">
        <f>IF(H927&gt;WhaleThreshold,"WHALE","")</f>
        <v/>
      </c>
    </row>
    <row r="928">
      <c r="A928" t="inlineStr">
        <is>
          <t>Will Croatia win the 2026 FIFA World Cup?</t>
        </is>
      </c>
      <c r="B928" s="4" t="n">
        <v>46206</v>
      </c>
      <c r="C928" s="5" t="n">
        <v>46206.04543981481</v>
      </c>
      <c r="D928" t="inlineStr">
        <is>
          <t>SELL</t>
        </is>
      </c>
      <c r="E928" t="inlineStr">
        <is>
          <t>No</t>
        </is>
      </c>
      <c r="F928" s="2" t="n">
        <v>0.999</v>
      </c>
      <c r="G928" s="6" t="n">
        <v>9.52</v>
      </c>
      <c r="H928" s="6">
        <f>F928*G928</f>
        <v/>
      </c>
      <c r="I928">
        <f>_xlfn.XLOOKUP(A928,MktTitle,MktCat,"n/a")</f>
        <v/>
      </c>
      <c r="J928" s="3">
        <f>_xlfn.XLOOKUP(A928,MktTitle,MktTotVol,0)</f>
        <v/>
      </c>
      <c r="K928">
        <f>IF(H928&gt;WhaleThreshold,"WHALE","")</f>
        <v/>
      </c>
    </row>
    <row r="929">
      <c r="A929" t="inlineStr">
        <is>
          <t>Will Croatia win the 2026 FIFA World Cup?</t>
        </is>
      </c>
      <c r="B929" s="4" t="n">
        <v>46206</v>
      </c>
      <c r="C929" s="5" t="n">
        <v>46206.04543981481</v>
      </c>
      <c r="D929" t="inlineStr">
        <is>
          <t>BUY</t>
        </is>
      </c>
      <c r="E929" t="inlineStr">
        <is>
          <t>Yes</t>
        </is>
      </c>
      <c r="F929" s="2" t="n">
        <v>0.001</v>
      </c>
      <c r="G929" s="6" t="n">
        <v>2000</v>
      </c>
      <c r="H929" s="6">
        <f>F929*G929</f>
        <v/>
      </c>
      <c r="I929">
        <f>_xlfn.XLOOKUP(A929,MktTitle,MktCat,"n/a")</f>
        <v/>
      </c>
      <c r="J929" s="3">
        <f>_xlfn.XLOOKUP(A929,MktTitle,MktTotVol,0)</f>
        <v/>
      </c>
      <c r="K929">
        <f>IF(H929&gt;WhaleThreshold,"WHALE","")</f>
        <v/>
      </c>
    </row>
    <row r="930">
      <c r="A930" t="inlineStr">
        <is>
          <t>Will Croatia win the 2026 FIFA World Cup?</t>
        </is>
      </c>
      <c r="B930" s="4" t="n">
        <v>46206</v>
      </c>
      <c r="C930" s="5" t="n">
        <v>46206.04539351852</v>
      </c>
      <c r="D930" t="inlineStr">
        <is>
          <t>SELL</t>
        </is>
      </c>
      <c r="E930" t="inlineStr">
        <is>
          <t>No</t>
        </is>
      </c>
      <c r="F930" s="2" t="n">
        <v>0.999</v>
      </c>
      <c r="G930" s="6" t="n">
        <v>32.07</v>
      </c>
      <c r="H930" s="6">
        <f>F930*G930</f>
        <v/>
      </c>
      <c r="I930">
        <f>_xlfn.XLOOKUP(A930,MktTitle,MktCat,"n/a")</f>
        <v/>
      </c>
      <c r="J930" s="3">
        <f>_xlfn.XLOOKUP(A930,MktTitle,MktTotVol,0)</f>
        <v/>
      </c>
      <c r="K930">
        <f>IF(H930&gt;WhaleThreshold,"WHALE","")</f>
        <v/>
      </c>
    </row>
    <row r="931">
      <c r="A931" t="inlineStr">
        <is>
          <t>Will Croatia win the 2026 FIFA World Cup?</t>
        </is>
      </c>
      <c r="B931" s="4" t="n">
        <v>46206</v>
      </c>
      <c r="C931" s="5" t="n">
        <v>46206.04539351852</v>
      </c>
      <c r="D931" t="inlineStr">
        <is>
          <t>BUY</t>
        </is>
      </c>
      <c r="E931" t="inlineStr">
        <is>
          <t>Yes</t>
        </is>
      </c>
      <c r="F931" s="2" t="n">
        <v>0.001</v>
      </c>
      <c r="G931" s="6" t="n">
        <v>1000</v>
      </c>
      <c r="H931" s="6">
        <f>F931*G931</f>
        <v/>
      </c>
      <c r="I931">
        <f>_xlfn.XLOOKUP(A931,MktTitle,MktCat,"n/a")</f>
        <v/>
      </c>
      <c r="J931" s="3">
        <f>_xlfn.XLOOKUP(A931,MktTitle,MktTotVol,0)</f>
        <v/>
      </c>
      <c r="K931">
        <f>IF(H931&gt;WhaleThreshold,"WHALE","")</f>
        <v/>
      </c>
    </row>
    <row r="932">
      <c r="A932" t="inlineStr">
        <is>
          <t>Will Croatia win the 2026 FIFA World Cup?</t>
        </is>
      </c>
      <c r="B932" s="4" t="n">
        <v>46206</v>
      </c>
      <c r="C932" s="5" t="n">
        <v>46206.04537037037</v>
      </c>
      <c r="D932" t="inlineStr">
        <is>
          <t>SELL</t>
        </is>
      </c>
      <c r="E932" t="inlineStr">
        <is>
          <t>No</t>
        </is>
      </c>
      <c r="F932" s="2" t="n">
        <v>0.999</v>
      </c>
      <c r="G932" s="6" t="n">
        <v>20.83</v>
      </c>
      <c r="H932" s="6">
        <f>F932*G932</f>
        <v/>
      </c>
      <c r="I932">
        <f>_xlfn.XLOOKUP(A932,MktTitle,MktCat,"n/a")</f>
        <v/>
      </c>
      <c r="J932" s="3">
        <f>_xlfn.XLOOKUP(A932,MktTitle,MktTotVol,0)</f>
        <v/>
      </c>
      <c r="K932">
        <f>IF(H932&gt;WhaleThreshold,"WHALE","")</f>
        <v/>
      </c>
    </row>
    <row r="933">
      <c r="A933" t="inlineStr">
        <is>
          <t>Will Croatia win the 2026 FIFA World Cup?</t>
        </is>
      </c>
      <c r="B933" s="4" t="n">
        <v>46206</v>
      </c>
      <c r="C933" s="5" t="n">
        <v>46206.04537037037</v>
      </c>
      <c r="D933" t="inlineStr">
        <is>
          <t>SELL</t>
        </is>
      </c>
      <c r="E933" t="inlineStr">
        <is>
          <t>No</t>
        </is>
      </c>
      <c r="F933" s="2" t="n">
        <v>0.999</v>
      </c>
      <c r="G933" s="6" t="n">
        <v>37.54</v>
      </c>
      <c r="H933" s="6">
        <f>F933*G933</f>
        <v/>
      </c>
      <c r="I933">
        <f>_xlfn.XLOOKUP(A933,MktTitle,MktCat,"n/a")</f>
        <v/>
      </c>
      <c r="J933" s="3">
        <f>_xlfn.XLOOKUP(A933,MktTitle,MktTotVol,0)</f>
        <v/>
      </c>
      <c r="K933">
        <f>IF(H933&gt;WhaleThreshold,"WHALE","")</f>
        <v/>
      </c>
    </row>
    <row r="934">
      <c r="A934" t="inlineStr">
        <is>
          <t>Will Croatia win the 2026 FIFA World Cup?</t>
        </is>
      </c>
      <c r="B934" s="4" t="n">
        <v>46206</v>
      </c>
      <c r="C934" s="5" t="n">
        <v>46206.0453587963</v>
      </c>
      <c r="D934" t="inlineStr">
        <is>
          <t>SELL</t>
        </is>
      </c>
      <c r="E934" t="inlineStr">
        <is>
          <t>No</t>
        </is>
      </c>
      <c r="F934" s="2" t="n">
        <v>0.998</v>
      </c>
      <c r="G934" s="6" t="n">
        <v>23.86</v>
      </c>
      <c r="H934" s="6">
        <f>F934*G934</f>
        <v/>
      </c>
      <c r="I934">
        <f>_xlfn.XLOOKUP(A934,MktTitle,MktCat,"n/a")</f>
        <v/>
      </c>
      <c r="J934" s="3">
        <f>_xlfn.XLOOKUP(A934,MktTitle,MktTotVol,0)</f>
        <v/>
      </c>
      <c r="K934">
        <f>IF(H934&gt;WhaleThreshold,"WHALE","")</f>
        <v/>
      </c>
    </row>
    <row r="935">
      <c r="A935" t="inlineStr">
        <is>
          <t>Will Croatia win the 2026 FIFA World Cup?</t>
        </is>
      </c>
      <c r="B935" s="4" t="n">
        <v>46206</v>
      </c>
      <c r="C935" s="5" t="n">
        <v>46206.0453587963</v>
      </c>
      <c r="D935" t="inlineStr">
        <is>
          <t>BUY</t>
        </is>
      </c>
      <c r="E935" t="inlineStr">
        <is>
          <t>Yes</t>
        </is>
      </c>
      <c r="F935" s="2" t="n">
        <v>0.002</v>
      </c>
      <c r="G935" s="6" t="n">
        <v>500</v>
      </c>
      <c r="H935" s="6">
        <f>F935*G935</f>
        <v/>
      </c>
      <c r="I935">
        <f>_xlfn.XLOOKUP(A935,MktTitle,MktCat,"n/a")</f>
        <v/>
      </c>
      <c r="J935" s="3">
        <f>_xlfn.XLOOKUP(A935,MktTitle,MktTotVol,0)</f>
        <v/>
      </c>
      <c r="K935">
        <f>IF(H935&gt;WhaleThreshold,"WHALE","")</f>
        <v/>
      </c>
    </row>
    <row r="936">
      <c r="A936" t="inlineStr">
        <is>
          <t>Will Croatia win the 2026 FIFA World Cup?</t>
        </is>
      </c>
      <c r="B936" s="4" t="n">
        <v>46206</v>
      </c>
      <c r="C936" s="5" t="n">
        <v>46206.0453587963</v>
      </c>
      <c r="D936" t="inlineStr">
        <is>
          <t>SELL</t>
        </is>
      </c>
      <c r="E936" t="inlineStr">
        <is>
          <t>No</t>
        </is>
      </c>
      <c r="F936" s="2" t="n">
        <v>0.999</v>
      </c>
      <c r="G936" s="6" t="n">
        <v>23.99</v>
      </c>
      <c r="H936" s="6">
        <f>F936*G936</f>
        <v/>
      </c>
      <c r="I936">
        <f>_xlfn.XLOOKUP(A936,MktTitle,MktCat,"n/a")</f>
        <v/>
      </c>
      <c r="J936" s="3">
        <f>_xlfn.XLOOKUP(A936,MktTitle,MktTotVol,0)</f>
        <v/>
      </c>
      <c r="K936">
        <f>IF(H936&gt;WhaleThreshold,"WHALE","")</f>
        <v/>
      </c>
    </row>
    <row r="937">
      <c r="A937" t="inlineStr">
        <is>
          <t>Will Croatia win the 2026 FIFA World Cup?</t>
        </is>
      </c>
      <c r="B937" s="4" t="n">
        <v>46206</v>
      </c>
      <c r="C937" s="5" t="n">
        <v>46206.0453587963</v>
      </c>
      <c r="D937" t="inlineStr">
        <is>
          <t>SELL</t>
        </is>
      </c>
      <c r="E937" t="inlineStr">
        <is>
          <t>No</t>
        </is>
      </c>
      <c r="F937" s="2" t="n">
        <v>0.999</v>
      </c>
      <c r="G937" s="6" t="n">
        <v>25.99</v>
      </c>
      <c r="H937" s="6">
        <f>F937*G937</f>
        <v/>
      </c>
      <c r="I937">
        <f>_xlfn.XLOOKUP(A937,MktTitle,MktCat,"n/a")</f>
        <v/>
      </c>
      <c r="J937" s="3">
        <f>_xlfn.XLOOKUP(A937,MktTitle,MktTotVol,0)</f>
        <v/>
      </c>
      <c r="K937">
        <f>IF(H937&gt;WhaleThreshold,"WHALE","")</f>
        <v/>
      </c>
    </row>
    <row r="938">
      <c r="A938" t="inlineStr">
        <is>
          <t>Will Croatia win the 2026 FIFA World Cup?</t>
        </is>
      </c>
      <c r="B938" s="4" t="n">
        <v>46206</v>
      </c>
      <c r="C938" s="5" t="n">
        <v>46206.0453587963</v>
      </c>
      <c r="D938" t="inlineStr">
        <is>
          <t>BUY</t>
        </is>
      </c>
      <c r="E938" t="inlineStr">
        <is>
          <t>No</t>
        </is>
      </c>
      <c r="F938" s="2" t="n">
        <v>0.999</v>
      </c>
      <c r="G938" s="6" t="n">
        <v>2.342</v>
      </c>
      <c r="H938" s="6">
        <f>F938*G938</f>
        <v/>
      </c>
      <c r="I938">
        <f>_xlfn.XLOOKUP(A938,MktTitle,MktCat,"n/a")</f>
        <v/>
      </c>
      <c r="J938" s="3">
        <f>_xlfn.XLOOKUP(A938,MktTitle,MktTotVol,0)</f>
        <v/>
      </c>
      <c r="K938">
        <f>IF(H938&gt;WhaleThreshold,"WHALE","")</f>
        <v/>
      </c>
    </row>
    <row r="939">
      <c r="A939" t="inlineStr">
        <is>
          <t>Will Croatia win the 2026 FIFA World Cup?</t>
        </is>
      </c>
      <c r="B939" s="4" t="n">
        <v>46206</v>
      </c>
      <c r="C939" s="5" t="n">
        <v>46206.0453587963</v>
      </c>
      <c r="D939" t="inlineStr">
        <is>
          <t>BUY</t>
        </is>
      </c>
      <c r="E939" t="inlineStr">
        <is>
          <t>No</t>
        </is>
      </c>
      <c r="F939" s="2" t="n">
        <v>0.999</v>
      </c>
      <c r="G939" s="6" t="n">
        <v>98454.39</v>
      </c>
      <c r="H939" s="6">
        <f>F939*G939</f>
        <v/>
      </c>
      <c r="I939">
        <f>_xlfn.XLOOKUP(A939,MktTitle,MktCat,"n/a")</f>
        <v/>
      </c>
      <c r="J939" s="3">
        <f>_xlfn.XLOOKUP(A939,MktTitle,MktTotVol,0)</f>
        <v/>
      </c>
      <c r="K939">
        <f>IF(H939&gt;WhaleThreshold,"WHALE","")</f>
        <v/>
      </c>
    </row>
    <row r="940">
      <c r="A940" t="inlineStr">
        <is>
          <t>Will Croatia win the 2026 FIFA World Cup?</t>
        </is>
      </c>
      <c r="B940" s="4" t="n">
        <v>46206</v>
      </c>
      <c r="C940" s="5" t="n">
        <v>46206.0453587963</v>
      </c>
      <c r="D940" t="inlineStr">
        <is>
          <t>BUY</t>
        </is>
      </c>
      <c r="E940" t="inlineStr">
        <is>
          <t>Yes</t>
        </is>
      </c>
      <c r="F940" s="2" t="n">
        <v>0.002</v>
      </c>
      <c r="G940" s="6" t="n">
        <v>2000</v>
      </c>
      <c r="H940" s="6">
        <f>F940*G940</f>
        <v/>
      </c>
      <c r="I940">
        <f>_xlfn.XLOOKUP(A940,MktTitle,MktCat,"n/a")</f>
        <v/>
      </c>
      <c r="J940" s="3">
        <f>_xlfn.XLOOKUP(A940,MktTitle,MktTotVol,0)</f>
        <v/>
      </c>
      <c r="K940">
        <f>IF(H940&gt;WhaleThreshold,"WHALE","")</f>
        <v/>
      </c>
    </row>
    <row r="941">
      <c r="A941" t="inlineStr">
        <is>
          <t>Will Croatia win the 2026 FIFA World Cup?</t>
        </is>
      </c>
      <c r="B941" s="4" t="n">
        <v>46206</v>
      </c>
      <c r="C941" s="5" t="n">
        <v>46206.04532407408</v>
      </c>
      <c r="D941" t="inlineStr">
        <is>
          <t>BUY</t>
        </is>
      </c>
      <c r="E941" t="inlineStr">
        <is>
          <t>No</t>
        </is>
      </c>
      <c r="F941" s="2" t="n">
        <v>0.998</v>
      </c>
      <c r="G941" s="6" t="n">
        <v>500</v>
      </c>
      <c r="H941" s="6">
        <f>F941*G941</f>
        <v/>
      </c>
      <c r="I941">
        <f>_xlfn.XLOOKUP(A941,MktTitle,MktCat,"n/a")</f>
        <v/>
      </c>
      <c r="J941" s="3">
        <f>_xlfn.XLOOKUP(A941,MktTitle,MktTotVol,0)</f>
        <v/>
      </c>
      <c r="K941">
        <f>IF(H941&gt;WhaleThreshold,"WHALE","")</f>
        <v/>
      </c>
    </row>
    <row r="942">
      <c r="A942" t="inlineStr">
        <is>
          <t>Will Croatia win the 2026 FIFA World Cup?</t>
        </is>
      </c>
      <c r="B942" s="4" t="n">
        <v>46206</v>
      </c>
      <c r="C942" s="5" t="n">
        <v>46206.04532407408</v>
      </c>
      <c r="D942" t="inlineStr">
        <is>
          <t>SELL</t>
        </is>
      </c>
      <c r="E942" t="inlineStr">
        <is>
          <t>No</t>
        </is>
      </c>
      <c r="F942" s="2" t="n">
        <v>0.997</v>
      </c>
      <c r="G942" s="6" t="n">
        <v>20.48</v>
      </c>
      <c r="H942" s="6">
        <f>F942*G942</f>
        <v/>
      </c>
      <c r="I942">
        <f>_xlfn.XLOOKUP(A942,MktTitle,MktCat,"n/a")</f>
        <v/>
      </c>
      <c r="J942" s="3">
        <f>_xlfn.XLOOKUP(A942,MktTitle,MktTotVol,0)</f>
        <v/>
      </c>
      <c r="K942">
        <f>IF(H942&gt;WhaleThreshold,"WHALE","")</f>
        <v/>
      </c>
    </row>
    <row r="943">
      <c r="A943" t="inlineStr">
        <is>
          <t>Will Croatia win the 2026 FIFA World Cup?</t>
        </is>
      </c>
      <c r="B943" s="4" t="n">
        <v>46206</v>
      </c>
      <c r="C943" s="5" t="n">
        <v>46206.04532407408</v>
      </c>
      <c r="D943" t="inlineStr">
        <is>
          <t>BUY</t>
        </is>
      </c>
      <c r="E943" t="inlineStr">
        <is>
          <t>Yes</t>
        </is>
      </c>
      <c r="F943" s="2" t="n">
        <v>0.005</v>
      </c>
      <c r="G943" s="6" t="n">
        <v>18200</v>
      </c>
      <c r="H943" s="6">
        <f>F943*G943</f>
        <v/>
      </c>
      <c r="I943">
        <f>_xlfn.XLOOKUP(A943,MktTitle,MktCat,"n/a")</f>
        <v/>
      </c>
      <c r="J943" s="3">
        <f>_xlfn.XLOOKUP(A943,MktTitle,MktTotVol,0)</f>
        <v/>
      </c>
      <c r="K943">
        <f>IF(H943&gt;WhaleThreshold,"WHALE","")</f>
        <v/>
      </c>
    </row>
    <row r="944">
      <c r="A944" t="inlineStr">
        <is>
          <t>Will Croatia win the 2026 FIFA World Cup?</t>
        </is>
      </c>
      <c r="B944" s="4" t="n">
        <v>46206</v>
      </c>
      <c r="C944" s="5" t="n">
        <v>46206.04532407408</v>
      </c>
      <c r="D944" t="inlineStr">
        <is>
          <t>SELL</t>
        </is>
      </c>
      <c r="E944" t="inlineStr">
        <is>
          <t>Yes</t>
        </is>
      </c>
      <c r="F944" s="2" t="n">
        <v>0.0011</v>
      </c>
      <c r="G944" s="6" t="n">
        <v>930700.1</v>
      </c>
      <c r="H944" s="6">
        <f>F944*G944</f>
        <v/>
      </c>
      <c r="I944">
        <f>_xlfn.XLOOKUP(A944,MktTitle,MktCat,"n/a")</f>
        <v/>
      </c>
      <c r="J944" s="3">
        <f>_xlfn.XLOOKUP(A944,MktTitle,MktTotVol,0)</f>
        <v/>
      </c>
      <c r="K944">
        <f>IF(H944&gt;WhaleThreshold,"WHALE","")</f>
        <v/>
      </c>
    </row>
    <row r="945">
      <c r="A945" t="inlineStr">
        <is>
          <t>Will Croatia win the 2026 FIFA World Cup?</t>
        </is>
      </c>
      <c r="B945" s="4" t="n">
        <v>46206</v>
      </c>
      <c r="C945" s="5" t="n">
        <v>46206.04530092593</v>
      </c>
      <c r="D945" t="inlineStr">
        <is>
          <t>SELL</t>
        </is>
      </c>
      <c r="E945" t="inlineStr">
        <is>
          <t>Yes</t>
        </is>
      </c>
      <c r="F945" s="2" t="n">
        <v>0.002</v>
      </c>
      <c r="G945" s="6" t="n">
        <v>40000</v>
      </c>
      <c r="H945" s="6">
        <f>F945*G945</f>
        <v/>
      </c>
      <c r="I945">
        <f>_xlfn.XLOOKUP(A945,MktTitle,MktCat,"n/a")</f>
        <v/>
      </c>
      <c r="J945" s="3">
        <f>_xlfn.XLOOKUP(A945,MktTitle,MktTotVol,0)</f>
        <v/>
      </c>
      <c r="K945">
        <f>IF(H945&gt;WhaleThreshold,"WHALE","")</f>
        <v/>
      </c>
    </row>
    <row r="946">
      <c r="A946" t="inlineStr">
        <is>
          <t>Will Croatia win the 2026 FIFA World Cup?</t>
        </is>
      </c>
      <c r="B946" s="4" t="n">
        <v>46206</v>
      </c>
      <c r="C946" s="5" t="n">
        <v>46206.04519675926</v>
      </c>
      <c r="D946" t="inlineStr">
        <is>
          <t>SELL</t>
        </is>
      </c>
      <c r="E946" t="inlineStr">
        <is>
          <t>Yes</t>
        </is>
      </c>
      <c r="F946" s="2" t="n">
        <v>0.002</v>
      </c>
      <c r="G946" s="6" t="n">
        <v>910</v>
      </c>
      <c r="H946" s="6">
        <f>F946*G946</f>
        <v/>
      </c>
      <c r="I946">
        <f>_xlfn.XLOOKUP(A946,MktTitle,MktCat,"n/a")</f>
        <v/>
      </c>
      <c r="J946" s="3">
        <f>_xlfn.XLOOKUP(A946,MktTitle,MktTotVol,0)</f>
        <v/>
      </c>
      <c r="K946">
        <f>IF(H946&gt;WhaleThreshold,"WHALE","")</f>
        <v/>
      </c>
    </row>
    <row r="947">
      <c r="A947" t="inlineStr">
        <is>
          <t>Will Croatia win the 2026 FIFA World Cup?</t>
        </is>
      </c>
      <c r="B947" s="4" t="n">
        <v>46206</v>
      </c>
      <c r="C947" s="5" t="n">
        <v>46206.04515046296</v>
      </c>
      <c r="D947" t="inlineStr">
        <is>
          <t>SELL</t>
        </is>
      </c>
      <c r="E947" t="inlineStr">
        <is>
          <t>Yes</t>
        </is>
      </c>
      <c r="F947" s="2" t="n">
        <v>0.002</v>
      </c>
      <c r="G947" s="6" t="n">
        <v>682.64</v>
      </c>
      <c r="H947" s="6">
        <f>F947*G947</f>
        <v/>
      </c>
      <c r="I947">
        <f>_xlfn.XLOOKUP(A947,MktTitle,MktCat,"n/a")</f>
        <v/>
      </c>
      <c r="J947" s="3">
        <f>_xlfn.XLOOKUP(A947,MktTitle,MktTotVol,0)</f>
        <v/>
      </c>
      <c r="K947">
        <f>IF(H947&gt;WhaleThreshold,"WHALE","")</f>
        <v/>
      </c>
    </row>
    <row r="948">
      <c r="A948" t="inlineStr">
        <is>
          <t>Will Croatia win the 2026 FIFA World Cup?</t>
        </is>
      </c>
      <c r="B948" s="4" t="n">
        <v>46206</v>
      </c>
      <c r="C948" s="5" t="n">
        <v>46206.04515046296</v>
      </c>
      <c r="D948" t="inlineStr">
        <is>
          <t>BUY</t>
        </is>
      </c>
      <c r="E948" t="inlineStr">
        <is>
          <t>Yes</t>
        </is>
      </c>
      <c r="F948" s="2" t="n">
        <v>0.005</v>
      </c>
      <c r="G948" s="6" t="n">
        <v>400</v>
      </c>
      <c r="H948" s="6">
        <f>F948*G948</f>
        <v/>
      </c>
      <c r="I948">
        <f>_xlfn.XLOOKUP(A948,MktTitle,MktCat,"n/a")</f>
        <v/>
      </c>
      <c r="J948" s="3">
        <f>_xlfn.XLOOKUP(A948,MktTitle,MktTotVol,0)</f>
        <v/>
      </c>
      <c r="K948">
        <f>IF(H948&gt;WhaleThreshold,"WHALE","")</f>
        <v/>
      </c>
    </row>
    <row r="949">
      <c r="A949" t="inlineStr">
        <is>
          <t>Will Croatia win the 2026 FIFA World Cup?</t>
        </is>
      </c>
      <c r="B949" s="4" t="n">
        <v>46206</v>
      </c>
      <c r="C949" s="5" t="n">
        <v>46206.04512731481</v>
      </c>
      <c r="D949" t="inlineStr">
        <is>
          <t>SELL</t>
        </is>
      </c>
      <c r="E949" t="inlineStr">
        <is>
          <t>Yes</t>
        </is>
      </c>
      <c r="F949" s="2" t="n">
        <v>0.002</v>
      </c>
      <c r="G949" s="6" t="n">
        <v>250</v>
      </c>
      <c r="H949" s="6">
        <f>F949*G949</f>
        <v/>
      </c>
      <c r="I949">
        <f>_xlfn.XLOOKUP(A949,MktTitle,MktCat,"n/a")</f>
        <v/>
      </c>
      <c r="J949" s="3">
        <f>_xlfn.XLOOKUP(A949,MktTitle,MktTotVol,0)</f>
        <v/>
      </c>
      <c r="K949">
        <f>IF(H949&gt;WhaleThreshold,"WHALE","")</f>
        <v/>
      </c>
    </row>
    <row r="950">
      <c r="A950" t="inlineStr">
        <is>
          <t>Will Croatia win the 2026 FIFA World Cup?</t>
        </is>
      </c>
      <c r="B950" s="4" t="n">
        <v>46206</v>
      </c>
      <c r="C950" s="5" t="n">
        <v>46206.0450462963</v>
      </c>
      <c r="D950" t="inlineStr">
        <is>
          <t>SELL</t>
        </is>
      </c>
      <c r="E950" t="inlineStr">
        <is>
          <t>Yes</t>
        </is>
      </c>
      <c r="F950" s="2" t="n">
        <v>0.004</v>
      </c>
      <c r="G950" s="6" t="n">
        <v>46508.22</v>
      </c>
      <c r="H950" s="6">
        <f>F950*G950</f>
        <v/>
      </c>
      <c r="I950">
        <f>_xlfn.XLOOKUP(A950,MktTitle,MktCat,"n/a")</f>
        <v/>
      </c>
      <c r="J950" s="3">
        <f>_xlfn.XLOOKUP(A950,MktTitle,MktTotVol,0)</f>
        <v/>
      </c>
      <c r="K950">
        <f>IF(H950&gt;WhaleThreshold,"WHALE","")</f>
        <v/>
      </c>
    </row>
    <row r="951">
      <c r="A951" t="inlineStr">
        <is>
          <t>Will Croatia win the 2026 FIFA World Cup?</t>
        </is>
      </c>
      <c r="B951" s="4" t="n">
        <v>46206</v>
      </c>
      <c r="C951" s="5" t="n">
        <v>46206.04498842593</v>
      </c>
      <c r="D951" t="inlineStr">
        <is>
          <t>BUY</t>
        </is>
      </c>
      <c r="E951" t="inlineStr">
        <is>
          <t>No</t>
        </is>
      </c>
      <c r="F951" s="2" t="n">
        <v>0.996</v>
      </c>
      <c r="G951" s="6" t="n">
        <v>5</v>
      </c>
      <c r="H951" s="6">
        <f>F951*G951</f>
        <v/>
      </c>
      <c r="I951">
        <f>_xlfn.XLOOKUP(A951,MktTitle,MktCat,"n/a")</f>
        <v/>
      </c>
      <c r="J951" s="3">
        <f>_xlfn.XLOOKUP(A951,MktTitle,MktTotVol,0)</f>
        <v/>
      </c>
      <c r="K951">
        <f>IF(H951&gt;WhaleThreshold,"WHALE","")</f>
        <v/>
      </c>
    </row>
    <row r="952">
      <c r="A952" t="inlineStr">
        <is>
          <t>Will Croatia win the 2026 FIFA World Cup?</t>
        </is>
      </c>
      <c r="B952" s="4" t="n">
        <v>46206</v>
      </c>
      <c r="C952" s="5" t="n">
        <v>46206.04497685185</v>
      </c>
      <c r="D952" t="inlineStr">
        <is>
          <t>BUY</t>
        </is>
      </c>
      <c r="E952" t="inlineStr">
        <is>
          <t>Yes</t>
        </is>
      </c>
      <c r="F952" s="2" t="n">
        <v>0.004</v>
      </c>
      <c r="G952" s="6" t="n">
        <v>6214.68</v>
      </c>
      <c r="H952" s="6">
        <f>F952*G952</f>
        <v/>
      </c>
      <c r="I952">
        <f>_xlfn.XLOOKUP(A952,MktTitle,MktCat,"n/a")</f>
        <v/>
      </c>
      <c r="J952" s="3">
        <f>_xlfn.XLOOKUP(A952,MktTitle,MktTotVol,0)</f>
        <v/>
      </c>
      <c r="K952">
        <f>IF(H952&gt;WhaleThreshold,"WHALE","")</f>
        <v/>
      </c>
    </row>
    <row r="953">
      <c r="A953" t="inlineStr">
        <is>
          <t>Will Croatia win the 2026 FIFA World Cup?</t>
        </is>
      </c>
      <c r="B953" s="4" t="n">
        <v>46206</v>
      </c>
      <c r="C953" s="5" t="n">
        <v>46206.04495370371</v>
      </c>
      <c r="D953" t="inlineStr">
        <is>
          <t>BUY</t>
        </is>
      </c>
      <c r="E953" t="inlineStr">
        <is>
          <t>Yes</t>
        </is>
      </c>
      <c r="F953" s="2" t="n">
        <v>0.004</v>
      </c>
      <c r="G953" s="6" t="n">
        <v>14250</v>
      </c>
      <c r="H953" s="6">
        <f>F953*G953</f>
        <v/>
      </c>
      <c r="I953">
        <f>_xlfn.XLOOKUP(A953,MktTitle,MktCat,"n/a")</f>
        <v/>
      </c>
      <c r="J953" s="3">
        <f>_xlfn.XLOOKUP(A953,MktTitle,MktTotVol,0)</f>
        <v/>
      </c>
      <c r="K953">
        <f>IF(H953&gt;WhaleThreshold,"WHALE","")</f>
        <v/>
      </c>
    </row>
    <row r="954">
      <c r="A954" t="inlineStr">
        <is>
          <t>Will Croatia win the 2026 FIFA World Cup?</t>
        </is>
      </c>
      <c r="B954" s="4" t="n">
        <v>46206</v>
      </c>
      <c r="C954" s="5" t="n">
        <v>46206.04488425926</v>
      </c>
      <c r="D954" t="inlineStr">
        <is>
          <t>SELL</t>
        </is>
      </c>
      <c r="E954" t="inlineStr">
        <is>
          <t>Yes</t>
        </is>
      </c>
      <c r="F954" s="2" t="n">
        <v>0.004</v>
      </c>
      <c r="G954" s="6" t="n">
        <v>163.22</v>
      </c>
      <c r="H954" s="6">
        <f>F954*G954</f>
        <v/>
      </c>
      <c r="I954">
        <f>_xlfn.XLOOKUP(A954,MktTitle,MktCat,"n/a")</f>
        <v/>
      </c>
      <c r="J954" s="3">
        <f>_xlfn.XLOOKUP(A954,MktTitle,MktTotVol,0)</f>
        <v/>
      </c>
      <c r="K954">
        <f>IF(H954&gt;WhaleThreshold,"WHALE","")</f>
        <v/>
      </c>
    </row>
    <row r="955">
      <c r="A955" t="inlineStr">
        <is>
          <t>Will Croatia win the 2026 FIFA World Cup?</t>
        </is>
      </c>
      <c r="B955" s="4" t="n">
        <v>46206</v>
      </c>
      <c r="C955" s="5" t="n">
        <v>46206.04484953704</v>
      </c>
      <c r="D955" t="inlineStr">
        <is>
          <t>SELL</t>
        </is>
      </c>
      <c r="E955" t="inlineStr">
        <is>
          <t>Yes</t>
        </is>
      </c>
      <c r="F955" s="2" t="n">
        <v>0.002</v>
      </c>
      <c r="G955" s="6" t="n">
        <v>2500</v>
      </c>
      <c r="H955" s="6">
        <f>F955*G955</f>
        <v/>
      </c>
      <c r="I955">
        <f>_xlfn.XLOOKUP(A955,MktTitle,MktCat,"n/a")</f>
        <v/>
      </c>
      <c r="J955" s="3">
        <f>_xlfn.XLOOKUP(A955,MktTitle,MktTotVol,0)</f>
        <v/>
      </c>
      <c r="K955">
        <f>IF(H955&gt;WhaleThreshold,"WHALE","")</f>
        <v/>
      </c>
    </row>
    <row r="956">
      <c r="A956" t="inlineStr">
        <is>
          <t>Will Croatia win the 2026 FIFA World Cup?</t>
        </is>
      </c>
      <c r="B956" s="4" t="n">
        <v>46206</v>
      </c>
      <c r="C956" s="5" t="n">
        <v>46206.04483796296</v>
      </c>
      <c r="D956" t="inlineStr">
        <is>
          <t>SELL</t>
        </is>
      </c>
      <c r="E956" t="inlineStr">
        <is>
          <t>Yes</t>
        </is>
      </c>
      <c r="F956" s="2" t="n">
        <v>0.004</v>
      </c>
      <c r="G956" s="6" t="n">
        <v>48.74</v>
      </c>
      <c r="H956" s="6">
        <f>F956*G956</f>
        <v/>
      </c>
      <c r="I956">
        <f>_xlfn.XLOOKUP(A956,MktTitle,MktCat,"n/a")</f>
        <v/>
      </c>
      <c r="J956" s="3">
        <f>_xlfn.XLOOKUP(A956,MktTitle,MktTotVol,0)</f>
        <v/>
      </c>
      <c r="K956">
        <f>IF(H956&gt;WhaleThreshold,"WHALE","")</f>
        <v/>
      </c>
    </row>
    <row r="957">
      <c r="A957" t="inlineStr">
        <is>
          <t>Will Croatia win the 2026 FIFA World Cup?</t>
        </is>
      </c>
      <c r="B957" s="4" t="n">
        <v>46206</v>
      </c>
      <c r="C957" s="5" t="n">
        <v>46206.04483796296</v>
      </c>
      <c r="D957" t="inlineStr">
        <is>
          <t>BUY</t>
        </is>
      </c>
      <c r="E957" t="inlineStr">
        <is>
          <t>Yes</t>
        </is>
      </c>
      <c r="F957" s="2" t="n">
        <v>0.005</v>
      </c>
      <c r="G957" s="6" t="n">
        <v>5000</v>
      </c>
      <c r="H957" s="6">
        <f>F957*G957</f>
        <v/>
      </c>
      <c r="I957">
        <f>_xlfn.XLOOKUP(A957,MktTitle,MktCat,"n/a")</f>
        <v/>
      </c>
      <c r="J957" s="3">
        <f>_xlfn.XLOOKUP(A957,MktTitle,MktTotVol,0)</f>
        <v/>
      </c>
      <c r="K957">
        <f>IF(H957&gt;WhaleThreshold,"WHALE","")</f>
        <v/>
      </c>
    </row>
    <row r="958">
      <c r="A958" t="inlineStr">
        <is>
          <t>Will Croatia win the 2026 FIFA World Cup?</t>
        </is>
      </c>
      <c r="B958" s="4" t="n">
        <v>46206</v>
      </c>
      <c r="C958" s="5" t="n">
        <v>46206.04476851852</v>
      </c>
      <c r="D958" t="inlineStr">
        <is>
          <t>SELL</t>
        </is>
      </c>
      <c r="E958" t="inlineStr">
        <is>
          <t>No</t>
        </is>
      </c>
      <c r="F958" s="2" t="n">
        <v>0.995</v>
      </c>
      <c r="G958" s="6" t="n">
        <v>23.88</v>
      </c>
      <c r="H958" s="6">
        <f>F958*G958</f>
        <v/>
      </c>
      <c r="I958">
        <f>_xlfn.XLOOKUP(A958,MktTitle,MktCat,"n/a")</f>
        <v/>
      </c>
      <c r="J958" s="3">
        <f>_xlfn.XLOOKUP(A958,MktTitle,MktTotVol,0)</f>
        <v/>
      </c>
      <c r="K958">
        <f>IF(H958&gt;WhaleThreshold,"WHALE","")</f>
        <v/>
      </c>
    </row>
    <row r="959">
      <c r="A959" t="inlineStr">
        <is>
          <t>Will Croatia win the 2026 FIFA World Cup?</t>
        </is>
      </c>
      <c r="B959" s="4" t="n">
        <v>46206</v>
      </c>
      <c r="C959" s="5" t="n">
        <v>46206.04476851852</v>
      </c>
      <c r="D959" t="inlineStr">
        <is>
          <t>BUY</t>
        </is>
      </c>
      <c r="E959" t="inlineStr">
        <is>
          <t>No</t>
        </is>
      </c>
      <c r="F959" s="2" t="n">
        <v>0.9966</v>
      </c>
      <c r="G959" s="6" t="n">
        <v>314.48</v>
      </c>
      <c r="H959" s="6">
        <f>F959*G959</f>
        <v/>
      </c>
      <c r="I959">
        <f>_xlfn.XLOOKUP(A959,MktTitle,MktCat,"n/a")</f>
        <v/>
      </c>
      <c r="J959" s="3">
        <f>_xlfn.XLOOKUP(A959,MktTitle,MktTotVol,0)</f>
        <v/>
      </c>
      <c r="K959">
        <f>IF(H959&gt;WhaleThreshold,"WHALE","")</f>
        <v/>
      </c>
    </row>
    <row r="960">
      <c r="A960" t="inlineStr">
        <is>
          <t>Will Croatia win the 2026 FIFA World Cup?</t>
        </is>
      </c>
      <c r="B960" s="4" t="n">
        <v>46206</v>
      </c>
      <c r="C960" s="5" t="n">
        <v>46206.04474537037</v>
      </c>
      <c r="D960" t="inlineStr">
        <is>
          <t>BUY</t>
        </is>
      </c>
      <c r="E960" t="inlineStr">
        <is>
          <t>Yes</t>
        </is>
      </c>
      <c r="F960" s="2" t="n">
        <v>0.0044</v>
      </c>
      <c r="G960" s="6" t="n">
        <v>682.644</v>
      </c>
      <c r="H960" s="6">
        <f>F960*G960</f>
        <v/>
      </c>
      <c r="I960">
        <f>_xlfn.XLOOKUP(A960,MktTitle,MktCat,"n/a")</f>
        <v/>
      </c>
      <c r="J960" s="3">
        <f>_xlfn.XLOOKUP(A960,MktTitle,MktTotVol,0)</f>
        <v/>
      </c>
      <c r="K960">
        <f>IF(H960&gt;WhaleThreshold,"WHALE","")</f>
        <v/>
      </c>
    </row>
    <row r="961">
      <c r="A961" t="inlineStr">
        <is>
          <t>Will Croatia win the 2026 FIFA World Cup?</t>
        </is>
      </c>
      <c r="B961" s="4" t="n">
        <v>46206</v>
      </c>
      <c r="C961" s="5" t="n">
        <v>46206.04471064815</v>
      </c>
      <c r="D961" t="inlineStr">
        <is>
          <t>SELL</t>
        </is>
      </c>
      <c r="E961" t="inlineStr">
        <is>
          <t>Yes</t>
        </is>
      </c>
      <c r="F961" s="2" t="n">
        <v>0.004</v>
      </c>
      <c r="G961" s="6" t="n">
        <v>75</v>
      </c>
      <c r="H961" s="6">
        <f>F961*G961</f>
        <v/>
      </c>
      <c r="I961">
        <f>_xlfn.XLOOKUP(A961,MktTitle,MktCat,"n/a")</f>
        <v/>
      </c>
      <c r="J961" s="3">
        <f>_xlfn.XLOOKUP(A961,MktTitle,MktTotVol,0)</f>
        <v/>
      </c>
      <c r="K961">
        <f>IF(H961&gt;WhaleThreshold,"WHALE","")</f>
        <v/>
      </c>
    </row>
    <row r="962">
      <c r="A962" t="inlineStr">
        <is>
          <t>Will Croatia win the 2026 FIFA World Cup?</t>
        </is>
      </c>
      <c r="B962" s="4" t="n">
        <v>46206</v>
      </c>
      <c r="C962" s="5" t="n">
        <v>46206.04462962963</v>
      </c>
      <c r="D962" t="inlineStr">
        <is>
          <t>SELL</t>
        </is>
      </c>
      <c r="E962" t="inlineStr">
        <is>
          <t>Yes</t>
        </is>
      </c>
      <c r="F962" s="2" t="n">
        <v>0.004</v>
      </c>
      <c r="G962" s="6" t="n">
        <v>103.32</v>
      </c>
      <c r="H962" s="6">
        <f>F962*G962</f>
        <v/>
      </c>
      <c r="I962">
        <f>_xlfn.XLOOKUP(A962,MktTitle,MktCat,"n/a")</f>
        <v/>
      </c>
      <c r="J962" s="3">
        <f>_xlfn.XLOOKUP(A962,MktTitle,MktTotVol,0)</f>
        <v/>
      </c>
      <c r="K962">
        <f>IF(H962&gt;WhaleThreshold,"WHALE","")</f>
        <v/>
      </c>
    </row>
    <row r="963">
      <c r="A963" t="inlineStr">
        <is>
          <t>Will Croatia win the 2026 FIFA World Cup?</t>
        </is>
      </c>
      <c r="B963" s="4" t="n">
        <v>46206</v>
      </c>
      <c r="C963" s="5" t="n">
        <v>46206.04457175926</v>
      </c>
      <c r="D963" t="inlineStr">
        <is>
          <t>SELL</t>
        </is>
      </c>
      <c r="E963" t="inlineStr">
        <is>
          <t>No</t>
        </is>
      </c>
      <c r="F963" s="2" t="n">
        <v>0.995</v>
      </c>
      <c r="G963" s="6" t="n">
        <v>0.63</v>
      </c>
      <c r="H963" s="6">
        <f>F963*G963</f>
        <v/>
      </c>
      <c r="I963">
        <f>_xlfn.XLOOKUP(A963,MktTitle,MktCat,"n/a")</f>
        <v/>
      </c>
      <c r="J963" s="3">
        <f>_xlfn.XLOOKUP(A963,MktTitle,MktTotVol,0)</f>
        <v/>
      </c>
      <c r="K963">
        <f>IF(H963&gt;WhaleThreshold,"WHALE","")</f>
        <v/>
      </c>
    </row>
    <row r="964">
      <c r="A964" t="inlineStr">
        <is>
          <t>Will Croatia win the 2026 FIFA World Cup?</t>
        </is>
      </c>
      <c r="B964" s="4" t="n">
        <v>46206</v>
      </c>
      <c r="C964" s="5" t="n">
        <v>46206.04457175926</v>
      </c>
      <c r="D964" t="inlineStr">
        <is>
          <t>SELL</t>
        </is>
      </c>
      <c r="E964" t="inlineStr">
        <is>
          <t>Yes</t>
        </is>
      </c>
      <c r="F964" s="2" t="n">
        <v>0.005</v>
      </c>
      <c r="G964" s="6" t="n">
        <v>22791.05</v>
      </c>
      <c r="H964" s="6">
        <f>F964*G964</f>
        <v/>
      </c>
      <c r="I964">
        <f>_xlfn.XLOOKUP(A964,MktTitle,MktCat,"n/a")</f>
        <v/>
      </c>
      <c r="J964" s="3">
        <f>_xlfn.XLOOKUP(A964,MktTitle,MktTotVol,0)</f>
        <v/>
      </c>
      <c r="K964">
        <f>IF(H964&gt;WhaleThreshold,"WHALE","")</f>
        <v/>
      </c>
    </row>
    <row r="965">
      <c r="A965" t="inlineStr">
        <is>
          <t>Will Croatia win the 2026 FIFA World Cup?</t>
        </is>
      </c>
      <c r="B965" s="4" t="n">
        <v>46206</v>
      </c>
      <c r="C965" s="5" t="n">
        <v>46206.04457175926</v>
      </c>
      <c r="D965" t="inlineStr">
        <is>
          <t>BUY</t>
        </is>
      </c>
      <c r="E965" t="inlineStr">
        <is>
          <t>Yes</t>
        </is>
      </c>
      <c r="F965" s="2" t="n">
        <v>0.006</v>
      </c>
      <c r="G965" s="6" t="n">
        <v>8090</v>
      </c>
      <c r="H965" s="6">
        <f>F965*G965</f>
        <v/>
      </c>
      <c r="I965">
        <f>_xlfn.XLOOKUP(A965,MktTitle,MktCat,"n/a")</f>
        <v/>
      </c>
      <c r="J965" s="3">
        <f>_xlfn.XLOOKUP(A965,MktTitle,MktTotVol,0)</f>
        <v/>
      </c>
      <c r="K965">
        <f>IF(H965&gt;WhaleThreshold,"WHALE","")</f>
        <v/>
      </c>
    </row>
    <row r="966">
      <c r="A966" t="inlineStr">
        <is>
          <t>Will Croatia win the 2026 FIFA World Cup?</t>
        </is>
      </c>
      <c r="B966" s="4" t="n">
        <v>46206</v>
      </c>
      <c r="C966" s="5" t="n">
        <v>46206.04457175926</v>
      </c>
      <c r="D966" t="inlineStr">
        <is>
          <t>SELL</t>
        </is>
      </c>
      <c r="E966" t="inlineStr">
        <is>
          <t>No</t>
        </is>
      </c>
      <c r="F966" s="2" t="n">
        <v>0.994</v>
      </c>
      <c r="G966" s="6" t="n">
        <v>0.37</v>
      </c>
      <c r="H966" s="6">
        <f>F966*G966</f>
        <v/>
      </c>
      <c r="I966">
        <f>_xlfn.XLOOKUP(A966,MktTitle,MktCat,"n/a")</f>
        <v/>
      </c>
      <c r="J966" s="3">
        <f>_xlfn.XLOOKUP(A966,MktTitle,MktTotVol,0)</f>
        <v/>
      </c>
      <c r="K966">
        <f>IF(H966&gt;WhaleThreshold,"WHALE","")</f>
        <v/>
      </c>
    </row>
    <row r="967">
      <c r="A967" t="inlineStr">
        <is>
          <t>Will Croatia win the 2026 FIFA World Cup?</t>
        </is>
      </c>
      <c r="B967" s="4" t="n">
        <v>46206</v>
      </c>
      <c r="C967" s="5" t="n">
        <v>46206.04456018518</v>
      </c>
      <c r="D967" t="inlineStr">
        <is>
          <t>SELL</t>
        </is>
      </c>
      <c r="E967" t="inlineStr">
        <is>
          <t>Yes</t>
        </is>
      </c>
      <c r="F967" s="2" t="n">
        <v>0.005</v>
      </c>
      <c r="G967" s="6" t="n">
        <v>20000</v>
      </c>
      <c r="H967" s="6">
        <f>F967*G967</f>
        <v/>
      </c>
      <c r="I967">
        <f>_xlfn.XLOOKUP(A967,MktTitle,MktCat,"n/a")</f>
        <v/>
      </c>
      <c r="J967" s="3">
        <f>_xlfn.XLOOKUP(A967,MktTitle,MktTotVol,0)</f>
        <v/>
      </c>
      <c r="K967">
        <f>IF(H967&gt;WhaleThreshold,"WHALE","")</f>
        <v/>
      </c>
    </row>
    <row r="968">
      <c r="A968" t="inlineStr">
        <is>
          <t>Will Croatia win the 2026 FIFA World Cup?</t>
        </is>
      </c>
      <c r="B968" s="4" t="n">
        <v>46206</v>
      </c>
      <c r="C968" s="5" t="n">
        <v>46206.04453703704</v>
      </c>
      <c r="D968" t="inlineStr">
        <is>
          <t>SELL</t>
        </is>
      </c>
      <c r="E968" t="inlineStr">
        <is>
          <t>Yes</t>
        </is>
      </c>
      <c r="F968" s="2" t="n">
        <v>0.005</v>
      </c>
      <c r="G968" s="6" t="n">
        <v>366.66</v>
      </c>
      <c r="H968" s="6">
        <f>F968*G968</f>
        <v/>
      </c>
      <c r="I968">
        <f>_xlfn.XLOOKUP(A968,MktTitle,MktCat,"n/a")</f>
        <v/>
      </c>
      <c r="J968" s="3">
        <f>_xlfn.XLOOKUP(A968,MktTitle,MktTotVol,0)</f>
        <v/>
      </c>
      <c r="K968">
        <f>IF(H968&gt;WhaleThreshold,"WHALE","")</f>
        <v/>
      </c>
    </row>
    <row r="969">
      <c r="A969" t="inlineStr">
        <is>
          <t>Will Croatia win the 2026 FIFA World Cup?</t>
        </is>
      </c>
      <c r="B969" s="4" t="n">
        <v>46206</v>
      </c>
      <c r="C969" s="5" t="n">
        <v>46206.04450231481</v>
      </c>
      <c r="D969" t="inlineStr">
        <is>
          <t>SELL</t>
        </is>
      </c>
      <c r="E969" t="inlineStr">
        <is>
          <t>Yes</t>
        </is>
      </c>
      <c r="F969" s="2" t="n">
        <v>0.005</v>
      </c>
      <c r="G969" s="6" t="n">
        <v>555.55</v>
      </c>
      <c r="H969" s="6">
        <f>F969*G969</f>
        <v/>
      </c>
      <c r="I969">
        <f>_xlfn.XLOOKUP(A969,MktTitle,MktCat,"n/a")</f>
        <v/>
      </c>
      <c r="J969" s="3">
        <f>_xlfn.XLOOKUP(A969,MktTitle,MktTotVol,0)</f>
        <v/>
      </c>
      <c r="K969">
        <f>IF(H969&gt;WhaleThreshold,"WHALE","")</f>
        <v/>
      </c>
    </row>
    <row r="970">
      <c r="A970" t="inlineStr">
        <is>
          <t>Will Croatia win the 2026 FIFA World Cup?</t>
        </is>
      </c>
      <c r="B970" s="4" t="n">
        <v>46206</v>
      </c>
      <c r="C970" s="5" t="n">
        <v>46206.04436342593</v>
      </c>
      <c r="D970" t="inlineStr">
        <is>
          <t>SELL</t>
        </is>
      </c>
      <c r="E970" t="inlineStr">
        <is>
          <t>Yes</t>
        </is>
      </c>
      <c r="F970" s="2" t="n">
        <v>0.005</v>
      </c>
      <c r="G970" s="6" t="n">
        <v>20000</v>
      </c>
      <c r="H970" s="6">
        <f>F970*G970</f>
        <v/>
      </c>
      <c r="I970">
        <f>_xlfn.XLOOKUP(A970,MktTitle,MktCat,"n/a")</f>
        <v/>
      </c>
      <c r="J970" s="3">
        <f>_xlfn.XLOOKUP(A970,MktTitle,MktTotVol,0)</f>
        <v/>
      </c>
      <c r="K970">
        <f>IF(H970&gt;WhaleThreshold,"WHALE","")</f>
        <v/>
      </c>
    </row>
    <row r="971">
      <c r="A971" t="inlineStr">
        <is>
          <t>Will Croatia win the 2026 FIFA World Cup?</t>
        </is>
      </c>
      <c r="B971" s="4" t="n">
        <v>46206</v>
      </c>
      <c r="C971" s="5" t="n">
        <v>46206.04428240741</v>
      </c>
      <c r="D971" t="inlineStr">
        <is>
          <t>SELL</t>
        </is>
      </c>
      <c r="E971" t="inlineStr">
        <is>
          <t>Yes</t>
        </is>
      </c>
      <c r="F971" s="2" t="n">
        <v>0.006</v>
      </c>
      <c r="G971" s="6" t="n">
        <v>175.38</v>
      </c>
      <c r="H971" s="6">
        <f>F971*G971</f>
        <v/>
      </c>
      <c r="I971">
        <f>_xlfn.XLOOKUP(A971,MktTitle,MktCat,"n/a")</f>
        <v/>
      </c>
      <c r="J971" s="3">
        <f>_xlfn.XLOOKUP(A971,MktTitle,MktTotVol,0)</f>
        <v/>
      </c>
      <c r="K971">
        <f>IF(H971&gt;WhaleThreshold,"WHALE","")</f>
        <v/>
      </c>
    </row>
    <row r="972">
      <c r="A972" t="inlineStr">
        <is>
          <t>Will Croatia win the 2026 FIFA World Cup?</t>
        </is>
      </c>
      <c r="B972" s="4" t="n">
        <v>46206</v>
      </c>
      <c r="C972" s="5" t="n">
        <v>46206.04428240741</v>
      </c>
      <c r="D972" t="inlineStr">
        <is>
          <t>SELL</t>
        </is>
      </c>
      <c r="E972" t="inlineStr">
        <is>
          <t>Yes</t>
        </is>
      </c>
      <c r="F972" s="2" t="n">
        <v>0.006</v>
      </c>
      <c r="G972" s="6" t="n">
        <v>50000</v>
      </c>
      <c r="H972" s="6">
        <f>F972*G972</f>
        <v/>
      </c>
      <c r="I972">
        <f>_xlfn.XLOOKUP(A972,MktTitle,MktCat,"n/a")</f>
        <v/>
      </c>
      <c r="J972" s="3">
        <f>_xlfn.XLOOKUP(A972,MktTitle,MktTotVol,0)</f>
        <v/>
      </c>
      <c r="K972">
        <f>IF(H972&gt;WhaleThreshold,"WHALE","")</f>
        <v/>
      </c>
    </row>
    <row r="973">
      <c r="A973" t="inlineStr">
        <is>
          <t>Will Croatia win the 2026 FIFA World Cup?</t>
        </is>
      </c>
      <c r="B973" s="4" t="n">
        <v>46206</v>
      </c>
      <c r="C973" s="5" t="n">
        <v>46206.04421296297</v>
      </c>
      <c r="D973" t="inlineStr">
        <is>
          <t>SELL</t>
        </is>
      </c>
      <c r="E973" t="inlineStr">
        <is>
          <t>Yes</t>
        </is>
      </c>
      <c r="F973" s="2" t="n">
        <v>0.006</v>
      </c>
      <c r="G973" s="6" t="n">
        <v>2500</v>
      </c>
      <c r="H973" s="6">
        <f>F973*G973</f>
        <v/>
      </c>
      <c r="I973">
        <f>_xlfn.XLOOKUP(A973,MktTitle,MktCat,"n/a")</f>
        <v/>
      </c>
      <c r="J973" s="3">
        <f>_xlfn.XLOOKUP(A973,MktTitle,MktTotVol,0)</f>
        <v/>
      </c>
      <c r="K973">
        <f>IF(H973&gt;WhaleThreshold,"WHALE","")</f>
        <v/>
      </c>
    </row>
    <row r="974">
      <c r="A974" t="inlineStr">
        <is>
          <t>Will Croatia win the 2026 FIFA World Cup?</t>
        </is>
      </c>
      <c r="B974" s="4" t="n">
        <v>46206</v>
      </c>
      <c r="C974" s="5" t="n">
        <v>46206.04408564815</v>
      </c>
      <c r="D974" t="inlineStr">
        <is>
          <t>SELL</t>
        </is>
      </c>
      <c r="E974" t="inlineStr">
        <is>
          <t>No</t>
        </is>
      </c>
      <c r="F974" s="2" t="n">
        <v>0.991</v>
      </c>
      <c r="G974" s="6" t="n">
        <v>50</v>
      </c>
      <c r="H974" s="6">
        <f>F974*G974</f>
        <v/>
      </c>
      <c r="I974">
        <f>_xlfn.XLOOKUP(A974,MktTitle,MktCat,"n/a")</f>
        <v/>
      </c>
      <c r="J974" s="3">
        <f>_xlfn.XLOOKUP(A974,MktTitle,MktTotVol,0)</f>
        <v/>
      </c>
      <c r="K974">
        <f>IF(H974&gt;WhaleThreshold,"WHALE","")</f>
        <v/>
      </c>
    </row>
    <row r="975">
      <c r="A975" t="inlineStr">
        <is>
          <t>Will Croatia win the 2026 FIFA World Cup?</t>
        </is>
      </c>
      <c r="B975" s="4" t="n">
        <v>46206</v>
      </c>
      <c r="C975" s="5" t="n">
        <v>46206.04405092593</v>
      </c>
      <c r="D975" t="inlineStr">
        <is>
          <t>BUY</t>
        </is>
      </c>
      <c r="E975" t="inlineStr">
        <is>
          <t>Yes</t>
        </is>
      </c>
      <c r="F975" s="2" t="n">
        <v>0.008999999999999999</v>
      </c>
      <c r="G975" s="6" t="n">
        <v>6566.67</v>
      </c>
      <c r="H975" s="6">
        <f>F975*G975</f>
        <v/>
      </c>
      <c r="I975">
        <f>_xlfn.XLOOKUP(A975,MktTitle,MktCat,"n/a")</f>
        <v/>
      </c>
      <c r="J975" s="3">
        <f>_xlfn.XLOOKUP(A975,MktTitle,MktTotVol,0)</f>
        <v/>
      </c>
      <c r="K975">
        <f>IF(H975&gt;WhaleThreshold,"WHALE","")</f>
        <v/>
      </c>
    </row>
    <row r="976">
      <c r="A976" t="inlineStr">
        <is>
          <t>Will Croatia win the 2026 FIFA World Cup?</t>
        </is>
      </c>
      <c r="B976" s="4" t="n">
        <v>46206</v>
      </c>
      <c r="C976" s="5" t="n">
        <v>46206.0440162037</v>
      </c>
      <c r="D976" t="inlineStr">
        <is>
          <t>BUY</t>
        </is>
      </c>
      <c r="E976" t="inlineStr">
        <is>
          <t>No</t>
        </is>
      </c>
      <c r="F976" s="2" t="n">
        <v>0.994</v>
      </c>
      <c r="G976" s="6" t="n">
        <v>1362.7363</v>
      </c>
      <c r="H976" s="6">
        <f>F976*G976</f>
        <v/>
      </c>
      <c r="I976">
        <f>_xlfn.XLOOKUP(A976,MktTitle,MktCat,"n/a")</f>
        <v/>
      </c>
      <c r="J976" s="3">
        <f>_xlfn.XLOOKUP(A976,MktTitle,MktTotVol,0)</f>
        <v/>
      </c>
      <c r="K976">
        <f>IF(H976&gt;WhaleThreshold,"WHALE","")</f>
        <v/>
      </c>
    </row>
    <row r="977">
      <c r="A977" t="inlineStr">
        <is>
          <t>Will Croatia win the 2026 FIFA World Cup?</t>
        </is>
      </c>
      <c r="B977" s="4" t="n">
        <v>46206</v>
      </c>
      <c r="C977" s="5" t="n">
        <v>46206.0439699074</v>
      </c>
      <c r="D977" t="inlineStr">
        <is>
          <t>BUY</t>
        </is>
      </c>
      <c r="E977" t="inlineStr">
        <is>
          <t>Yes</t>
        </is>
      </c>
      <c r="F977" s="2" t="n">
        <v>0.006</v>
      </c>
      <c r="G977" s="6" t="n">
        <v>9997.610000000001</v>
      </c>
      <c r="H977" s="6">
        <f>F977*G977</f>
        <v/>
      </c>
      <c r="I977">
        <f>_xlfn.XLOOKUP(A977,MktTitle,MktCat,"n/a")</f>
        <v/>
      </c>
      <c r="J977" s="3">
        <f>_xlfn.XLOOKUP(A977,MktTitle,MktTotVol,0)</f>
        <v/>
      </c>
      <c r="K977">
        <f>IF(H977&gt;WhaleThreshold,"WHALE","")</f>
        <v/>
      </c>
    </row>
    <row r="978">
      <c r="A978" t="inlineStr">
        <is>
          <t>Will Croatia win the 2026 FIFA World Cup?</t>
        </is>
      </c>
      <c r="B978" s="4" t="n">
        <v>46206</v>
      </c>
      <c r="C978" s="5" t="n">
        <v>46206.04394675926</v>
      </c>
      <c r="D978" t="inlineStr">
        <is>
          <t>BUY</t>
        </is>
      </c>
      <c r="E978" t="inlineStr">
        <is>
          <t>No</t>
        </is>
      </c>
      <c r="F978" s="2" t="n">
        <v>0.995</v>
      </c>
      <c r="G978" s="6" t="n">
        <v>1.005</v>
      </c>
      <c r="H978" s="6">
        <f>F978*G978</f>
        <v/>
      </c>
      <c r="I978">
        <f>_xlfn.XLOOKUP(A978,MktTitle,MktCat,"n/a")</f>
        <v/>
      </c>
      <c r="J978" s="3">
        <f>_xlfn.XLOOKUP(A978,MktTitle,MktTotVol,0)</f>
        <v/>
      </c>
      <c r="K978">
        <f>IF(H978&gt;WhaleThreshold,"WHALE","")</f>
        <v/>
      </c>
    </row>
    <row r="979">
      <c r="A979" t="inlineStr">
        <is>
          <t>Will Croatia win the 2026 FIFA World Cup?</t>
        </is>
      </c>
      <c r="B979" s="4" t="n">
        <v>46206</v>
      </c>
      <c r="C979" s="5" t="n">
        <v>46206.04393518518</v>
      </c>
      <c r="D979" t="inlineStr">
        <is>
          <t>SELL</t>
        </is>
      </c>
      <c r="E979" t="inlineStr">
        <is>
          <t>No</t>
        </is>
      </c>
      <c r="F979" s="2" t="n">
        <v>0.994</v>
      </c>
      <c r="G979" s="6" t="n">
        <v>2.39</v>
      </c>
      <c r="H979" s="6">
        <f>F979*G979</f>
        <v/>
      </c>
      <c r="I979">
        <f>_xlfn.XLOOKUP(A979,MktTitle,MktCat,"n/a")</f>
        <v/>
      </c>
      <c r="J979" s="3">
        <f>_xlfn.XLOOKUP(A979,MktTitle,MktTotVol,0)</f>
        <v/>
      </c>
      <c r="K979">
        <f>IF(H979&gt;WhaleThreshold,"WHALE","")</f>
        <v/>
      </c>
    </row>
    <row r="980">
      <c r="A980" t="inlineStr">
        <is>
          <t>Will Croatia win the 2026 FIFA World Cup?</t>
        </is>
      </c>
      <c r="B980" s="4" t="n">
        <v>46206</v>
      </c>
      <c r="C980" s="5" t="n">
        <v>46206.04391203704</v>
      </c>
      <c r="D980" t="inlineStr">
        <is>
          <t>BUY</t>
        </is>
      </c>
      <c r="E980" t="inlineStr">
        <is>
          <t>Yes</t>
        </is>
      </c>
      <c r="F980" s="2" t="n">
        <v>0.005</v>
      </c>
      <c r="G980" s="6" t="n">
        <v>35189.35</v>
      </c>
      <c r="H980" s="6">
        <f>F980*G980</f>
        <v/>
      </c>
      <c r="I980">
        <f>_xlfn.XLOOKUP(A980,MktTitle,MktCat,"n/a")</f>
        <v/>
      </c>
      <c r="J980" s="3">
        <f>_xlfn.XLOOKUP(A980,MktTitle,MktTotVol,0)</f>
        <v/>
      </c>
      <c r="K980">
        <f>IF(H980&gt;WhaleThreshold,"WHALE","")</f>
        <v/>
      </c>
    </row>
    <row r="981">
      <c r="A981" t="inlineStr">
        <is>
          <t>Will Croatia win the 2026 FIFA World Cup?</t>
        </is>
      </c>
      <c r="B981" s="4" t="n">
        <v>46206</v>
      </c>
      <c r="C981" s="5" t="n">
        <v>46206.04387731481</v>
      </c>
      <c r="D981" t="inlineStr">
        <is>
          <t>BUY</t>
        </is>
      </c>
      <c r="E981" t="inlineStr">
        <is>
          <t>Yes</t>
        </is>
      </c>
      <c r="F981" s="2" t="n">
        <v>0.004</v>
      </c>
      <c r="G981" s="6" t="n">
        <v>175.38</v>
      </c>
      <c r="H981" s="6">
        <f>F981*G981</f>
        <v/>
      </c>
      <c r="I981">
        <f>_xlfn.XLOOKUP(A981,MktTitle,MktCat,"n/a")</f>
        <v/>
      </c>
      <c r="J981" s="3">
        <f>_xlfn.XLOOKUP(A981,MktTitle,MktTotVol,0)</f>
        <v/>
      </c>
      <c r="K981">
        <f>IF(H981&gt;WhaleThreshold,"WHALE","")</f>
        <v/>
      </c>
    </row>
    <row r="982">
      <c r="A982" t="inlineStr">
        <is>
          <t>Will Croatia win the 2026 FIFA World Cup?</t>
        </is>
      </c>
      <c r="B982" s="4" t="n">
        <v>46206</v>
      </c>
      <c r="C982" s="5" t="n">
        <v>46206.04386574074</v>
      </c>
      <c r="D982" t="inlineStr">
        <is>
          <t>SELL</t>
        </is>
      </c>
      <c r="E982" t="inlineStr">
        <is>
          <t>Yes</t>
        </is>
      </c>
      <c r="F982" s="2" t="n">
        <v>0.0026</v>
      </c>
      <c r="G982" s="6" t="n">
        <v>1340</v>
      </c>
      <c r="H982" s="6">
        <f>F982*G982</f>
        <v/>
      </c>
      <c r="I982">
        <f>_xlfn.XLOOKUP(A982,MktTitle,MktCat,"n/a")</f>
        <v/>
      </c>
      <c r="J982" s="3">
        <f>_xlfn.XLOOKUP(A982,MktTitle,MktTotVol,0)</f>
        <v/>
      </c>
      <c r="K982">
        <f>IF(H982&gt;WhaleThreshold,"WHALE","")</f>
        <v/>
      </c>
    </row>
    <row r="983">
      <c r="A983" t="inlineStr">
        <is>
          <t>Will Croatia win the 2026 FIFA World Cup?</t>
        </is>
      </c>
      <c r="B983" s="4" t="n">
        <v>46206</v>
      </c>
      <c r="C983" s="5" t="n">
        <v>46206.04386574074</v>
      </c>
      <c r="D983" t="inlineStr">
        <is>
          <t>SELL</t>
        </is>
      </c>
      <c r="E983" t="inlineStr">
        <is>
          <t>Yes</t>
        </is>
      </c>
      <c r="F983" s="2" t="n">
        <v>0.003</v>
      </c>
      <c r="G983" s="6" t="n">
        <v>1250</v>
      </c>
      <c r="H983" s="6">
        <f>F983*G983</f>
        <v/>
      </c>
      <c r="I983">
        <f>_xlfn.XLOOKUP(A983,MktTitle,MktCat,"n/a")</f>
        <v/>
      </c>
      <c r="J983" s="3">
        <f>_xlfn.XLOOKUP(A983,MktTitle,MktTotVol,0)</f>
        <v/>
      </c>
      <c r="K983">
        <f>IF(H983&gt;WhaleThreshold,"WHALE","")</f>
        <v/>
      </c>
    </row>
    <row r="984">
      <c r="A984" t="inlineStr">
        <is>
          <t>Will Croatia win the 2026 FIFA World Cup?</t>
        </is>
      </c>
      <c r="B984" s="4" t="n">
        <v>46206</v>
      </c>
      <c r="C984" s="5" t="n">
        <v>46206.04384259259</v>
      </c>
      <c r="D984" t="inlineStr">
        <is>
          <t>SELL</t>
        </is>
      </c>
      <c r="E984" t="inlineStr">
        <is>
          <t>No</t>
        </is>
      </c>
      <c r="F984" s="2" t="n">
        <v>0.996</v>
      </c>
      <c r="G984" s="6" t="n">
        <v>31.11</v>
      </c>
      <c r="H984" s="6">
        <f>F984*G984</f>
        <v/>
      </c>
      <c r="I984">
        <f>_xlfn.XLOOKUP(A984,MktTitle,MktCat,"n/a")</f>
        <v/>
      </c>
      <c r="J984" s="3">
        <f>_xlfn.XLOOKUP(A984,MktTitle,MktTotVol,0)</f>
        <v/>
      </c>
      <c r="K984">
        <f>IF(H984&gt;WhaleThreshold,"WHALE","")</f>
        <v/>
      </c>
    </row>
    <row r="985">
      <c r="A985" t="inlineStr">
        <is>
          <t>Will Croatia win the 2026 FIFA World Cup?</t>
        </is>
      </c>
      <c r="B985" s="4" t="n">
        <v>46206</v>
      </c>
      <c r="C985" s="5" t="n">
        <v>46206.04380787037</v>
      </c>
      <c r="D985" t="inlineStr">
        <is>
          <t>SELL</t>
        </is>
      </c>
      <c r="E985" t="inlineStr">
        <is>
          <t>Yes</t>
        </is>
      </c>
      <c r="F985" s="2" t="n">
        <v>0.002</v>
      </c>
      <c r="G985" s="6" t="n">
        <v>3750</v>
      </c>
      <c r="H985" s="6">
        <f>F985*G985</f>
        <v/>
      </c>
      <c r="I985">
        <f>_xlfn.XLOOKUP(A985,MktTitle,MktCat,"n/a")</f>
        <v/>
      </c>
      <c r="J985" s="3">
        <f>_xlfn.XLOOKUP(A985,MktTitle,MktTotVol,0)</f>
        <v/>
      </c>
      <c r="K985">
        <f>IF(H985&gt;WhaleThreshold,"WHALE","")</f>
        <v/>
      </c>
    </row>
    <row r="986">
      <c r="A986" t="inlineStr">
        <is>
          <t>Will Croatia win the 2026 FIFA World Cup?</t>
        </is>
      </c>
      <c r="B986" s="4" t="n">
        <v>46206</v>
      </c>
      <c r="C986" s="5" t="n">
        <v>46206.0437962963</v>
      </c>
      <c r="D986" t="inlineStr">
        <is>
          <t>SELL</t>
        </is>
      </c>
      <c r="E986" t="inlineStr">
        <is>
          <t>Yes</t>
        </is>
      </c>
      <c r="F986" s="2" t="n">
        <v>0.0029</v>
      </c>
      <c r="G986" s="6" t="n">
        <v>11457.83</v>
      </c>
      <c r="H986" s="6">
        <f>F986*G986</f>
        <v/>
      </c>
      <c r="I986">
        <f>_xlfn.XLOOKUP(A986,MktTitle,MktCat,"n/a")</f>
        <v/>
      </c>
      <c r="J986" s="3">
        <f>_xlfn.XLOOKUP(A986,MktTitle,MktTotVol,0)</f>
        <v/>
      </c>
      <c r="K986">
        <f>IF(H986&gt;WhaleThreshold,"WHALE","")</f>
        <v/>
      </c>
    </row>
    <row r="987">
      <c r="A987" t="inlineStr">
        <is>
          <t>Will Croatia win the 2026 FIFA World Cup?</t>
        </is>
      </c>
      <c r="B987" s="4" t="n">
        <v>46206</v>
      </c>
      <c r="C987" s="5" t="n">
        <v>46206.04377314815</v>
      </c>
      <c r="D987" t="inlineStr">
        <is>
          <t>SELL</t>
        </is>
      </c>
      <c r="E987" t="inlineStr">
        <is>
          <t>No</t>
        </is>
      </c>
      <c r="F987" s="2" t="n">
        <v>0.996</v>
      </c>
      <c r="G987" s="6" t="n">
        <v>1.83</v>
      </c>
      <c r="H987" s="6">
        <f>F987*G987</f>
        <v/>
      </c>
      <c r="I987">
        <f>_xlfn.XLOOKUP(A987,MktTitle,MktCat,"n/a")</f>
        <v/>
      </c>
      <c r="J987" s="3">
        <f>_xlfn.XLOOKUP(A987,MktTitle,MktTotVol,0)</f>
        <v/>
      </c>
      <c r="K987">
        <f>IF(H987&gt;WhaleThreshold,"WHALE","")</f>
        <v/>
      </c>
    </row>
    <row r="988">
      <c r="A988" t="inlineStr">
        <is>
          <t>Will Croatia win the 2026 FIFA World Cup?</t>
        </is>
      </c>
      <c r="B988" s="4" t="n">
        <v>46206</v>
      </c>
      <c r="C988" s="5" t="n">
        <v>46206.0437037037</v>
      </c>
      <c r="D988" t="inlineStr">
        <is>
          <t>BUY</t>
        </is>
      </c>
      <c r="E988" t="inlineStr">
        <is>
          <t>No</t>
        </is>
      </c>
      <c r="F988" s="2" t="n">
        <v>0.998</v>
      </c>
      <c r="G988" s="6" t="n">
        <v>2.3945</v>
      </c>
      <c r="H988" s="6">
        <f>F988*G988</f>
        <v/>
      </c>
      <c r="I988">
        <f>_xlfn.XLOOKUP(A988,MktTitle,MktCat,"n/a")</f>
        <v/>
      </c>
      <c r="J988" s="3">
        <f>_xlfn.XLOOKUP(A988,MktTitle,MktTotVol,0)</f>
        <v/>
      </c>
      <c r="K988">
        <f>IF(H988&gt;WhaleThreshold,"WHALE","")</f>
        <v/>
      </c>
    </row>
    <row r="989">
      <c r="A989" t="inlineStr">
        <is>
          <t>Will Croatia win the 2026 FIFA World Cup?</t>
        </is>
      </c>
      <c r="B989" s="4" t="n">
        <v>46206</v>
      </c>
      <c r="C989" s="5" t="n">
        <v>46206.04363425926</v>
      </c>
      <c r="D989" t="inlineStr">
        <is>
          <t>BUY</t>
        </is>
      </c>
      <c r="E989" t="inlineStr">
        <is>
          <t>No</t>
        </is>
      </c>
      <c r="F989" s="2" t="n">
        <v>0.999</v>
      </c>
      <c r="G989" s="6" t="n">
        <v>1.001</v>
      </c>
      <c r="H989" s="6">
        <f>F989*G989</f>
        <v/>
      </c>
      <c r="I989">
        <f>_xlfn.XLOOKUP(A989,MktTitle,MktCat,"n/a")</f>
        <v/>
      </c>
      <c r="J989" s="3">
        <f>_xlfn.XLOOKUP(A989,MktTitle,MktTotVol,0)</f>
        <v/>
      </c>
      <c r="K989">
        <f>IF(H989&gt;WhaleThreshold,"WHALE","")</f>
        <v/>
      </c>
    </row>
    <row r="990">
      <c r="A990" t="inlineStr">
        <is>
          <t>Will Croatia win the 2026 FIFA World Cup?</t>
        </is>
      </c>
      <c r="B990" s="4" t="n">
        <v>46206</v>
      </c>
      <c r="C990" s="5" t="n">
        <v>46206.04362268518</v>
      </c>
      <c r="D990" t="inlineStr">
        <is>
          <t>BUY</t>
        </is>
      </c>
      <c r="E990" t="inlineStr">
        <is>
          <t>Yes</t>
        </is>
      </c>
      <c r="F990" s="2" t="n">
        <v>0.0014</v>
      </c>
      <c r="G990" s="6" t="n">
        <v>198367.36</v>
      </c>
      <c r="H990" s="6">
        <f>F990*G990</f>
        <v/>
      </c>
      <c r="I990">
        <f>_xlfn.XLOOKUP(A990,MktTitle,MktCat,"n/a")</f>
        <v/>
      </c>
      <c r="J990" s="3">
        <f>_xlfn.XLOOKUP(A990,MktTitle,MktTotVol,0)</f>
        <v/>
      </c>
      <c r="K990">
        <f>IF(H990&gt;WhaleThreshold,"WHALE","")</f>
        <v/>
      </c>
    </row>
    <row r="991">
      <c r="A991" t="inlineStr">
        <is>
          <t>Will Croatia win the 2026 FIFA World Cup?</t>
        </is>
      </c>
      <c r="B991" s="4" t="n">
        <v>46206</v>
      </c>
      <c r="C991" s="5" t="n">
        <v>46206.04359953704</v>
      </c>
      <c r="D991" t="inlineStr">
        <is>
          <t>BUY</t>
        </is>
      </c>
      <c r="E991" t="inlineStr">
        <is>
          <t>Yes</t>
        </is>
      </c>
      <c r="F991" s="2" t="n">
        <v>0.001</v>
      </c>
      <c r="G991" s="6" t="n">
        <v>100000</v>
      </c>
      <c r="H991" s="6">
        <f>F991*G991</f>
        <v/>
      </c>
      <c r="I991">
        <f>_xlfn.XLOOKUP(A991,MktTitle,MktCat,"n/a")</f>
        <v/>
      </c>
      <c r="J991" s="3">
        <f>_xlfn.XLOOKUP(A991,MktTitle,MktTotVol,0)</f>
        <v/>
      </c>
      <c r="K991">
        <f>IF(H991&gt;WhaleThreshold,"WHALE","")</f>
        <v/>
      </c>
    </row>
    <row r="992">
      <c r="A992" t="inlineStr">
        <is>
          <t>Will Croatia win the 2026 FIFA World Cup?</t>
        </is>
      </c>
      <c r="B992" s="4" t="n">
        <v>46206</v>
      </c>
      <c r="C992" s="5" t="n">
        <v>46206.04358796297</v>
      </c>
      <c r="D992" t="inlineStr">
        <is>
          <t>BUY</t>
        </is>
      </c>
      <c r="E992" t="inlineStr">
        <is>
          <t>Yes</t>
        </is>
      </c>
      <c r="F992" s="2" t="n">
        <v>0.001</v>
      </c>
      <c r="G992" s="6" t="n">
        <v>7720</v>
      </c>
      <c r="H992" s="6">
        <f>F992*G992</f>
        <v/>
      </c>
      <c r="I992">
        <f>_xlfn.XLOOKUP(A992,MktTitle,MktCat,"n/a")</f>
        <v/>
      </c>
      <c r="J992" s="3">
        <f>_xlfn.XLOOKUP(A992,MktTitle,MktTotVol,0)</f>
        <v/>
      </c>
      <c r="K992">
        <f>IF(H992&gt;WhaleThreshold,"WHALE","")</f>
        <v/>
      </c>
    </row>
    <row r="993">
      <c r="A993" t="inlineStr">
        <is>
          <t>Will Croatia win the 2026 FIFA World Cup?</t>
        </is>
      </c>
      <c r="B993" s="4" t="n">
        <v>46206</v>
      </c>
      <c r="C993" s="5" t="n">
        <v>46206.04356481481</v>
      </c>
      <c r="D993" t="inlineStr">
        <is>
          <t>BUY</t>
        </is>
      </c>
      <c r="E993" t="inlineStr">
        <is>
          <t>Yes</t>
        </is>
      </c>
      <c r="F993" s="2" t="n">
        <v>0.001</v>
      </c>
      <c r="G993" s="6" t="n">
        <v>3600</v>
      </c>
      <c r="H993" s="6">
        <f>F993*G993</f>
        <v/>
      </c>
      <c r="I993">
        <f>_xlfn.XLOOKUP(A993,MktTitle,MktCat,"n/a")</f>
        <v/>
      </c>
      <c r="J993" s="3">
        <f>_xlfn.XLOOKUP(A993,MktTitle,MktTotVol,0)</f>
        <v/>
      </c>
      <c r="K993">
        <f>IF(H993&gt;WhaleThreshold,"WHALE","")</f>
        <v/>
      </c>
    </row>
    <row r="994">
      <c r="A994" t="inlineStr">
        <is>
          <t>Will Croatia win the 2026 FIFA World Cup?</t>
        </is>
      </c>
      <c r="B994" s="4" t="n">
        <v>46206</v>
      </c>
      <c r="C994" s="5" t="n">
        <v>46206.04356481481</v>
      </c>
      <c r="D994" t="inlineStr">
        <is>
          <t>BUY</t>
        </is>
      </c>
      <c r="E994" t="inlineStr">
        <is>
          <t>Yes</t>
        </is>
      </c>
      <c r="F994" s="2" t="n">
        <v>0.001</v>
      </c>
      <c r="G994" s="6" t="n">
        <v>5880</v>
      </c>
      <c r="H994" s="6">
        <f>F994*G994</f>
        <v/>
      </c>
      <c r="I994">
        <f>_xlfn.XLOOKUP(A994,MktTitle,MktCat,"n/a")</f>
        <v/>
      </c>
      <c r="J994" s="3">
        <f>_xlfn.XLOOKUP(A994,MktTitle,MktTotVol,0)</f>
        <v/>
      </c>
      <c r="K994">
        <f>IF(H994&gt;WhaleThreshold,"WHALE","")</f>
        <v/>
      </c>
    </row>
    <row r="995">
      <c r="A995" t="inlineStr">
        <is>
          <t>Will Croatia win the 2026 FIFA World Cup?</t>
        </is>
      </c>
      <c r="B995" s="4" t="n">
        <v>46206</v>
      </c>
      <c r="C995" s="5" t="n">
        <v>46206.04356481481</v>
      </c>
      <c r="D995" t="inlineStr">
        <is>
          <t>SELL</t>
        </is>
      </c>
      <c r="E995" t="inlineStr">
        <is>
          <t>No</t>
        </is>
      </c>
      <c r="F995" s="2" t="n">
        <v>0.999</v>
      </c>
      <c r="G995" s="6" t="n">
        <v>62.28</v>
      </c>
      <c r="H995" s="6">
        <f>F995*G995</f>
        <v/>
      </c>
      <c r="I995">
        <f>_xlfn.XLOOKUP(A995,MktTitle,MktCat,"n/a")</f>
        <v/>
      </c>
      <c r="J995" s="3">
        <f>_xlfn.XLOOKUP(A995,MktTitle,MktTotVol,0)</f>
        <v/>
      </c>
      <c r="K995">
        <f>IF(H995&gt;WhaleThreshold,"WHALE","")</f>
        <v/>
      </c>
    </row>
    <row r="996">
      <c r="A996" t="inlineStr">
        <is>
          <t>Will Croatia win the 2026 FIFA World Cup?</t>
        </is>
      </c>
      <c r="B996" s="4" t="n">
        <v>46206</v>
      </c>
      <c r="C996" s="5" t="n">
        <v>46206.04356481481</v>
      </c>
      <c r="D996" t="inlineStr">
        <is>
          <t>BUY</t>
        </is>
      </c>
      <c r="E996" t="inlineStr">
        <is>
          <t>Yes</t>
        </is>
      </c>
      <c r="F996" s="2" t="n">
        <v>0.001</v>
      </c>
      <c r="G996" s="6" t="n">
        <v>7760</v>
      </c>
      <c r="H996" s="6">
        <f>F996*G996</f>
        <v/>
      </c>
      <c r="I996">
        <f>_xlfn.XLOOKUP(A996,MktTitle,MktCat,"n/a")</f>
        <v/>
      </c>
      <c r="J996" s="3">
        <f>_xlfn.XLOOKUP(A996,MktTitle,MktTotVol,0)</f>
        <v/>
      </c>
      <c r="K996">
        <f>IF(H996&gt;WhaleThreshold,"WHALE","")</f>
        <v/>
      </c>
    </row>
    <row r="997">
      <c r="A997" t="inlineStr">
        <is>
          <t>Will Croatia win the 2026 FIFA World Cup?</t>
        </is>
      </c>
      <c r="B997" s="4" t="n">
        <v>46206</v>
      </c>
      <c r="C997" s="5" t="n">
        <v>46206.04356481481</v>
      </c>
      <c r="D997" t="inlineStr">
        <is>
          <t>SELL</t>
        </is>
      </c>
      <c r="E997" t="inlineStr">
        <is>
          <t>No</t>
        </is>
      </c>
      <c r="F997" s="2" t="n">
        <v>0.999</v>
      </c>
      <c r="G997" s="6" t="n">
        <v>20.46</v>
      </c>
      <c r="H997" s="6">
        <f>F997*G997</f>
        <v/>
      </c>
      <c r="I997">
        <f>_xlfn.XLOOKUP(A997,MktTitle,MktCat,"n/a")</f>
        <v/>
      </c>
      <c r="J997" s="3">
        <f>_xlfn.XLOOKUP(A997,MktTitle,MktTotVol,0)</f>
        <v/>
      </c>
      <c r="K997">
        <f>IF(H997&gt;WhaleThreshold,"WHALE","")</f>
        <v/>
      </c>
    </row>
    <row r="998">
      <c r="A998" t="inlineStr">
        <is>
          <t>Will Croatia win the 2026 FIFA World Cup?</t>
        </is>
      </c>
      <c r="B998" s="4" t="n">
        <v>46206</v>
      </c>
      <c r="C998" s="5" t="n">
        <v>46206.04356481481</v>
      </c>
      <c r="D998" t="inlineStr">
        <is>
          <t>SELL</t>
        </is>
      </c>
      <c r="E998" t="inlineStr">
        <is>
          <t>No</t>
        </is>
      </c>
      <c r="F998" s="2" t="n">
        <v>0.999</v>
      </c>
      <c r="G998" s="6" t="n">
        <v>20.61</v>
      </c>
      <c r="H998" s="6">
        <f>F998*G998</f>
        <v/>
      </c>
      <c r="I998">
        <f>_xlfn.XLOOKUP(A998,MktTitle,MktCat,"n/a")</f>
        <v/>
      </c>
      <c r="J998" s="3">
        <f>_xlfn.XLOOKUP(A998,MktTitle,MktTotVol,0)</f>
        <v/>
      </c>
      <c r="K998">
        <f>IF(H998&gt;WhaleThreshold,"WHALE","")</f>
        <v/>
      </c>
    </row>
    <row r="999">
      <c r="A999" t="inlineStr">
        <is>
          <t>Will Croatia win the 2026 FIFA World Cup?</t>
        </is>
      </c>
      <c r="B999" s="4" t="n">
        <v>46206</v>
      </c>
      <c r="C999" s="5" t="n">
        <v>46206.04356481481</v>
      </c>
      <c r="D999" t="inlineStr">
        <is>
          <t>SELL</t>
        </is>
      </c>
      <c r="E999" t="inlineStr">
        <is>
          <t>No</t>
        </is>
      </c>
      <c r="F999" s="2" t="n">
        <v>0.999</v>
      </c>
      <c r="G999" s="6" t="n">
        <v>20.83</v>
      </c>
      <c r="H999" s="6">
        <f>F999*G999</f>
        <v/>
      </c>
      <c r="I999">
        <f>_xlfn.XLOOKUP(A999,MktTitle,MktCat,"n/a")</f>
        <v/>
      </c>
      <c r="J999" s="3">
        <f>_xlfn.XLOOKUP(A999,MktTitle,MktTotVol,0)</f>
        <v/>
      </c>
      <c r="K999">
        <f>IF(H999&gt;WhaleThreshold,"WHALE","")</f>
        <v/>
      </c>
    </row>
    <row r="1000">
      <c r="A1000" t="inlineStr">
        <is>
          <t>Will Croatia win the 2026 FIFA World Cup?</t>
        </is>
      </c>
      <c r="B1000" s="4" t="n">
        <v>46206</v>
      </c>
      <c r="C1000" s="5" t="n">
        <v>46206.04356481481</v>
      </c>
      <c r="D1000" t="inlineStr">
        <is>
          <t>SELL</t>
        </is>
      </c>
      <c r="E1000" t="inlineStr">
        <is>
          <t>No</t>
        </is>
      </c>
      <c r="F1000" s="2" t="n">
        <v>0.999</v>
      </c>
      <c r="G1000" s="6" t="n">
        <v>31.11</v>
      </c>
      <c r="H1000" s="6">
        <f>F1000*G1000</f>
        <v/>
      </c>
      <c r="I1000">
        <f>_xlfn.XLOOKUP(A1000,MktTitle,MktCat,"n/a")</f>
        <v/>
      </c>
      <c r="J1000" s="3">
        <f>_xlfn.XLOOKUP(A1000,MktTitle,MktTotVol,0)</f>
        <v/>
      </c>
      <c r="K1000">
        <f>IF(H1000&gt;WhaleThreshold,"WHALE","")</f>
        <v/>
      </c>
    </row>
    <row r="1001">
      <c r="A1001" t="inlineStr">
        <is>
          <t>Will Croatia win the 2026 FIFA World Cup?</t>
        </is>
      </c>
      <c r="B1001" s="4" t="n">
        <v>46206</v>
      </c>
      <c r="C1001" s="5" t="n">
        <v>46206.04356481481</v>
      </c>
      <c r="D1001" t="inlineStr">
        <is>
          <t>SELL</t>
        </is>
      </c>
      <c r="E1001" t="inlineStr">
        <is>
          <t>No</t>
        </is>
      </c>
      <c r="F1001" s="2" t="n">
        <v>0.999</v>
      </c>
      <c r="G1001" s="6" t="n">
        <v>20.79</v>
      </c>
      <c r="H1001" s="6">
        <f>F1001*G1001</f>
        <v/>
      </c>
      <c r="I1001">
        <f>_xlfn.XLOOKUP(A1001,MktTitle,MktCat,"n/a")</f>
        <v/>
      </c>
      <c r="J1001" s="3">
        <f>_xlfn.XLOOKUP(A1001,MktTitle,MktTotVol,0)</f>
        <v/>
      </c>
      <c r="K1001">
        <f>IF(H1001&gt;WhaleThreshold,"WHALE","")</f>
        <v/>
      </c>
    </row>
    <row r="1002">
      <c r="A1002" t="inlineStr">
        <is>
          <t>Will Croatia win the 2026 FIFA World Cup?</t>
        </is>
      </c>
      <c r="B1002" s="4" t="n">
        <v>46206</v>
      </c>
      <c r="C1002" s="5" t="n">
        <v>46206.04356481481</v>
      </c>
      <c r="D1002" t="inlineStr">
        <is>
          <t>SELL</t>
        </is>
      </c>
      <c r="E1002" t="inlineStr">
        <is>
          <t>No</t>
        </is>
      </c>
      <c r="F1002" s="2" t="n">
        <v>0.999</v>
      </c>
      <c r="G1002" s="6" t="n">
        <v>147.77</v>
      </c>
      <c r="H1002" s="6">
        <f>F1002*G1002</f>
        <v/>
      </c>
      <c r="I1002">
        <f>_xlfn.XLOOKUP(A1002,MktTitle,MktCat,"n/a")</f>
        <v/>
      </c>
      <c r="J1002" s="3">
        <f>_xlfn.XLOOKUP(A1002,MktTitle,MktTotVol,0)</f>
        <v/>
      </c>
      <c r="K1002">
        <f>IF(H1002&gt;WhaleThreshold,"WHALE","")</f>
        <v/>
      </c>
    </row>
    <row r="1003">
      <c r="A1003" t="inlineStr">
        <is>
          <t>Will Croatia win the 2026 FIFA World Cup?</t>
        </is>
      </c>
      <c r="B1003" s="4" t="n">
        <v>46206</v>
      </c>
      <c r="C1003" s="5" t="n">
        <v>46206.04356481481</v>
      </c>
      <c r="D1003" t="inlineStr">
        <is>
          <t>SELL</t>
        </is>
      </c>
      <c r="E1003" t="inlineStr">
        <is>
          <t>No</t>
        </is>
      </c>
      <c r="F1003" s="2" t="n">
        <v>0.999</v>
      </c>
      <c r="G1003" s="6" t="n">
        <v>30.03</v>
      </c>
      <c r="H1003" s="6">
        <f>F1003*G1003</f>
        <v/>
      </c>
      <c r="I1003">
        <f>_xlfn.XLOOKUP(A1003,MktTitle,MktCat,"n/a")</f>
        <v/>
      </c>
      <c r="J1003" s="3">
        <f>_xlfn.XLOOKUP(A1003,MktTitle,MktTotVol,0)</f>
        <v/>
      </c>
      <c r="K1003">
        <f>IF(H1003&gt;WhaleThreshold,"WHALE","")</f>
        <v/>
      </c>
    </row>
    <row r="1004">
      <c r="A1004" t="inlineStr">
        <is>
          <t>Will Croatia win the 2026 FIFA World Cup?</t>
        </is>
      </c>
      <c r="B1004" s="4" t="n">
        <v>46206</v>
      </c>
      <c r="C1004" s="5" t="n">
        <v>46206.04356481481</v>
      </c>
      <c r="D1004" t="inlineStr">
        <is>
          <t>SELL</t>
        </is>
      </c>
      <c r="E1004" t="inlineStr">
        <is>
          <t>No</t>
        </is>
      </c>
      <c r="F1004" s="2" t="n">
        <v>0.999</v>
      </c>
      <c r="G1004" s="6" t="n">
        <v>116.22</v>
      </c>
      <c r="H1004" s="6">
        <f>F1004*G1004</f>
        <v/>
      </c>
      <c r="I1004">
        <f>_xlfn.XLOOKUP(A1004,MktTitle,MktCat,"n/a")</f>
        <v/>
      </c>
      <c r="J1004" s="3">
        <f>_xlfn.XLOOKUP(A1004,MktTitle,MktTotVol,0)</f>
        <v/>
      </c>
      <c r="K1004">
        <f>IF(H1004&gt;WhaleThreshold,"WHALE","")</f>
        <v/>
      </c>
    </row>
    <row r="1005">
      <c r="A1005" t="inlineStr">
        <is>
          <t>Will Croatia win the 2026 FIFA World Cup?</t>
        </is>
      </c>
      <c r="B1005" s="4" t="n">
        <v>46206</v>
      </c>
      <c r="C1005" s="5" t="n">
        <v>46206.04356481481</v>
      </c>
      <c r="D1005" t="inlineStr">
        <is>
          <t>SELL</t>
        </is>
      </c>
      <c r="E1005" t="inlineStr">
        <is>
          <t>No</t>
        </is>
      </c>
      <c r="F1005" s="2" t="n">
        <v>0.999</v>
      </c>
      <c r="G1005" s="6" t="n">
        <v>19.19</v>
      </c>
      <c r="H1005" s="6">
        <f>F1005*G1005</f>
        <v/>
      </c>
      <c r="I1005">
        <f>_xlfn.XLOOKUP(A1005,MktTitle,MktCat,"n/a")</f>
        <v/>
      </c>
      <c r="J1005" s="3">
        <f>_xlfn.XLOOKUP(A1005,MktTitle,MktTotVol,0)</f>
        <v/>
      </c>
      <c r="K1005">
        <f>IF(H1005&gt;WhaleThreshold,"WHALE","")</f>
        <v/>
      </c>
    </row>
    <row r="1006">
      <c r="A1006" t="inlineStr">
        <is>
          <t>Will Croatia win the 2026 FIFA World Cup?</t>
        </is>
      </c>
      <c r="B1006" s="4" t="n">
        <v>46206</v>
      </c>
      <c r="C1006" s="5" t="n">
        <v>46206.04356481481</v>
      </c>
      <c r="D1006" t="inlineStr">
        <is>
          <t>SELL</t>
        </is>
      </c>
      <c r="E1006" t="inlineStr">
        <is>
          <t>No</t>
        </is>
      </c>
      <c r="F1006" s="2" t="n">
        <v>0.999</v>
      </c>
      <c r="G1006" s="6" t="n">
        <v>91.31</v>
      </c>
      <c r="H1006" s="6">
        <f>F1006*G1006</f>
        <v/>
      </c>
      <c r="I1006">
        <f>_xlfn.XLOOKUP(A1006,MktTitle,MktCat,"n/a")</f>
        <v/>
      </c>
      <c r="J1006" s="3">
        <f>_xlfn.XLOOKUP(A1006,MktTitle,MktTotVol,0)</f>
        <v/>
      </c>
      <c r="K1006">
        <f>IF(H1006&gt;WhaleThreshold,"WHALE","")</f>
        <v/>
      </c>
    </row>
    <row r="1007">
      <c r="A1007" t="inlineStr">
        <is>
          <t>Will Croatia win the 2026 FIFA World Cup?</t>
        </is>
      </c>
      <c r="B1007" s="4" t="n">
        <v>46206</v>
      </c>
      <c r="C1007" s="5" t="n">
        <v>46206.04356481481</v>
      </c>
      <c r="D1007" t="inlineStr">
        <is>
          <t>SELL</t>
        </is>
      </c>
      <c r="E1007" t="inlineStr">
        <is>
          <t>No</t>
        </is>
      </c>
      <c r="F1007" s="2" t="n">
        <v>0.999</v>
      </c>
      <c r="G1007" s="6" t="n">
        <v>20.22</v>
      </c>
      <c r="H1007" s="6">
        <f>F1007*G1007</f>
        <v/>
      </c>
      <c r="I1007">
        <f>_xlfn.XLOOKUP(A1007,MktTitle,MktCat,"n/a")</f>
        <v/>
      </c>
      <c r="J1007" s="3">
        <f>_xlfn.XLOOKUP(A1007,MktTitle,MktTotVol,0)</f>
        <v/>
      </c>
      <c r="K1007">
        <f>IF(H1007&gt;WhaleThreshold,"WHALE","")</f>
        <v/>
      </c>
    </row>
    <row r="1008">
      <c r="A1008" t="inlineStr">
        <is>
          <t>Will Croatia win the 2026 FIFA World Cup?</t>
        </is>
      </c>
      <c r="B1008" s="4" t="n">
        <v>46206</v>
      </c>
      <c r="C1008" s="5" t="n">
        <v>46206.04356481481</v>
      </c>
      <c r="D1008" t="inlineStr">
        <is>
          <t>SELL</t>
        </is>
      </c>
      <c r="E1008" t="inlineStr">
        <is>
          <t>No</t>
        </is>
      </c>
      <c r="F1008" s="2" t="n">
        <v>0.999</v>
      </c>
      <c r="G1008" s="6" t="n">
        <v>19.92</v>
      </c>
      <c r="H1008" s="6">
        <f>F1008*G1008</f>
        <v/>
      </c>
      <c r="I1008">
        <f>_xlfn.XLOOKUP(A1008,MktTitle,MktCat,"n/a")</f>
        <v/>
      </c>
      <c r="J1008" s="3">
        <f>_xlfn.XLOOKUP(A1008,MktTitle,MktTotVol,0)</f>
        <v/>
      </c>
      <c r="K1008">
        <f>IF(H1008&gt;WhaleThreshold,"WHALE","")</f>
        <v/>
      </c>
    </row>
    <row r="1009">
      <c r="A1009" t="inlineStr">
        <is>
          <t>Will Croatia win the 2026 FIFA World Cup?</t>
        </is>
      </c>
      <c r="B1009" s="4" t="n">
        <v>46206</v>
      </c>
      <c r="C1009" s="5" t="n">
        <v>46206.04356481481</v>
      </c>
      <c r="D1009" t="inlineStr">
        <is>
          <t>SELL</t>
        </is>
      </c>
      <c r="E1009" t="inlineStr">
        <is>
          <t>No</t>
        </is>
      </c>
      <c r="F1009" s="2" t="n">
        <v>0.999</v>
      </c>
      <c r="G1009" s="6" t="n">
        <v>46.03</v>
      </c>
      <c r="H1009" s="6">
        <f>F1009*G1009</f>
        <v/>
      </c>
      <c r="I1009">
        <f>_xlfn.XLOOKUP(A1009,MktTitle,MktCat,"n/a")</f>
        <v/>
      </c>
      <c r="J1009" s="3">
        <f>_xlfn.XLOOKUP(A1009,MktTitle,MktTotVol,0)</f>
        <v/>
      </c>
      <c r="K1009">
        <f>IF(H1009&gt;WhaleThreshold,"WHALE","")</f>
        <v/>
      </c>
    </row>
    <row r="1010">
      <c r="A1010" t="inlineStr">
        <is>
          <t>Will Croatia win the 2026 FIFA World Cup?</t>
        </is>
      </c>
      <c r="B1010" s="4" t="n">
        <v>46206</v>
      </c>
      <c r="C1010" s="5" t="n">
        <v>46206.04355324074</v>
      </c>
      <c r="D1010" t="inlineStr">
        <is>
          <t>BUY</t>
        </is>
      </c>
      <c r="E1010" t="inlineStr">
        <is>
          <t>Yes</t>
        </is>
      </c>
      <c r="F1010" s="2" t="n">
        <v>0.001</v>
      </c>
      <c r="G1010" s="6" t="n">
        <v>8800</v>
      </c>
      <c r="H1010" s="6">
        <f>F1010*G1010</f>
        <v/>
      </c>
      <c r="I1010">
        <f>_xlfn.XLOOKUP(A1010,MktTitle,MktCat,"n/a")</f>
        <v/>
      </c>
      <c r="J1010" s="3">
        <f>_xlfn.XLOOKUP(A1010,MktTitle,MktTotVol,0)</f>
        <v/>
      </c>
      <c r="K1010">
        <f>IF(H1010&gt;WhaleThreshold,"WHALE","")</f>
        <v/>
      </c>
    </row>
    <row r="1011">
      <c r="A1011" t="inlineStr">
        <is>
          <t>Will Croatia win the 2026 FIFA World Cup?</t>
        </is>
      </c>
      <c r="B1011" s="4" t="n">
        <v>46206</v>
      </c>
      <c r="C1011" s="5" t="n">
        <v>46206.04355324074</v>
      </c>
      <c r="D1011" t="inlineStr">
        <is>
          <t>BUY</t>
        </is>
      </c>
      <c r="E1011" t="inlineStr">
        <is>
          <t>Yes</t>
        </is>
      </c>
      <c r="F1011" s="2" t="n">
        <v>0.001</v>
      </c>
      <c r="G1011" s="6" t="n">
        <v>5880</v>
      </c>
      <c r="H1011" s="6">
        <f>F1011*G1011</f>
        <v/>
      </c>
      <c r="I1011">
        <f>_xlfn.XLOOKUP(A1011,MktTitle,MktCat,"n/a")</f>
        <v/>
      </c>
      <c r="J1011" s="3">
        <f>_xlfn.XLOOKUP(A1011,MktTitle,MktTotVol,0)</f>
        <v/>
      </c>
      <c r="K1011">
        <f>IF(H1011&gt;WhaleThreshold,"WHALE","")</f>
        <v/>
      </c>
    </row>
    <row r="1012">
      <c r="A1012" t="inlineStr">
        <is>
          <t>Will Croatia win the 2026 FIFA World Cup?</t>
        </is>
      </c>
      <c r="B1012" s="4" t="n">
        <v>46206</v>
      </c>
      <c r="C1012" s="5" t="n">
        <v>46206.04355324074</v>
      </c>
      <c r="D1012" t="inlineStr">
        <is>
          <t>BUY</t>
        </is>
      </c>
      <c r="E1012" t="inlineStr">
        <is>
          <t>Yes</t>
        </is>
      </c>
      <c r="F1012" s="2" t="n">
        <v>0.001</v>
      </c>
      <c r="G1012" s="6" t="n">
        <v>5200</v>
      </c>
      <c r="H1012" s="6">
        <f>F1012*G1012</f>
        <v/>
      </c>
      <c r="I1012">
        <f>_xlfn.XLOOKUP(A1012,MktTitle,MktCat,"n/a")</f>
        <v/>
      </c>
      <c r="J1012" s="3">
        <f>_xlfn.XLOOKUP(A1012,MktTitle,MktTotVol,0)</f>
        <v/>
      </c>
      <c r="K1012">
        <f>IF(H1012&gt;WhaleThreshold,"WHALE","")</f>
        <v/>
      </c>
    </row>
    <row r="1013">
      <c r="A1013" t="inlineStr">
        <is>
          <t>Will Croatia win the 2026 FIFA World Cup?</t>
        </is>
      </c>
      <c r="B1013" s="4" t="n">
        <v>46206</v>
      </c>
      <c r="C1013" s="5" t="n">
        <v>46206.04355324074</v>
      </c>
      <c r="D1013" t="inlineStr">
        <is>
          <t>BUY</t>
        </is>
      </c>
      <c r="E1013" t="inlineStr">
        <is>
          <t>Yes</t>
        </is>
      </c>
      <c r="F1013" s="2" t="n">
        <v>0.001</v>
      </c>
      <c r="G1013" s="6" t="n">
        <v>3440</v>
      </c>
      <c r="H1013" s="6">
        <f>F1013*G1013</f>
        <v/>
      </c>
      <c r="I1013">
        <f>_xlfn.XLOOKUP(A1013,MktTitle,MktCat,"n/a")</f>
        <v/>
      </c>
      <c r="J1013" s="3">
        <f>_xlfn.XLOOKUP(A1013,MktTitle,MktTotVol,0)</f>
        <v/>
      </c>
      <c r="K1013">
        <f>IF(H1013&gt;WhaleThreshold,"WHALE","")</f>
        <v/>
      </c>
    </row>
    <row r="1014">
      <c r="A1014" t="inlineStr">
        <is>
          <t>Will Croatia win the 2026 FIFA World Cup?</t>
        </is>
      </c>
      <c r="B1014" s="4" t="n">
        <v>46206</v>
      </c>
      <c r="C1014" s="5" t="n">
        <v>46206.04355324074</v>
      </c>
      <c r="D1014" t="inlineStr">
        <is>
          <t>BUY</t>
        </is>
      </c>
      <c r="E1014" t="inlineStr">
        <is>
          <t>Yes</t>
        </is>
      </c>
      <c r="F1014" s="2" t="n">
        <v>0.001</v>
      </c>
      <c r="G1014" s="6" t="n">
        <v>9080</v>
      </c>
      <c r="H1014" s="6">
        <f>F1014*G1014</f>
        <v/>
      </c>
      <c r="I1014">
        <f>_xlfn.XLOOKUP(A1014,MktTitle,MktCat,"n/a")</f>
        <v/>
      </c>
      <c r="J1014" s="3">
        <f>_xlfn.XLOOKUP(A1014,MktTitle,MktTotVol,0)</f>
        <v/>
      </c>
      <c r="K1014">
        <f>IF(H1014&gt;WhaleThreshold,"WHALE","")</f>
        <v/>
      </c>
    </row>
    <row r="1015">
      <c r="A1015" t="inlineStr">
        <is>
          <t>Will Croatia win the 2026 FIFA World Cup?</t>
        </is>
      </c>
      <c r="B1015" s="4" t="n">
        <v>46206</v>
      </c>
      <c r="C1015" s="5" t="n">
        <v>46206.04355324074</v>
      </c>
      <c r="D1015" t="inlineStr">
        <is>
          <t>BUY</t>
        </is>
      </c>
      <c r="E1015" t="inlineStr">
        <is>
          <t>Yes</t>
        </is>
      </c>
      <c r="F1015" s="2" t="n">
        <v>0.001</v>
      </c>
      <c r="G1015" s="6" t="n">
        <v>7760</v>
      </c>
      <c r="H1015" s="6">
        <f>F1015*G1015</f>
        <v/>
      </c>
      <c r="I1015">
        <f>_xlfn.XLOOKUP(A1015,MktTitle,MktCat,"n/a")</f>
        <v/>
      </c>
      <c r="J1015" s="3">
        <f>_xlfn.XLOOKUP(A1015,MktTitle,MktTotVol,0)</f>
        <v/>
      </c>
      <c r="K1015">
        <f>IF(H1015&gt;WhaleThreshold,"WHALE","")</f>
        <v/>
      </c>
    </row>
    <row r="1016">
      <c r="A1016" t="inlineStr">
        <is>
          <t>Will Croatia win the 2026 FIFA World Cup?</t>
        </is>
      </c>
      <c r="B1016" s="4" t="n">
        <v>46206</v>
      </c>
      <c r="C1016" s="5" t="n">
        <v>46206.04353009259</v>
      </c>
      <c r="D1016" t="inlineStr">
        <is>
          <t>BUY</t>
        </is>
      </c>
      <c r="E1016" t="inlineStr">
        <is>
          <t>Yes</t>
        </is>
      </c>
      <c r="F1016" s="2" t="n">
        <v>0.001</v>
      </c>
      <c r="G1016" s="6" t="n">
        <v>1000000</v>
      </c>
      <c r="H1016" s="6">
        <f>F1016*G1016</f>
        <v/>
      </c>
      <c r="I1016">
        <f>_xlfn.XLOOKUP(A1016,MktTitle,MktCat,"n/a")</f>
        <v/>
      </c>
      <c r="J1016" s="3">
        <f>_xlfn.XLOOKUP(A1016,MktTitle,MktTotVol,0)</f>
        <v/>
      </c>
      <c r="K1016">
        <f>IF(H1016&gt;WhaleThreshold,"WHALE","")</f>
        <v/>
      </c>
    </row>
    <row r="1017">
      <c r="A1017" t="inlineStr">
        <is>
          <t>Will Croatia win the 2026 FIFA World Cup?</t>
        </is>
      </c>
      <c r="B1017" s="4" t="n">
        <v>46206</v>
      </c>
      <c r="C1017" s="5" t="n">
        <v>46206.04351851852</v>
      </c>
      <c r="D1017" t="inlineStr">
        <is>
          <t>BUY</t>
        </is>
      </c>
      <c r="E1017" t="inlineStr">
        <is>
          <t>Yes</t>
        </is>
      </c>
      <c r="F1017" s="2" t="n">
        <v>0.001</v>
      </c>
      <c r="G1017" s="6" t="n">
        <v>3720</v>
      </c>
      <c r="H1017" s="6">
        <f>F1017*G1017</f>
        <v/>
      </c>
      <c r="I1017">
        <f>_xlfn.XLOOKUP(A1017,MktTitle,MktCat,"n/a")</f>
        <v/>
      </c>
      <c r="J1017" s="3">
        <f>_xlfn.XLOOKUP(A1017,MktTitle,MktTotVol,0)</f>
        <v/>
      </c>
      <c r="K1017">
        <f>IF(H1017&gt;WhaleThreshold,"WHALE","")</f>
        <v/>
      </c>
    </row>
    <row r="1018">
      <c r="A1018" t="inlineStr">
        <is>
          <t>Will Croatia win the 2026 FIFA World Cup?</t>
        </is>
      </c>
      <c r="B1018" s="4" t="n">
        <v>46206</v>
      </c>
      <c r="C1018" s="5" t="n">
        <v>46206.04137731482</v>
      </c>
      <c r="D1018" t="inlineStr">
        <is>
          <t>BUY</t>
        </is>
      </c>
      <c r="E1018" t="inlineStr">
        <is>
          <t>Yes</t>
        </is>
      </c>
      <c r="F1018" s="2" t="n">
        <v>0.001</v>
      </c>
      <c r="G1018" s="6" t="n">
        <v>10000</v>
      </c>
      <c r="H1018" s="6">
        <f>F1018*G1018</f>
        <v/>
      </c>
      <c r="I1018">
        <f>_xlfn.XLOOKUP(A1018,MktTitle,MktCat,"n/a")</f>
        <v/>
      </c>
      <c r="J1018" s="3">
        <f>_xlfn.XLOOKUP(A1018,MktTitle,MktTotVol,0)</f>
        <v/>
      </c>
      <c r="K1018">
        <f>IF(H1018&gt;WhaleThreshold,"WHALE","")</f>
        <v/>
      </c>
    </row>
    <row r="1019">
      <c r="A1019" t="inlineStr">
        <is>
          <t>Will Croatia win the 2026 FIFA World Cup?</t>
        </is>
      </c>
      <c r="B1019" s="4" t="n">
        <v>46206</v>
      </c>
      <c r="C1019" s="5" t="n">
        <v>46206.04054398148</v>
      </c>
      <c r="D1019" t="inlineStr">
        <is>
          <t>SELL</t>
        </is>
      </c>
      <c r="E1019" t="inlineStr">
        <is>
          <t>No</t>
        </is>
      </c>
      <c r="F1019" s="2" t="n">
        <v>0.999</v>
      </c>
      <c r="G1019" s="6" t="n">
        <v>79.89</v>
      </c>
      <c r="H1019" s="6">
        <f>F1019*G1019</f>
        <v/>
      </c>
      <c r="I1019">
        <f>_xlfn.XLOOKUP(A1019,MktTitle,MktCat,"n/a")</f>
        <v/>
      </c>
      <c r="J1019" s="3">
        <f>_xlfn.XLOOKUP(A1019,MktTitle,MktTotVol,0)</f>
        <v/>
      </c>
      <c r="K1019">
        <f>IF(H1019&gt;WhaleThreshold,"WHALE","")</f>
        <v/>
      </c>
    </row>
    <row r="1020">
      <c r="A1020" t="inlineStr">
        <is>
          <t>Will Croatia win the 2026 FIFA World Cup?</t>
        </is>
      </c>
      <c r="B1020" s="4" t="n">
        <v>46206</v>
      </c>
      <c r="C1020" s="5" t="n">
        <v>46206.03998842592</v>
      </c>
      <c r="D1020" t="inlineStr">
        <is>
          <t>SELL</t>
        </is>
      </c>
      <c r="E1020" t="inlineStr">
        <is>
          <t>No</t>
        </is>
      </c>
      <c r="F1020" s="2" t="n">
        <v>0.999</v>
      </c>
      <c r="G1020" s="6" t="n">
        <v>36.72</v>
      </c>
      <c r="H1020" s="6">
        <f>F1020*G1020</f>
        <v/>
      </c>
      <c r="I1020">
        <f>_xlfn.XLOOKUP(A1020,MktTitle,MktCat,"n/a")</f>
        <v/>
      </c>
      <c r="J1020" s="3">
        <f>_xlfn.XLOOKUP(A1020,MktTitle,MktTotVol,0)</f>
        <v/>
      </c>
      <c r="K1020">
        <f>IF(H1020&gt;WhaleThreshold,"WHALE","")</f>
        <v/>
      </c>
    </row>
    <row r="1021">
      <c r="A1021" t="inlineStr">
        <is>
          <t>Will Croatia win the 2026 FIFA World Cup?</t>
        </is>
      </c>
      <c r="B1021" s="4" t="n">
        <v>46206</v>
      </c>
      <c r="C1021" s="5" t="n">
        <v>46206.03987268519</v>
      </c>
      <c r="D1021" t="inlineStr">
        <is>
          <t>SELL</t>
        </is>
      </c>
      <c r="E1021" t="inlineStr">
        <is>
          <t>No</t>
        </is>
      </c>
      <c r="F1021" s="2" t="n">
        <v>0.999</v>
      </c>
      <c r="G1021" s="6" t="n">
        <v>19.92</v>
      </c>
      <c r="H1021" s="6">
        <f>F1021*G1021</f>
        <v/>
      </c>
      <c r="I1021">
        <f>_xlfn.XLOOKUP(A1021,MktTitle,MktCat,"n/a")</f>
        <v/>
      </c>
      <c r="J1021" s="3">
        <f>_xlfn.XLOOKUP(A1021,MktTitle,MktTotVol,0)</f>
        <v/>
      </c>
      <c r="K1021">
        <f>IF(H1021&gt;WhaleThreshold,"WHALE","")</f>
        <v/>
      </c>
    </row>
    <row r="1022">
      <c r="A1022" t="inlineStr">
        <is>
          <t>Will Croatia win the 2026 FIFA World Cup?</t>
        </is>
      </c>
      <c r="B1022" s="4" t="n">
        <v>46206</v>
      </c>
      <c r="C1022" s="5" t="n">
        <v>46206.03984953704</v>
      </c>
      <c r="D1022" t="inlineStr">
        <is>
          <t>SELL</t>
        </is>
      </c>
      <c r="E1022" t="inlineStr">
        <is>
          <t>No</t>
        </is>
      </c>
      <c r="F1022" s="2" t="n">
        <v>0.999</v>
      </c>
      <c r="G1022" s="6" t="n">
        <v>31.1</v>
      </c>
      <c r="H1022" s="6">
        <f>F1022*G1022</f>
        <v/>
      </c>
      <c r="I1022">
        <f>_xlfn.XLOOKUP(A1022,MktTitle,MktCat,"n/a")</f>
        <v/>
      </c>
      <c r="J1022" s="3">
        <f>_xlfn.XLOOKUP(A1022,MktTitle,MktTotVol,0)</f>
        <v/>
      </c>
      <c r="K1022">
        <f>IF(H1022&gt;WhaleThreshold,"WHALE","")</f>
        <v/>
      </c>
    </row>
    <row r="1023">
      <c r="A1023" t="inlineStr">
        <is>
          <t>Will Croatia win the 2026 FIFA World Cup?</t>
        </is>
      </c>
      <c r="B1023" s="4" t="n">
        <v>46206</v>
      </c>
      <c r="C1023" s="5" t="n">
        <v>46206.03984953704</v>
      </c>
      <c r="D1023" t="inlineStr">
        <is>
          <t>SELL</t>
        </is>
      </c>
      <c r="E1023" t="inlineStr">
        <is>
          <t>No</t>
        </is>
      </c>
      <c r="F1023" s="2" t="n">
        <v>0.999</v>
      </c>
      <c r="G1023" s="6" t="n">
        <v>20.22</v>
      </c>
      <c r="H1023" s="6">
        <f>F1023*G1023</f>
        <v/>
      </c>
      <c r="I1023">
        <f>_xlfn.XLOOKUP(A1023,MktTitle,MktCat,"n/a")</f>
        <v/>
      </c>
      <c r="J1023" s="3">
        <f>_xlfn.XLOOKUP(A1023,MktTitle,MktTotVol,0)</f>
        <v/>
      </c>
      <c r="K1023">
        <f>IF(H1023&gt;WhaleThreshold,"WHALE","")</f>
        <v/>
      </c>
    </row>
    <row r="1024">
      <c r="A1024" t="inlineStr">
        <is>
          <t>Will Croatia win the 2026 FIFA World Cup?</t>
        </is>
      </c>
      <c r="B1024" s="4" t="n">
        <v>46206</v>
      </c>
      <c r="C1024" s="5" t="n">
        <v>46206.03984953704</v>
      </c>
      <c r="D1024" t="inlineStr">
        <is>
          <t>SELL</t>
        </is>
      </c>
      <c r="E1024" t="inlineStr">
        <is>
          <t>No</t>
        </is>
      </c>
      <c r="F1024" s="2" t="n">
        <v>0.999</v>
      </c>
      <c r="G1024" s="6" t="n">
        <v>30.03</v>
      </c>
      <c r="H1024" s="6">
        <f>F1024*G1024</f>
        <v/>
      </c>
      <c r="I1024">
        <f>_xlfn.XLOOKUP(A1024,MktTitle,MktCat,"n/a")</f>
        <v/>
      </c>
      <c r="J1024" s="3">
        <f>_xlfn.XLOOKUP(A1024,MktTitle,MktTotVol,0)</f>
        <v/>
      </c>
      <c r="K1024">
        <f>IF(H1024&gt;WhaleThreshold,"WHALE","")</f>
        <v/>
      </c>
    </row>
    <row r="1025">
      <c r="A1025" t="inlineStr">
        <is>
          <t>Will Croatia win the 2026 FIFA World Cup?</t>
        </is>
      </c>
      <c r="B1025" s="4" t="n">
        <v>46206</v>
      </c>
      <c r="C1025" s="5" t="n">
        <v>46206.03983796296</v>
      </c>
      <c r="D1025" t="inlineStr">
        <is>
          <t>SELL</t>
        </is>
      </c>
      <c r="E1025" t="inlineStr">
        <is>
          <t>No</t>
        </is>
      </c>
      <c r="F1025" s="2" t="n">
        <v>0.999</v>
      </c>
      <c r="G1025" s="6" t="n">
        <v>20.79</v>
      </c>
      <c r="H1025" s="6">
        <f>F1025*G1025</f>
        <v/>
      </c>
      <c r="I1025">
        <f>_xlfn.XLOOKUP(A1025,MktTitle,MktCat,"n/a")</f>
        <v/>
      </c>
      <c r="J1025" s="3">
        <f>_xlfn.XLOOKUP(A1025,MktTitle,MktTotVol,0)</f>
        <v/>
      </c>
      <c r="K1025">
        <f>IF(H1025&gt;WhaleThreshold,"WHALE","")</f>
        <v/>
      </c>
    </row>
    <row r="1026">
      <c r="A1026" t="inlineStr">
        <is>
          <t>Will Croatia win the 2026 FIFA World Cup?</t>
        </is>
      </c>
      <c r="B1026" s="4" t="n">
        <v>46206</v>
      </c>
      <c r="C1026" s="5" t="n">
        <v>46206.03983796296</v>
      </c>
      <c r="D1026" t="inlineStr">
        <is>
          <t>SELL</t>
        </is>
      </c>
      <c r="E1026" t="inlineStr">
        <is>
          <t>No</t>
        </is>
      </c>
      <c r="F1026" s="2" t="n">
        <v>0.999</v>
      </c>
      <c r="G1026" s="6" t="n">
        <v>97.28</v>
      </c>
      <c r="H1026" s="6">
        <f>F1026*G1026</f>
        <v/>
      </c>
      <c r="I1026">
        <f>_xlfn.XLOOKUP(A1026,MktTitle,MktCat,"n/a")</f>
        <v/>
      </c>
      <c r="J1026" s="3">
        <f>_xlfn.XLOOKUP(A1026,MktTitle,MktTotVol,0)</f>
        <v/>
      </c>
      <c r="K1026">
        <f>IF(H1026&gt;WhaleThreshold,"WHALE","")</f>
        <v/>
      </c>
    </row>
    <row r="1027">
      <c r="A1027" t="inlineStr">
        <is>
          <t>Will Croatia win the 2026 FIFA World Cup?</t>
        </is>
      </c>
      <c r="B1027" s="4" t="n">
        <v>46206</v>
      </c>
      <c r="C1027" s="5" t="n">
        <v>46206.03983796296</v>
      </c>
      <c r="D1027" t="inlineStr">
        <is>
          <t>SELL</t>
        </is>
      </c>
      <c r="E1027" t="inlineStr">
        <is>
          <t>No</t>
        </is>
      </c>
      <c r="F1027" s="2" t="n">
        <v>0.999</v>
      </c>
      <c r="G1027" s="6" t="n">
        <v>19.19</v>
      </c>
      <c r="H1027" s="6">
        <f>F1027*G1027</f>
        <v/>
      </c>
      <c r="I1027">
        <f>_xlfn.XLOOKUP(A1027,MktTitle,MktCat,"n/a")</f>
        <v/>
      </c>
      <c r="J1027" s="3">
        <f>_xlfn.XLOOKUP(A1027,MktTitle,MktTotVol,0)</f>
        <v/>
      </c>
      <c r="K1027">
        <f>IF(H1027&gt;WhaleThreshold,"WHALE","")</f>
        <v/>
      </c>
    </row>
    <row r="1028">
      <c r="A1028" t="inlineStr">
        <is>
          <t>Will Croatia win the 2026 FIFA World Cup?</t>
        </is>
      </c>
      <c r="B1028" s="4" t="n">
        <v>46206</v>
      </c>
      <c r="C1028" s="5" t="n">
        <v>46206.03983796296</v>
      </c>
      <c r="D1028" t="inlineStr">
        <is>
          <t>SELL</t>
        </is>
      </c>
      <c r="E1028" t="inlineStr">
        <is>
          <t>No</t>
        </is>
      </c>
      <c r="F1028" s="2" t="n">
        <v>0.999</v>
      </c>
      <c r="G1028" s="6" t="n">
        <v>111.07</v>
      </c>
      <c r="H1028" s="6">
        <f>F1028*G1028</f>
        <v/>
      </c>
      <c r="I1028">
        <f>_xlfn.XLOOKUP(A1028,MktTitle,MktCat,"n/a")</f>
        <v/>
      </c>
      <c r="J1028" s="3">
        <f>_xlfn.XLOOKUP(A1028,MktTitle,MktTotVol,0)</f>
        <v/>
      </c>
      <c r="K1028">
        <f>IF(H1028&gt;WhaleThreshold,"WHALE","")</f>
        <v/>
      </c>
    </row>
    <row r="1029">
      <c r="A1029" t="inlineStr">
        <is>
          <t>Will Croatia win the 2026 FIFA World Cup?</t>
        </is>
      </c>
      <c r="B1029" s="4" t="n">
        <v>46206</v>
      </c>
      <c r="C1029" s="5" t="n">
        <v>46206.03983796296</v>
      </c>
      <c r="D1029" t="inlineStr">
        <is>
          <t>SELL</t>
        </is>
      </c>
      <c r="E1029" t="inlineStr">
        <is>
          <t>No</t>
        </is>
      </c>
      <c r="F1029" s="2" t="n">
        <v>0.999</v>
      </c>
      <c r="G1029" s="6" t="n">
        <v>20.46</v>
      </c>
      <c r="H1029" s="6">
        <f>F1029*G1029</f>
        <v/>
      </c>
      <c r="I1029">
        <f>_xlfn.XLOOKUP(A1029,MktTitle,MktCat,"n/a")</f>
        <v/>
      </c>
      <c r="J1029" s="3">
        <f>_xlfn.XLOOKUP(A1029,MktTitle,MktTotVol,0)</f>
        <v/>
      </c>
      <c r="K1029">
        <f>IF(H1029&gt;WhaleThreshold,"WHALE","")</f>
        <v/>
      </c>
    </row>
    <row r="1030">
      <c r="A1030" t="inlineStr">
        <is>
          <t>Will Croatia win the 2026 FIFA World Cup?</t>
        </is>
      </c>
      <c r="B1030" s="4" t="n">
        <v>46206</v>
      </c>
      <c r="C1030" s="5" t="n">
        <v>46206.03983796296</v>
      </c>
      <c r="D1030" t="inlineStr">
        <is>
          <t>SELL</t>
        </is>
      </c>
      <c r="E1030" t="inlineStr">
        <is>
          <t>No</t>
        </is>
      </c>
      <c r="F1030" s="2" t="n">
        <v>0.999</v>
      </c>
      <c r="G1030" s="6" t="n">
        <v>20.83</v>
      </c>
      <c r="H1030" s="6">
        <f>F1030*G1030</f>
        <v/>
      </c>
      <c r="I1030">
        <f>_xlfn.XLOOKUP(A1030,MktTitle,MktCat,"n/a")</f>
        <v/>
      </c>
      <c r="J1030" s="3">
        <f>_xlfn.XLOOKUP(A1030,MktTitle,MktTotVol,0)</f>
        <v/>
      </c>
      <c r="K1030">
        <f>IF(H1030&gt;WhaleThreshold,"WHALE","")</f>
        <v/>
      </c>
    </row>
    <row r="1031">
      <c r="A1031" t="inlineStr">
        <is>
          <t>Will Croatia win the 2026 FIFA World Cup?</t>
        </is>
      </c>
      <c r="B1031" s="4" t="n">
        <v>46206</v>
      </c>
      <c r="C1031" s="5" t="n">
        <v>46206.03983796296</v>
      </c>
      <c r="D1031" t="inlineStr">
        <is>
          <t>SELL</t>
        </is>
      </c>
      <c r="E1031" t="inlineStr">
        <is>
          <t>No</t>
        </is>
      </c>
      <c r="F1031" s="2" t="n">
        <v>0.999</v>
      </c>
      <c r="G1031" s="6" t="n">
        <v>46.03</v>
      </c>
      <c r="H1031" s="6">
        <f>F1031*G1031</f>
        <v/>
      </c>
      <c r="I1031">
        <f>_xlfn.XLOOKUP(A1031,MktTitle,MktCat,"n/a")</f>
        <v/>
      </c>
      <c r="J1031" s="3">
        <f>_xlfn.XLOOKUP(A1031,MktTitle,MktTotVol,0)</f>
        <v/>
      </c>
      <c r="K1031">
        <f>IF(H1031&gt;WhaleThreshold,"WHALE","")</f>
        <v/>
      </c>
    </row>
    <row r="1032">
      <c r="A1032" t="inlineStr">
        <is>
          <t>Will Croatia win the 2026 FIFA World Cup?</t>
        </is>
      </c>
      <c r="B1032" s="4" t="n">
        <v>46206</v>
      </c>
      <c r="C1032" s="5" t="n">
        <v>46206.03981481482</v>
      </c>
      <c r="D1032" t="inlineStr">
        <is>
          <t>BUY</t>
        </is>
      </c>
      <c r="E1032" t="inlineStr">
        <is>
          <t>Yes</t>
        </is>
      </c>
      <c r="F1032" s="2" t="n">
        <v>0.001</v>
      </c>
      <c r="G1032" s="6" t="n">
        <v>5000</v>
      </c>
      <c r="H1032" s="6">
        <f>F1032*G1032</f>
        <v/>
      </c>
      <c r="I1032">
        <f>_xlfn.XLOOKUP(A1032,MktTitle,MktCat,"n/a")</f>
        <v/>
      </c>
      <c r="J1032" s="3">
        <f>_xlfn.XLOOKUP(A1032,MktTitle,MktTotVol,0)</f>
        <v/>
      </c>
      <c r="K1032">
        <f>IF(H1032&gt;WhaleThreshold,"WHALE","")</f>
        <v/>
      </c>
    </row>
    <row r="1033">
      <c r="A1033" t="inlineStr">
        <is>
          <t>Will Croatia win the 2026 FIFA World Cup?</t>
        </is>
      </c>
      <c r="B1033" s="4" t="n">
        <v>46206</v>
      </c>
      <c r="C1033" s="5" t="n">
        <v>46206.03980324074</v>
      </c>
      <c r="D1033" t="inlineStr">
        <is>
          <t>BUY</t>
        </is>
      </c>
      <c r="E1033" t="inlineStr">
        <is>
          <t>Yes</t>
        </is>
      </c>
      <c r="F1033" s="2" t="n">
        <v>0.001</v>
      </c>
      <c r="G1033" s="6" t="n">
        <v>1400</v>
      </c>
      <c r="H1033" s="6">
        <f>F1033*G1033</f>
        <v/>
      </c>
      <c r="I1033">
        <f>_xlfn.XLOOKUP(A1033,MktTitle,MktCat,"n/a")</f>
        <v/>
      </c>
      <c r="J1033" s="3">
        <f>_xlfn.XLOOKUP(A1033,MktTitle,MktTotVol,0)</f>
        <v/>
      </c>
      <c r="K1033">
        <f>IF(H1033&gt;WhaleThreshold,"WHALE","")</f>
        <v/>
      </c>
    </row>
    <row r="1034">
      <c r="A1034" t="inlineStr">
        <is>
          <t>Will Croatia win the 2026 FIFA World Cup?</t>
        </is>
      </c>
      <c r="B1034" s="4" t="n">
        <v>46206</v>
      </c>
      <c r="C1034" s="5" t="n">
        <v>46206.03976851852</v>
      </c>
      <c r="D1034" t="inlineStr">
        <is>
          <t>BUY</t>
        </is>
      </c>
      <c r="E1034" t="inlineStr">
        <is>
          <t>Yes</t>
        </is>
      </c>
      <c r="F1034" s="2" t="n">
        <v>0.001</v>
      </c>
      <c r="G1034" s="6" t="n">
        <v>5000</v>
      </c>
      <c r="H1034" s="6">
        <f>F1034*G1034</f>
        <v/>
      </c>
      <c r="I1034">
        <f>_xlfn.XLOOKUP(A1034,MktTitle,MktCat,"n/a")</f>
        <v/>
      </c>
      <c r="J1034" s="3">
        <f>_xlfn.XLOOKUP(A1034,MktTitle,MktTotVol,0)</f>
        <v/>
      </c>
      <c r="K1034">
        <f>IF(H1034&gt;WhaleThreshold,"WHALE","")</f>
        <v/>
      </c>
    </row>
    <row r="1035">
      <c r="A1035" t="inlineStr">
        <is>
          <t>Will Croatia win the 2026 FIFA World Cup?</t>
        </is>
      </c>
      <c r="B1035" s="4" t="n">
        <v>46206</v>
      </c>
      <c r="C1035" s="5" t="n">
        <v>46206.03907407408</v>
      </c>
      <c r="D1035" t="inlineStr">
        <is>
          <t>SELL</t>
        </is>
      </c>
      <c r="E1035" t="inlineStr">
        <is>
          <t>No</t>
        </is>
      </c>
      <c r="F1035" s="2" t="n">
        <v>0.999</v>
      </c>
      <c r="G1035" s="6" t="n">
        <v>7.02</v>
      </c>
      <c r="H1035" s="6">
        <f>F1035*G1035</f>
        <v/>
      </c>
      <c r="I1035">
        <f>_xlfn.XLOOKUP(A1035,MktTitle,MktCat,"n/a")</f>
        <v/>
      </c>
      <c r="J1035" s="3">
        <f>_xlfn.XLOOKUP(A1035,MktTitle,MktTotVol,0)</f>
        <v/>
      </c>
      <c r="K1035">
        <f>IF(H1035&gt;WhaleThreshold,"WHALE","")</f>
        <v/>
      </c>
    </row>
    <row r="1036">
      <c r="A1036" t="inlineStr">
        <is>
          <t>Will Croatia win the 2026 FIFA World Cup?</t>
        </is>
      </c>
      <c r="B1036" s="4" t="n">
        <v>46206</v>
      </c>
      <c r="C1036" s="5" t="n">
        <v>46206.03855324074</v>
      </c>
      <c r="D1036" t="inlineStr">
        <is>
          <t>SELL</t>
        </is>
      </c>
      <c r="E1036" t="inlineStr">
        <is>
          <t>No</t>
        </is>
      </c>
      <c r="F1036" s="2" t="n">
        <v>0.999</v>
      </c>
      <c r="G1036" s="6" t="n">
        <v>83.76000000000001</v>
      </c>
      <c r="H1036" s="6">
        <f>F1036*G1036</f>
        <v/>
      </c>
      <c r="I1036">
        <f>_xlfn.XLOOKUP(A1036,MktTitle,MktCat,"n/a")</f>
        <v/>
      </c>
      <c r="J1036" s="3">
        <f>_xlfn.XLOOKUP(A1036,MktTitle,MktTotVol,0)</f>
        <v/>
      </c>
      <c r="K1036">
        <f>IF(H1036&gt;WhaleThreshold,"WHALE","")</f>
        <v/>
      </c>
    </row>
    <row r="1037">
      <c r="A1037" t="inlineStr">
        <is>
          <t>Will Croatia win the 2026 FIFA World Cup?</t>
        </is>
      </c>
      <c r="B1037" s="4" t="n">
        <v>46206</v>
      </c>
      <c r="C1037" s="5" t="n">
        <v>46206.03783564815</v>
      </c>
      <c r="D1037" t="inlineStr">
        <is>
          <t>SELL</t>
        </is>
      </c>
      <c r="E1037" t="inlineStr">
        <is>
          <t>No</t>
        </is>
      </c>
      <c r="F1037" s="2" t="n">
        <v>0.999</v>
      </c>
      <c r="G1037" s="6" t="n">
        <v>30.24</v>
      </c>
      <c r="H1037" s="6">
        <f>F1037*G1037</f>
        <v/>
      </c>
      <c r="I1037">
        <f>_xlfn.XLOOKUP(A1037,MktTitle,MktCat,"n/a")</f>
        <v/>
      </c>
      <c r="J1037" s="3">
        <f>_xlfn.XLOOKUP(A1037,MktTitle,MktTotVol,0)</f>
        <v/>
      </c>
      <c r="K1037">
        <f>IF(H1037&gt;WhaleThreshold,"WHALE","")</f>
        <v/>
      </c>
    </row>
    <row r="1038">
      <c r="A1038" t="inlineStr">
        <is>
          <t>Will Croatia win the 2026 FIFA World Cup?</t>
        </is>
      </c>
      <c r="B1038" s="4" t="n">
        <v>46206</v>
      </c>
      <c r="C1038" s="5" t="n">
        <v>46206.03783564815</v>
      </c>
      <c r="D1038" t="inlineStr">
        <is>
          <t>SELL</t>
        </is>
      </c>
      <c r="E1038" t="inlineStr">
        <is>
          <t>Yes</t>
        </is>
      </c>
      <c r="F1038" s="2" t="n">
        <v>0.001</v>
      </c>
      <c r="G1038" s="6" t="n">
        <v>91325.92</v>
      </c>
      <c r="H1038" s="6">
        <f>F1038*G1038</f>
        <v/>
      </c>
      <c r="I1038">
        <f>_xlfn.XLOOKUP(A1038,MktTitle,MktCat,"n/a")</f>
        <v/>
      </c>
      <c r="J1038" s="3">
        <f>_xlfn.XLOOKUP(A1038,MktTitle,MktTotVol,0)</f>
        <v/>
      </c>
      <c r="K1038">
        <f>IF(H1038&gt;WhaleThreshold,"WHALE","")</f>
        <v/>
      </c>
    </row>
    <row r="1039">
      <c r="A1039" t="inlineStr">
        <is>
          <t>Will Croatia win the 2026 FIFA World Cup?</t>
        </is>
      </c>
      <c r="B1039" s="4" t="n">
        <v>46206</v>
      </c>
      <c r="C1039" s="5" t="n">
        <v>46206.03782407408</v>
      </c>
      <c r="D1039" t="inlineStr">
        <is>
          <t>SELL</t>
        </is>
      </c>
      <c r="E1039" t="inlineStr">
        <is>
          <t>Yes</t>
        </is>
      </c>
      <c r="F1039" s="2" t="n">
        <v>0.001</v>
      </c>
      <c r="G1039" s="6" t="n">
        <v>4000</v>
      </c>
      <c r="H1039" s="6">
        <f>F1039*G1039</f>
        <v/>
      </c>
      <c r="I1039">
        <f>_xlfn.XLOOKUP(A1039,MktTitle,MktCat,"n/a")</f>
        <v/>
      </c>
      <c r="J1039" s="3">
        <f>_xlfn.XLOOKUP(A1039,MktTitle,MktTotVol,0)</f>
        <v/>
      </c>
      <c r="K1039">
        <f>IF(H1039&gt;WhaleThreshold,"WHALE","")</f>
        <v/>
      </c>
    </row>
    <row r="1040">
      <c r="A1040" t="inlineStr">
        <is>
          <t>Will Croatia win the 2026 FIFA World Cup?</t>
        </is>
      </c>
      <c r="B1040" s="4" t="n">
        <v>46206</v>
      </c>
      <c r="C1040" s="5" t="n">
        <v>46206.03780092593</v>
      </c>
      <c r="D1040" t="inlineStr">
        <is>
          <t>SELL</t>
        </is>
      </c>
      <c r="E1040" t="inlineStr">
        <is>
          <t>Yes</t>
        </is>
      </c>
      <c r="F1040" s="2" t="n">
        <v>0.001</v>
      </c>
      <c r="G1040" s="6" t="n">
        <v>8888.879999999999</v>
      </c>
      <c r="H1040" s="6">
        <f>F1040*G1040</f>
        <v/>
      </c>
      <c r="I1040">
        <f>_xlfn.XLOOKUP(A1040,MktTitle,MktCat,"n/a")</f>
        <v/>
      </c>
      <c r="J1040" s="3">
        <f>_xlfn.XLOOKUP(A1040,MktTitle,MktTotVol,0)</f>
        <v/>
      </c>
      <c r="K1040">
        <f>IF(H1040&gt;WhaleThreshold,"WHALE","")</f>
        <v/>
      </c>
    </row>
    <row r="1041">
      <c r="A1041" t="inlineStr">
        <is>
          <t>Will Croatia win the 2026 FIFA World Cup?</t>
        </is>
      </c>
      <c r="B1041" s="4" t="n">
        <v>46206</v>
      </c>
      <c r="C1041" s="5" t="n">
        <v>46206.03776620371</v>
      </c>
      <c r="D1041" t="inlineStr">
        <is>
          <t>SELL</t>
        </is>
      </c>
      <c r="E1041" t="inlineStr">
        <is>
          <t>Yes</t>
        </is>
      </c>
      <c r="F1041" s="2" t="n">
        <v>0.001</v>
      </c>
      <c r="G1041" s="6" t="n">
        <v>1000</v>
      </c>
      <c r="H1041" s="6">
        <f>F1041*G1041</f>
        <v/>
      </c>
      <c r="I1041">
        <f>_xlfn.XLOOKUP(A1041,MktTitle,MktCat,"n/a")</f>
        <v/>
      </c>
      <c r="J1041" s="3">
        <f>_xlfn.XLOOKUP(A1041,MktTitle,MktTotVol,0)</f>
        <v/>
      </c>
      <c r="K1041">
        <f>IF(H1041&gt;WhaleThreshold,"WHALE","")</f>
        <v/>
      </c>
    </row>
    <row r="1042">
      <c r="A1042" t="inlineStr">
        <is>
          <t>Will Croatia win the 2026 FIFA World Cup?</t>
        </is>
      </c>
      <c r="B1042" s="4" t="n">
        <v>46206</v>
      </c>
      <c r="C1042" s="5" t="n">
        <v>46206.03776620371</v>
      </c>
      <c r="D1042" t="inlineStr">
        <is>
          <t>SELL</t>
        </is>
      </c>
      <c r="E1042" t="inlineStr">
        <is>
          <t>Yes</t>
        </is>
      </c>
      <c r="F1042" s="2" t="n">
        <v>0.001</v>
      </c>
      <c r="G1042" s="6" t="n">
        <v>94876.25999999999</v>
      </c>
      <c r="H1042" s="6">
        <f>F1042*G1042</f>
        <v/>
      </c>
      <c r="I1042">
        <f>_xlfn.XLOOKUP(A1042,MktTitle,MktCat,"n/a")</f>
        <v/>
      </c>
      <c r="J1042" s="3">
        <f>_xlfn.XLOOKUP(A1042,MktTitle,MktTotVol,0)</f>
        <v/>
      </c>
      <c r="K1042">
        <f>IF(H1042&gt;WhaleThreshold,"WHALE","")</f>
        <v/>
      </c>
    </row>
    <row r="1043">
      <c r="A1043" t="inlineStr">
        <is>
          <t>Will Croatia win the 2026 FIFA World Cup?</t>
        </is>
      </c>
      <c r="B1043" s="4" t="n">
        <v>46206</v>
      </c>
      <c r="C1043" s="5" t="n">
        <v>46206.03776620371</v>
      </c>
      <c r="D1043" t="inlineStr">
        <is>
          <t>SELL</t>
        </is>
      </c>
      <c r="E1043" t="inlineStr">
        <is>
          <t>Yes</t>
        </is>
      </c>
      <c r="F1043" s="2" t="n">
        <v>0.001</v>
      </c>
      <c r="G1043" s="6" t="n">
        <v>238</v>
      </c>
      <c r="H1043" s="6">
        <f>F1043*G1043</f>
        <v/>
      </c>
      <c r="I1043">
        <f>_xlfn.XLOOKUP(A1043,MktTitle,MktCat,"n/a")</f>
        <v/>
      </c>
      <c r="J1043" s="3">
        <f>_xlfn.XLOOKUP(A1043,MktTitle,MktTotVol,0)</f>
        <v/>
      </c>
      <c r="K1043">
        <f>IF(H1043&gt;WhaleThreshold,"WHALE","")</f>
        <v/>
      </c>
    </row>
    <row r="1044">
      <c r="A1044" t="inlineStr">
        <is>
          <t>Will Croatia win the 2026 FIFA World Cup?</t>
        </is>
      </c>
      <c r="B1044" s="4" t="n">
        <v>46206</v>
      </c>
      <c r="C1044" s="5" t="n">
        <v>46206.03775462963</v>
      </c>
      <c r="D1044" t="inlineStr">
        <is>
          <t>SELL</t>
        </is>
      </c>
      <c r="E1044" t="inlineStr">
        <is>
          <t>Yes</t>
        </is>
      </c>
      <c r="F1044" s="2" t="n">
        <v>0.001</v>
      </c>
      <c r="G1044" s="6" t="n">
        <v>2000</v>
      </c>
      <c r="H1044" s="6">
        <f>F1044*G1044</f>
        <v/>
      </c>
      <c r="I1044">
        <f>_xlfn.XLOOKUP(A1044,MktTitle,MktCat,"n/a")</f>
        <v/>
      </c>
      <c r="J1044" s="3">
        <f>_xlfn.XLOOKUP(A1044,MktTitle,MktTotVol,0)</f>
        <v/>
      </c>
      <c r="K1044">
        <f>IF(H1044&gt;WhaleThreshold,"WHALE","")</f>
        <v/>
      </c>
    </row>
    <row r="1045">
      <c r="A1045" t="inlineStr">
        <is>
          <t>Will Croatia win the 2026 FIFA World Cup?</t>
        </is>
      </c>
      <c r="B1045" s="4" t="n">
        <v>46206</v>
      </c>
      <c r="C1045" s="5" t="n">
        <v>46206.03775462963</v>
      </c>
      <c r="D1045" t="inlineStr">
        <is>
          <t>SELL</t>
        </is>
      </c>
      <c r="E1045" t="inlineStr">
        <is>
          <t>Yes</t>
        </is>
      </c>
      <c r="F1045" s="2" t="n">
        <v>0.001</v>
      </c>
      <c r="G1045" s="6" t="n">
        <v>10678</v>
      </c>
      <c r="H1045" s="6">
        <f>F1045*G1045</f>
        <v/>
      </c>
      <c r="I1045">
        <f>_xlfn.XLOOKUP(A1045,MktTitle,MktCat,"n/a")</f>
        <v/>
      </c>
      <c r="J1045" s="3">
        <f>_xlfn.XLOOKUP(A1045,MktTitle,MktTotVol,0)</f>
        <v/>
      </c>
      <c r="K1045">
        <f>IF(H1045&gt;WhaleThreshold,"WHALE","")</f>
        <v/>
      </c>
    </row>
    <row r="1046">
      <c r="A1046" t="inlineStr">
        <is>
          <t>Will Croatia win the 2026 FIFA World Cup?</t>
        </is>
      </c>
      <c r="B1046" s="4" t="n">
        <v>46206</v>
      </c>
      <c r="C1046" s="5" t="n">
        <v>46206.03771990741</v>
      </c>
      <c r="D1046" t="inlineStr">
        <is>
          <t>SELL</t>
        </is>
      </c>
      <c r="E1046" t="inlineStr">
        <is>
          <t>Yes</t>
        </is>
      </c>
      <c r="F1046" s="2" t="n">
        <v>0.001</v>
      </c>
      <c r="G1046" s="6" t="n">
        <v>59999.94</v>
      </c>
      <c r="H1046" s="6">
        <f>F1046*G1046</f>
        <v/>
      </c>
      <c r="I1046">
        <f>_xlfn.XLOOKUP(A1046,MktTitle,MktCat,"n/a")</f>
        <v/>
      </c>
      <c r="J1046" s="3">
        <f>_xlfn.XLOOKUP(A1046,MktTitle,MktTotVol,0)</f>
        <v/>
      </c>
      <c r="K1046">
        <f>IF(H1046&gt;WhaleThreshold,"WHALE","")</f>
        <v/>
      </c>
    </row>
    <row r="1047">
      <c r="A1047" t="inlineStr">
        <is>
          <t>Will Croatia win the 2026 FIFA World Cup?</t>
        </is>
      </c>
      <c r="B1047" s="4" t="n">
        <v>46206</v>
      </c>
      <c r="C1047" s="5" t="n">
        <v>46206.03771990741</v>
      </c>
      <c r="D1047" t="inlineStr">
        <is>
          <t>SELL</t>
        </is>
      </c>
      <c r="E1047" t="inlineStr">
        <is>
          <t>Yes</t>
        </is>
      </c>
      <c r="F1047" s="2" t="n">
        <v>0.001</v>
      </c>
      <c r="G1047" s="6" t="n">
        <v>69811</v>
      </c>
      <c r="H1047" s="6">
        <f>F1047*G1047</f>
        <v/>
      </c>
      <c r="I1047">
        <f>_xlfn.XLOOKUP(A1047,MktTitle,MktCat,"n/a")</f>
        <v/>
      </c>
      <c r="J1047" s="3">
        <f>_xlfn.XLOOKUP(A1047,MktTitle,MktTotVol,0)</f>
        <v/>
      </c>
      <c r="K1047">
        <f>IF(H1047&gt;WhaleThreshold,"WHALE","")</f>
        <v/>
      </c>
    </row>
    <row r="1048">
      <c r="A1048" t="inlineStr">
        <is>
          <t>Will Croatia win the 2026 FIFA World Cup?</t>
        </is>
      </c>
      <c r="B1048" s="4" t="n">
        <v>46206</v>
      </c>
      <c r="C1048" s="5" t="n">
        <v>46206.03761574074</v>
      </c>
      <c r="D1048" t="inlineStr">
        <is>
          <t>SELL</t>
        </is>
      </c>
      <c r="E1048" t="inlineStr">
        <is>
          <t>Yes</t>
        </is>
      </c>
      <c r="F1048" s="2" t="n">
        <v>0.001</v>
      </c>
      <c r="G1048" s="6" t="n">
        <v>250</v>
      </c>
      <c r="H1048" s="6">
        <f>F1048*G1048</f>
        <v/>
      </c>
      <c r="I1048">
        <f>_xlfn.XLOOKUP(A1048,MktTitle,MktCat,"n/a")</f>
        <v/>
      </c>
      <c r="J1048" s="3">
        <f>_xlfn.XLOOKUP(A1048,MktTitle,MktTotVol,0)</f>
        <v/>
      </c>
      <c r="K1048">
        <f>IF(H1048&gt;WhaleThreshold,"WHALE","")</f>
        <v/>
      </c>
    </row>
    <row r="1049">
      <c r="A1049" t="inlineStr">
        <is>
          <t>Will Croatia win the 2026 FIFA World Cup?</t>
        </is>
      </c>
      <c r="B1049" s="4" t="n">
        <v>46206</v>
      </c>
      <c r="C1049" s="5" t="n">
        <v>46206.03741898148</v>
      </c>
      <c r="D1049" t="inlineStr">
        <is>
          <t>SELL</t>
        </is>
      </c>
      <c r="E1049" t="inlineStr">
        <is>
          <t>No</t>
        </is>
      </c>
      <c r="F1049" s="2" t="n">
        <v>0.998</v>
      </c>
      <c r="G1049" s="6" t="n">
        <v>96.75</v>
      </c>
      <c r="H1049" s="6">
        <f>F1049*G1049</f>
        <v/>
      </c>
      <c r="I1049">
        <f>_xlfn.XLOOKUP(A1049,MktTitle,MktCat,"n/a")</f>
        <v/>
      </c>
      <c r="J1049" s="3">
        <f>_xlfn.XLOOKUP(A1049,MktTitle,MktTotVol,0)</f>
        <v/>
      </c>
      <c r="K1049">
        <f>IF(H1049&gt;WhaleThreshold,"WHALE","")</f>
        <v/>
      </c>
    </row>
    <row r="1050">
      <c r="A1050" t="inlineStr">
        <is>
          <t>Will Croatia win the 2026 FIFA World Cup?</t>
        </is>
      </c>
      <c r="B1050" s="4" t="n">
        <v>46206</v>
      </c>
      <c r="C1050" s="5" t="n">
        <v>46206.03738425926</v>
      </c>
      <c r="D1050" t="inlineStr">
        <is>
          <t>SELL</t>
        </is>
      </c>
      <c r="E1050" t="inlineStr">
        <is>
          <t>Yes</t>
        </is>
      </c>
      <c r="F1050" s="2" t="n">
        <v>0.001</v>
      </c>
      <c r="G1050" s="6" t="n">
        <v>77925.35000000001</v>
      </c>
      <c r="H1050" s="6">
        <f>F1050*G1050</f>
        <v/>
      </c>
      <c r="I1050">
        <f>_xlfn.XLOOKUP(A1050,MktTitle,MktCat,"n/a")</f>
        <v/>
      </c>
      <c r="J1050" s="3">
        <f>_xlfn.XLOOKUP(A1050,MktTitle,MktTotVol,0)</f>
        <v/>
      </c>
      <c r="K1050">
        <f>IF(H1050&gt;WhaleThreshold,"WHALE","")</f>
        <v/>
      </c>
    </row>
    <row r="1051">
      <c r="A1051" t="inlineStr">
        <is>
          <t>Will Croatia win the 2026 FIFA World Cup?</t>
        </is>
      </c>
      <c r="B1051" s="4" t="n">
        <v>46206</v>
      </c>
      <c r="C1051" s="5" t="n">
        <v>46206.03738425926</v>
      </c>
      <c r="D1051" t="inlineStr">
        <is>
          <t>SELL</t>
        </is>
      </c>
      <c r="E1051" t="inlineStr">
        <is>
          <t>Yes</t>
        </is>
      </c>
      <c r="F1051" s="2" t="n">
        <v>0.001</v>
      </c>
      <c r="G1051" s="6" t="n">
        <v>5</v>
      </c>
      <c r="H1051" s="6">
        <f>F1051*G1051</f>
        <v/>
      </c>
      <c r="I1051">
        <f>_xlfn.XLOOKUP(A1051,MktTitle,MktCat,"n/a")</f>
        <v/>
      </c>
      <c r="J1051" s="3">
        <f>_xlfn.XLOOKUP(A1051,MktTitle,MktTotVol,0)</f>
        <v/>
      </c>
      <c r="K1051">
        <f>IF(H1051&gt;WhaleThreshold,"WHALE","")</f>
        <v/>
      </c>
    </row>
    <row r="1052">
      <c r="A1052" t="inlineStr">
        <is>
          <t>Will Croatia win the 2026 FIFA World Cup?</t>
        </is>
      </c>
      <c r="B1052" s="4" t="n">
        <v>46206</v>
      </c>
      <c r="C1052" s="5" t="n">
        <v>46206.03733796296</v>
      </c>
      <c r="D1052" t="inlineStr">
        <is>
          <t>SELL</t>
        </is>
      </c>
      <c r="E1052" t="inlineStr">
        <is>
          <t>Yes</t>
        </is>
      </c>
      <c r="F1052" s="2" t="n">
        <v>0.001</v>
      </c>
      <c r="G1052" s="6" t="n">
        <v>8776.26</v>
      </c>
      <c r="H1052" s="6">
        <f>F1052*G1052</f>
        <v/>
      </c>
      <c r="I1052">
        <f>_xlfn.XLOOKUP(A1052,MktTitle,MktCat,"n/a")</f>
        <v/>
      </c>
      <c r="J1052" s="3">
        <f>_xlfn.XLOOKUP(A1052,MktTitle,MktTotVol,0)</f>
        <v/>
      </c>
      <c r="K1052">
        <f>IF(H1052&gt;WhaleThreshold,"WHALE","")</f>
        <v/>
      </c>
    </row>
    <row r="1053">
      <c r="A1053" t="inlineStr">
        <is>
          <t>Will Croatia win the 2026 FIFA World Cup?</t>
        </is>
      </c>
      <c r="B1053" s="4" t="n">
        <v>46206</v>
      </c>
      <c r="C1053" s="5" t="n">
        <v>46206.03731481481</v>
      </c>
      <c r="D1053" t="inlineStr">
        <is>
          <t>SELL</t>
        </is>
      </c>
      <c r="E1053" t="inlineStr">
        <is>
          <t>Yes</t>
        </is>
      </c>
      <c r="F1053" s="2" t="n">
        <v>0.001</v>
      </c>
      <c r="G1053" s="6" t="n">
        <v>41301.67</v>
      </c>
      <c r="H1053" s="6">
        <f>F1053*G1053</f>
        <v/>
      </c>
      <c r="I1053">
        <f>_xlfn.XLOOKUP(A1053,MktTitle,MktCat,"n/a")</f>
        <v/>
      </c>
      <c r="J1053" s="3">
        <f>_xlfn.XLOOKUP(A1053,MktTitle,MktTotVol,0)</f>
        <v/>
      </c>
      <c r="K1053">
        <f>IF(H1053&gt;WhaleThreshold,"WHALE","")</f>
        <v/>
      </c>
    </row>
    <row r="1054">
      <c r="A1054" t="inlineStr">
        <is>
          <t>Will Croatia win the 2026 FIFA World Cup?</t>
        </is>
      </c>
      <c r="B1054" s="4" t="n">
        <v>46206</v>
      </c>
      <c r="C1054" s="5" t="n">
        <v>46206.03728009259</v>
      </c>
      <c r="D1054" t="inlineStr">
        <is>
          <t>SELL</t>
        </is>
      </c>
      <c r="E1054" t="inlineStr">
        <is>
          <t>Yes</t>
        </is>
      </c>
      <c r="F1054" s="2" t="n">
        <v>0.001</v>
      </c>
      <c r="G1054" s="6" t="n">
        <v>17776</v>
      </c>
      <c r="H1054" s="6">
        <f>F1054*G1054</f>
        <v/>
      </c>
      <c r="I1054">
        <f>_xlfn.XLOOKUP(A1054,MktTitle,MktCat,"n/a")</f>
        <v/>
      </c>
      <c r="J1054" s="3">
        <f>_xlfn.XLOOKUP(A1054,MktTitle,MktTotVol,0)</f>
        <v/>
      </c>
      <c r="K1054">
        <f>IF(H1054&gt;WhaleThreshold,"WHALE","")</f>
        <v/>
      </c>
    </row>
    <row r="1055">
      <c r="A1055" t="inlineStr">
        <is>
          <t>Will Croatia win the 2026 FIFA World Cup?</t>
        </is>
      </c>
      <c r="B1055" s="4" t="n">
        <v>46206</v>
      </c>
      <c r="C1055" s="5" t="n">
        <v>46206.03721064814</v>
      </c>
      <c r="D1055" t="inlineStr">
        <is>
          <t>SELL</t>
        </is>
      </c>
      <c r="E1055" t="inlineStr">
        <is>
          <t>No</t>
        </is>
      </c>
      <c r="F1055" s="2" t="n">
        <v>0.998</v>
      </c>
      <c r="G1055" s="6" t="n">
        <v>73.26000000000001</v>
      </c>
      <c r="H1055" s="6">
        <f>F1055*G1055</f>
        <v/>
      </c>
      <c r="I1055">
        <f>_xlfn.XLOOKUP(A1055,MktTitle,MktCat,"n/a")</f>
        <v/>
      </c>
      <c r="J1055" s="3">
        <f>_xlfn.XLOOKUP(A1055,MktTitle,MktTotVol,0)</f>
        <v/>
      </c>
      <c r="K1055">
        <f>IF(H1055&gt;WhaleThreshold,"WHALE","")</f>
        <v/>
      </c>
    </row>
    <row r="1056">
      <c r="A1056" t="inlineStr">
        <is>
          <t>Will Croatia win the 2026 FIFA World Cup?</t>
        </is>
      </c>
      <c r="B1056" s="4" t="n">
        <v>46206</v>
      </c>
      <c r="C1056" s="5" t="n">
        <v>46206.03721064814</v>
      </c>
      <c r="D1056" t="inlineStr">
        <is>
          <t>SELL</t>
        </is>
      </c>
      <c r="E1056" t="inlineStr">
        <is>
          <t>Yes</t>
        </is>
      </c>
      <c r="F1056" s="2" t="n">
        <v>0.001</v>
      </c>
      <c r="G1056" s="6" t="n">
        <v>393</v>
      </c>
      <c r="H1056" s="6">
        <f>F1056*G1056</f>
        <v/>
      </c>
      <c r="I1056">
        <f>_xlfn.XLOOKUP(A1056,MktTitle,MktCat,"n/a")</f>
        <v/>
      </c>
      <c r="J1056" s="3">
        <f>_xlfn.XLOOKUP(A1056,MktTitle,MktTotVol,0)</f>
        <v/>
      </c>
      <c r="K1056">
        <f>IF(H1056&gt;WhaleThreshold,"WHALE","")</f>
        <v/>
      </c>
    </row>
    <row r="1057">
      <c r="A1057" t="inlineStr">
        <is>
          <t>Will Croatia win the 2026 FIFA World Cup?</t>
        </is>
      </c>
      <c r="B1057" s="4" t="n">
        <v>46206</v>
      </c>
      <c r="C1057" s="5" t="n">
        <v>46206.03721064814</v>
      </c>
      <c r="D1057" t="inlineStr">
        <is>
          <t>SELL</t>
        </is>
      </c>
      <c r="E1057" t="inlineStr">
        <is>
          <t>No</t>
        </is>
      </c>
      <c r="F1057" s="2" t="n">
        <v>0.998</v>
      </c>
      <c r="G1057" s="6" t="n">
        <v>19.99</v>
      </c>
      <c r="H1057" s="6">
        <f>F1057*G1057</f>
        <v/>
      </c>
      <c r="I1057">
        <f>_xlfn.XLOOKUP(A1057,MktTitle,MktCat,"n/a")</f>
        <v/>
      </c>
      <c r="J1057" s="3">
        <f>_xlfn.XLOOKUP(A1057,MktTitle,MktTotVol,0)</f>
        <v/>
      </c>
      <c r="K1057">
        <f>IF(H1057&gt;WhaleThreshold,"WHALE","")</f>
        <v/>
      </c>
    </row>
    <row r="1058">
      <c r="A1058" t="inlineStr">
        <is>
          <t>Will Croatia win the 2026 FIFA World Cup?</t>
        </is>
      </c>
      <c r="B1058" s="4" t="n">
        <v>46206</v>
      </c>
      <c r="C1058" s="5" t="n">
        <v>46206.03721064814</v>
      </c>
      <c r="D1058" t="inlineStr">
        <is>
          <t>SELL</t>
        </is>
      </c>
      <c r="E1058" t="inlineStr">
        <is>
          <t>No</t>
        </is>
      </c>
      <c r="F1058" s="2" t="n">
        <v>0.998</v>
      </c>
      <c r="G1058" s="6" t="n">
        <v>20.3</v>
      </c>
      <c r="H1058" s="6">
        <f>F1058*G1058</f>
        <v/>
      </c>
      <c r="I1058">
        <f>_xlfn.XLOOKUP(A1058,MktTitle,MktCat,"n/a")</f>
        <v/>
      </c>
      <c r="J1058" s="3">
        <f>_xlfn.XLOOKUP(A1058,MktTitle,MktTotVol,0)</f>
        <v/>
      </c>
      <c r="K1058">
        <f>IF(H1058&gt;WhaleThreshold,"WHALE","")</f>
        <v/>
      </c>
    </row>
    <row r="1059">
      <c r="A1059" t="inlineStr">
        <is>
          <t>Will Croatia win the 2026 FIFA World Cup?</t>
        </is>
      </c>
      <c r="B1059" s="4" t="n">
        <v>46206</v>
      </c>
      <c r="C1059" s="5" t="n">
        <v>46206.03721064814</v>
      </c>
      <c r="D1059" t="inlineStr">
        <is>
          <t>SELL</t>
        </is>
      </c>
      <c r="E1059" t="inlineStr">
        <is>
          <t>No</t>
        </is>
      </c>
      <c r="F1059" s="2" t="n">
        <v>0.998</v>
      </c>
      <c r="G1059" s="6" t="n">
        <v>20.85</v>
      </c>
      <c r="H1059" s="6">
        <f>F1059*G1059</f>
        <v/>
      </c>
      <c r="I1059">
        <f>_xlfn.XLOOKUP(A1059,MktTitle,MktCat,"n/a")</f>
        <v/>
      </c>
      <c r="J1059" s="3">
        <f>_xlfn.XLOOKUP(A1059,MktTitle,MktTotVol,0)</f>
        <v/>
      </c>
      <c r="K1059">
        <f>IF(H1059&gt;WhaleThreshold,"WHALE","")</f>
        <v/>
      </c>
    </row>
    <row r="1060">
      <c r="A1060" t="inlineStr">
        <is>
          <t>Will Croatia win the 2026 FIFA World Cup?</t>
        </is>
      </c>
      <c r="B1060" s="4" t="n">
        <v>46206</v>
      </c>
      <c r="C1060" s="5" t="n">
        <v>46206.03721064814</v>
      </c>
      <c r="D1060" t="inlineStr">
        <is>
          <t>SELL</t>
        </is>
      </c>
      <c r="E1060" t="inlineStr">
        <is>
          <t>No</t>
        </is>
      </c>
      <c r="F1060" s="2" t="n">
        <v>0.998</v>
      </c>
      <c r="G1060" s="6" t="n">
        <v>20.53</v>
      </c>
      <c r="H1060" s="6">
        <f>F1060*G1060</f>
        <v/>
      </c>
      <c r="I1060">
        <f>_xlfn.XLOOKUP(A1060,MktTitle,MktCat,"n/a")</f>
        <v/>
      </c>
      <c r="J1060" s="3">
        <f>_xlfn.XLOOKUP(A1060,MktTitle,MktTotVol,0)</f>
        <v/>
      </c>
      <c r="K1060">
        <f>IF(H1060&gt;WhaleThreshold,"WHALE","")</f>
        <v/>
      </c>
    </row>
    <row r="1061">
      <c r="A1061" t="inlineStr">
        <is>
          <t>Will Croatia win the 2026 FIFA World Cup?</t>
        </is>
      </c>
      <c r="B1061" s="4" t="n">
        <v>46206</v>
      </c>
      <c r="C1061" s="5" t="n">
        <v>46206.03721064814</v>
      </c>
      <c r="D1061" t="inlineStr">
        <is>
          <t>SELL</t>
        </is>
      </c>
      <c r="E1061" t="inlineStr">
        <is>
          <t>No</t>
        </is>
      </c>
      <c r="F1061" s="2" t="n">
        <v>0.998</v>
      </c>
      <c r="G1061" s="6" t="n">
        <v>19.26</v>
      </c>
      <c r="H1061" s="6">
        <f>F1061*G1061</f>
        <v/>
      </c>
      <c r="I1061">
        <f>_xlfn.XLOOKUP(A1061,MktTitle,MktCat,"n/a")</f>
        <v/>
      </c>
      <c r="J1061" s="3">
        <f>_xlfn.XLOOKUP(A1061,MktTitle,MktTotVol,0)</f>
        <v/>
      </c>
      <c r="K1061">
        <f>IF(H1061&gt;WhaleThreshold,"WHALE","")</f>
        <v/>
      </c>
    </row>
    <row r="1062">
      <c r="A1062" t="inlineStr">
        <is>
          <t>Will Croatia win the 2026 FIFA World Cup?</t>
        </is>
      </c>
      <c r="B1062" s="4" t="n">
        <v>46206</v>
      </c>
      <c r="C1062" s="5" t="n">
        <v>46206.03721064814</v>
      </c>
      <c r="D1062" t="inlineStr">
        <is>
          <t>SELL</t>
        </is>
      </c>
      <c r="E1062" t="inlineStr">
        <is>
          <t>No</t>
        </is>
      </c>
      <c r="F1062" s="2" t="n">
        <v>0.998</v>
      </c>
      <c r="G1062" s="6" t="n">
        <v>111.48</v>
      </c>
      <c r="H1062" s="6">
        <f>F1062*G1062</f>
        <v/>
      </c>
      <c r="I1062">
        <f>_xlfn.XLOOKUP(A1062,MktTitle,MktCat,"n/a")</f>
        <v/>
      </c>
      <c r="J1062" s="3">
        <f>_xlfn.XLOOKUP(A1062,MktTitle,MktTotVol,0)</f>
        <v/>
      </c>
      <c r="K1062">
        <f>IF(H1062&gt;WhaleThreshold,"WHALE","")</f>
        <v/>
      </c>
    </row>
    <row r="1063">
      <c r="A1063" t="inlineStr">
        <is>
          <t>Will Croatia win the 2026 FIFA World Cup?</t>
        </is>
      </c>
      <c r="B1063" s="4" t="n">
        <v>46206</v>
      </c>
      <c r="C1063" s="5" t="n">
        <v>46206.03719907408</v>
      </c>
      <c r="D1063" t="inlineStr">
        <is>
          <t>SELL</t>
        </is>
      </c>
      <c r="E1063" t="inlineStr">
        <is>
          <t>No</t>
        </is>
      </c>
      <c r="F1063" s="2" t="n">
        <v>0.998</v>
      </c>
      <c r="G1063" s="6" t="n">
        <v>78.05</v>
      </c>
      <c r="H1063" s="6">
        <f>F1063*G1063</f>
        <v/>
      </c>
      <c r="I1063">
        <f>_xlfn.XLOOKUP(A1063,MktTitle,MktCat,"n/a")</f>
        <v/>
      </c>
      <c r="J1063" s="3">
        <f>_xlfn.XLOOKUP(A1063,MktTitle,MktTotVol,0)</f>
        <v/>
      </c>
      <c r="K1063">
        <f>IF(H1063&gt;WhaleThreshold,"WHALE","")</f>
        <v/>
      </c>
    </row>
    <row r="1064">
      <c r="A1064" t="inlineStr">
        <is>
          <t>Will Croatia win the 2026 FIFA World Cup?</t>
        </is>
      </c>
      <c r="B1064" s="4" t="n">
        <v>46206</v>
      </c>
      <c r="C1064" s="5" t="n">
        <v>46206.03719907408</v>
      </c>
      <c r="D1064" t="inlineStr">
        <is>
          <t>SELL</t>
        </is>
      </c>
      <c r="E1064" t="inlineStr">
        <is>
          <t>No</t>
        </is>
      </c>
      <c r="F1064" s="2" t="n">
        <v>0.998</v>
      </c>
      <c r="G1064" s="6" t="n">
        <v>49.97</v>
      </c>
      <c r="H1064" s="6">
        <f>F1064*G1064</f>
        <v/>
      </c>
      <c r="I1064">
        <f>_xlfn.XLOOKUP(A1064,MktTitle,MktCat,"n/a")</f>
        <v/>
      </c>
      <c r="J1064" s="3">
        <f>_xlfn.XLOOKUP(A1064,MktTitle,MktTotVol,0)</f>
        <v/>
      </c>
      <c r="K1064">
        <f>IF(H1064&gt;WhaleThreshold,"WHALE","")</f>
        <v/>
      </c>
    </row>
    <row r="1065">
      <c r="A1065" t="inlineStr">
        <is>
          <t>Will Croatia win the 2026 FIFA World Cup?</t>
        </is>
      </c>
      <c r="B1065" s="4" t="n">
        <v>46206</v>
      </c>
      <c r="C1065" s="5" t="n">
        <v>46206.03717592593</v>
      </c>
      <c r="D1065" t="inlineStr">
        <is>
          <t>SELL</t>
        </is>
      </c>
      <c r="E1065" t="inlineStr">
        <is>
          <t>Yes</t>
        </is>
      </c>
      <c r="F1065" s="2" t="n">
        <v>0.002</v>
      </c>
      <c r="G1065" s="6" t="n">
        <v>81392.24000000001</v>
      </c>
      <c r="H1065" s="6">
        <f>F1065*G1065</f>
        <v/>
      </c>
      <c r="I1065">
        <f>_xlfn.XLOOKUP(A1065,MktTitle,MktCat,"n/a")</f>
        <v/>
      </c>
      <c r="J1065" s="3">
        <f>_xlfn.XLOOKUP(A1065,MktTitle,MktTotVol,0)</f>
        <v/>
      </c>
      <c r="K1065">
        <f>IF(H1065&gt;WhaleThreshold,"WHALE","")</f>
        <v/>
      </c>
    </row>
    <row r="1066">
      <c r="A1066" t="inlineStr">
        <is>
          <t>Will Croatia win the 2026 FIFA World Cup?</t>
        </is>
      </c>
      <c r="B1066" s="4" t="n">
        <v>46206</v>
      </c>
      <c r="C1066" s="5" t="n">
        <v>46206.03706018518</v>
      </c>
      <c r="D1066" t="inlineStr">
        <is>
          <t>BUY</t>
        </is>
      </c>
      <c r="E1066" t="inlineStr">
        <is>
          <t>No</t>
        </is>
      </c>
      <c r="F1066" s="2" t="n">
        <v>0.9956</v>
      </c>
      <c r="G1066" s="6" t="n">
        <v>450.2008</v>
      </c>
      <c r="H1066" s="6">
        <f>F1066*G1066</f>
        <v/>
      </c>
      <c r="I1066">
        <f>_xlfn.XLOOKUP(A1066,MktTitle,MktCat,"n/a")</f>
        <v/>
      </c>
      <c r="J1066" s="3">
        <f>_xlfn.XLOOKUP(A1066,MktTitle,MktTotVol,0)</f>
        <v/>
      </c>
      <c r="K1066">
        <f>IF(H1066&gt;WhaleThreshold,"WHALE","")</f>
        <v/>
      </c>
    </row>
    <row r="1067">
      <c r="A1067" t="inlineStr">
        <is>
          <t>Will Croatia win the 2026 FIFA World Cup?</t>
        </is>
      </c>
      <c r="B1067" s="4" t="n">
        <v>46206</v>
      </c>
      <c r="C1067" s="5" t="n">
        <v>46206.03689814815</v>
      </c>
      <c r="D1067" t="inlineStr">
        <is>
          <t>BUY</t>
        </is>
      </c>
      <c r="E1067" t="inlineStr">
        <is>
          <t>Yes</t>
        </is>
      </c>
      <c r="F1067" s="2" t="n">
        <v>0.007</v>
      </c>
      <c r="G1067" s="6" t="n">
        <v>274.2857</v>
      </c>
      <c r="H1067" s="6">
        <f>F1067*G1067</f>
        <v/>
      </c>
      <c r="I1067">
        <f>_xlfn.XLOOKUP(A1067,MktTitle,MktCat,"n/a")</f>
        <v/>
      </c>
      <c r="J1067" s="3">
        <f>_xlfn.XLOOKUP(A1067,MktTitle,MktTotVol,0)</f>
        <v/>
      </c>
      <c r="K1067">
        <f>IF(H1067&gt;WhaleThreshold,"WHALE","")</f>
        <v/>
      </c>
    </row>
    <row r="1068">
      <c r="A1068" t="inlineStr">
        <is>
          <t>Will Croatia win the 2026 FIFA World Cup?</t>
        </is>
      </c>
      <c r="B1068" s="4" t="n">
        <v>46206</v>
      </c>
      <c r="C1068" s="5" t="n">
        <v>46206.03681712963</v>
      </c>
      <c r="D1068" t="inlineStr">
        <is>
          <t>BUY</t>
        </is>
      </c>
      <c r="E1068" t="inlineStr">
        <is>
          <t>Yes</t>
        </is>
      </c>
      <c r="F1068" s="2" t="n">
        <v>0.006</v>
      </c>
      <c r="G1068" s="6" t="n">
        <v>5820.24</v>
      </c>
      <c r="H1068" s="6">
        <f>F1068*G1068</f>
        <v/>
      </c>
      <c r="I1068">
        <f>_xlfn.XLOOKUP(A1068,MktTitle,MktCat,"n/a")</f>
        <v/>
      </c>
      <c r="J1068" s="3">
        <f>_xlfn.XLOOKUP(A1068,MktTitle,MktTotVol,0)</f>
        <v/>
      </c>
      <c r="K1068">
        <f>IF(H1068&gt;WhaleThreshold,"WHALE","")</f>
        <v/>
      </c>
    </row>
    <row r="1069">
      <c r="A1069" t="inlineStr">
        <is>
          <t>Will Croatia win the 2026 FIFA World Cup?</t>
        </is>
      </c>
      <c r="B1069" s="4" t="n">
        <v>46206</v>
      </c>
      <c r="C1069" s="5" t="n">
        <v>46206.03549768519</v>
      </c>
      <c r="D1069" t="inlineStr">
        <is>
          <t>BUY</t>
        </is>
      </c>
      <c r="E1069" t="inlineStr">
        <is>
          <t>Yes</t>
        </is>
      </c>
      <c r="F1069" s="2" t="n">
        <v>0.0068</v>
      </c>
      <c r="G1069" s="6" t="n">
        <v>739.21</v>
      </c>
      <c r="H1069" s="6">
        <f>F1069*G1069</f>
        <v/>
      </c>
      <c r="I1069">
        <f>_xlfn.XLOOKUP(A1069,MktTitle,MktCat,"n/a")</f>
        <v/>
      </c>
      <c r="J1069" s="3">
        <f>_xlfn.XLOOKUP(A1069,MktTitle,MktTotVol,0)</f>
        <v/>
      </c>
      <c r="K1069">
        <f>IF(H1069&gt;WhaleThreshold,"WHALE","")</f>
        <v/>
      </c>
    </row>
    <row r="1070">
      <c r="A1070" t="inlineStr">
        <is>
          <t>Will Croatia win the 2026 FIFA World Cup?</t>
        </is>
      </c>
      <c r="B1070" s="4" t="n">
        <v>46206</v>
      </c>
      <c r="C1070" s="5" t="n">
        <v>46206.03542824074</v>
      </c>
      <c r="D1070" t="inlineStr">
        <is>
          <t>BUY</t>
        </is>
      </c>
      <c r="E1070" t="inlineStr">
        <is>
          <t>Yes</t>
        </is>
      </c>
      <c r="F1070" s="2" t="n">
        <v>0.006</v>
      </c>
      <c r="G1070" s="6" t="n">
        <v>1390</v>
      </c>
      <c r="H1070" s="6">
        <f>F1070*G1070</f>
        <v/>
      </c>
      <c r="I1070">
        <f>_xlfn.XLOOKUP(A1070,MktTitle,MktCat,"n/a")</f>
        <v/>
      </c>
      <c r="J1070" s="3">
        <f>_xlfn.XLOOKUP(A1070,MktTitle,MktTotVol,0)</f>
        <v/>
      </c>
      <c r="K1070">
        <f>IF(H1070&gt;WhaleThreshold,"WHALE","")</f>
        <v/>
      </c>
    </row>
    <row r="1071">
      <c r="A1071" t="inlineStr">
        <is>
          <t>Will Croatia win the 2026 FIFA World Cup?</t>
        </is>
      </c>
      <c r="B1071" s="4" t="n">
        <v>46206</v>
      </c>
      <c r="C1071" s="5" t="n">
        <v>46206.03525462963</v>
      </c>
      <c r="D1071" t="inlineStr">
        <is>
          <t>BUY</t>
        </is>
      </c>
      <c r="E1071" t="inlineStr">
        <is>
          <t>Yes</t>
        </is>
      </c>
      <c r="F1071" s="2" t="n">
        <v>0.006</v>
      </c>
      <c r="G1071" s="6" t="n">
        <v>1666.6667</v>
      </c>
      <c r="H1071" s="6">
        <f>F1071*G1071</f>
        <v/>
      </c>
      <c r="I1071">
        <f>_xlfn.XLOOKUP(A1071,MktTitle,MktCat,"n/a")</f>
        <v/>
      </c>
      <c r="J1071" s="3">
        <f>_xlfn.XLOOKUP(A1071,MktTitle,MktTotVol,0)</f>
        <v/>
      </c>
      <c r="K1071">
        <f>IF(H1071&gt;WhaleThreshold,"WHALE","")</f>
        <v/>
      </c>
    </row>
    <row r="1072">
      <c r="A1072" t="inlineStr">
        <is>
          <t>Will Croatia win the 2026 FIFA World Cup?</t>
        </is>
      </c>
      <c r="B1072" s="4" t="n">
        <v>46206</v>
      </c>
      <c r="C1072" s="5" t="n">
        <v>46206.03487268519</v>
      </c>
      <c r="D1072" t="inlineStr">
        <is>
          <t>BUY</t>
        </is>
      </c>
      <c r="E1072" t="inlineStr">
        <is>
          <t>Yes</t>
        </is>
      </c>
      <c r="F1072" s="2" t="n">
        <v>0.006</v>
      </c>
      <c r="G1072" s="6" t="n">
        <v>833.3333</v>
      </c>
      <c r="H1072" s="6">
        <f>F1072*G1072</f>
        <v/>
      </c>
      <c r="I1072">
        <f>_xlfn.XLOOKUP(A1072,MktTitle,MktCat,"n/a")</f>
        <v/>
      </c>
      <c r="J1072" s="3">
        <f>_xlfn.XLOOKUP(A1072,MktTitle,MktTotVol,0)</f>
        <v/>
      </c>
      <c r="K1072">
        <f>IF(H1072&gt;WhaleThreshold,"WHALE","")</f>
        <v/>
      </c>
    </row>
    <row r="1073">
      <c r="A1073" t="inlineStr">
        <is>
          <t>Will Croatia win the 2026 FIFA World Cup?</t>
        </is>
      </c>
      <c r="B1073" s="4" t="n">
        <v>46206</v>
      </c>
      <c r="C1073" s="5" t="n">
        <v>46206.0344675926</v>
      </c>
      <c r="D1073" t="inlineStr">
        <is>
          <t>BUY</t>
        </is>
      </c>
      <c r="E1073" t="inlineStr">
        <is>
          <t>Yes</t>
        </is>
      </c>
      <c r="F1073" s="2" t="n">
        <v>0.006</v>
      </c>
      <c r="G1073" s="6" t="n">
        <v>500</v>
      </c>
      <c r="H1073" s="6">
        <f>F1073*G1073</f>
        <v/>
      </c>
      <c r="I1073">
        <f>_xlfn.XLOOKUP(A1073,MktTitle,MktCat,"n/a")</f>
        <v/>
      </c>
      <c r="J1073" s="3">
        <f>_xlfn.XLOOKUP(A1073,MktTitle,MktTotVol,0)</f>
        <v/>
      </c>
      <c r="K1073">
        <f>IF(H1073&gt;WhaleThreshold,"WHALE","")</f>
        <v/>
      </c>
    </row>
    <row r="1074">
      <c r="A1074" t="inlineStr">
        <is>
          <t>Will Croatia win the 2026 FIFA World Cup?</t>
        </is>
      </c>
      <c r="B1074" s="4" t="n">
        <v>46206</v>
      </c>
      <c r="C1074" s="5" t="n">
        <v>46206.03445601852</v>
      </c>
      <c r="D1074" t="inlineStr">
        <is>
          <t>SELL</t>
        </is>
      </c>
      <c r="E1074" t="inlineStr">
        <is>
          <t>No</t>
        </is>
      </c>
      <c r="F1074" s="2" t="n">
        <v>0.994</v>
      </c>
      <c r="G1074" s="6" t="n">
        <v>100</v>
      </c>
      <c r="H1074" s="6">
        <f>F1074*G1074</f>
        <v/>
      </c>
      <c r="I1074">
        <f>_xlfn.XLOOKUP(A1074,MktTitle,MktCat,"n/a")</f>
        <v/>
      </c>
      <c r="J1074" s="3">
        <f>_xlfn.XLOOKUP(A1074,MktTitle,MktTotVol,0)</f>
        <v/>
      </c>
      <c r="K1074">
        <f>IF(H1074&gt;WhaleThreshold,"WHALE","")</f>
        <v/>
      </c>
    </row>
    <row r="1075">
      <c r="A1075" t="inlineStr">
        <is>
          <t>Will Croatia win the 2026 FIFA World Cup?</t>
        </is>
      </c>
      <c r="B1075" s="4" t="n">
        <v>46206</v>
      </c>
      <c r="C1075" s="5" t="n">
        <v>46206.03414351852</v>
      </c>
      <c r="D1075" t="inlineStr">
        <is>
          <t>SELL</t>
        </is>
      </c>
      <c r="E1075" t="inlineStr">
        <is>
          <t>Yes</t>
        </is>
      </c>
      <c r="F1075" s="2" t="n">
        <v>0.006</v>
      </c>
      <c r="G1075" s="6" t="n">
        <v>600</v>
      </c>
      <c r="H1075" s="6">
        <f>F1075*G1075</f>
        <v/>
      </c>
      <c r="I1075">
        <f>_xlfn.XLOOKUP(A1075,MktTitle,MktCat,"n/a")</f>
        <v/>
      </c>
      <c r="J1075" s="3">
        <f>_xlfn.XLOOKUP(A1075,MktTitle,MktTotVol,0)</f>
        <v/>
      </c>
      <c r="K1075">
        <f>IF(H1075&gt;WhaleThreshold,"WHALE","")</f>
        <v/>
      </c>
    </row>
    <row r="1076">
      <c r="A1076" t="inlineStr">
        <is>
          <t>Will Croatia win the 2026 FIFA World Cup?</t>
        </is>
      </c>
      <c r="B1076" s="4" t="n">
        <v>46206</v>
      </c>
      <c r="C1076" s="5" t="n">
        <v>46206.03310185186</v>
      </c>
      <c r="D1076" t="inlineStr">
        <is>
          <t>BUY</t>
        </is>
      </c>
      <c r="E1076" t="inlineStr">
        <is>
          <t>Yes</t>
        </is>
      </c>
      <c r="F1076" s="2" t="n">
        <v>0.007</v>
      </c>
      <c r="G1076" s="6" t="n">
        <v>1428.5714</v>
      </c>
      <c r="H1076" s="6">
        <f>F1076*G1076</f>
        <v/>
      </c>
      <c r="I1076">
        <f>_xlfn.XLOOKUP(A1076,MktTitle,MktCat,"n/a")</f>
        <v/>
      </c>
      <c r="J1076" s="3">
        <f>_xlfn.XLOOKUP(A1076,MktTitle,MktTotVol,0)</f>
        <v/>
      </c>
      <c r="K1076">
        <f>IF(H1076&gt;WhaleThreshold,"WHALE","")</f>
        <v/>
      </c>
    </row>
    <row r="1077">
      <c r="A1077" t="inlineStr">
        <is>
          <t>Will Croatia win the 2026 FIFA World Cup?</t>
        </is>
      </c>
      <c r="B1077" s="4" t="n">
        <v>46206</v>
      </c>
      <c r="C1077" s="5" t="n">
        <v>46206.03293981482</v>
      </c>
      <c r="D1077" t="inlineStr">
        <is>
          <t>BUY</t>
        </is>
      </c>
      <c r="E1077" t="inlineStr">
        <is>
          <t>Yes</t>
        </is>
      </c>
      <c r="F1077" s="2" t="n">
        <v>0.008</v>
      </c>
      <c r="G1077" s="6" t="n">
        <v>31267.0978</v>
      </c>
      <c r="H1077" s="6">
        <f>F1077*G1077</f>
        <v/>
      </c>
      <c r="I1077">
        <f>_xlfn.XLOOKUP(A1077,MktTitle,MktCat,"n/a")</f>
        <v/>
      </c>
      <c r="J1077" s="3">
        <f>_xlfn.XLOOKUP(A1077,MktTitle,MktTotVol,0)</f>
        <v/>
      </c>
      <c r="K1077">
        <f>IF(H1077&gt;WhaleThreshold,"WHALE","")</f>
        <v/>
      </c>
    </row>
    <row r="1078">
      <c r="A1078" t="inlineStr">
        <is>
          <t>Will Croatia win the 2026 FIFA World Cup?</t>
        </is>
      </c>
      <c r="B1078" s="4" t="n">
        <v>46206</v>
      </c>
      <c r="C1078" s="5" t="n">
        <v>46206.03285879629</v>
      </c>
      <c r="D1078" t="inlineStr">
        <is>
          <t>BUY</t>
        </is>
      </c>
      <c r="E1078" t="inlineStr">
        <is>
          <t>Yes</t>
        </is>
      </c>
      <c r="F1078" s="2" t="n">
        <v>0.0053</v>
      </c>
      <c r="G1078" s="6" t="n">
        <v>11396.1933</v>
      </c>
      <c r="H1078" s="6">
        <f>F1078*G1078</f>
        <v/>
      </c>
      <c r="I1078">
        <f>_xlfn.XLOOKUP(A1078,MktTitle,MktCat,"n/a")</f>
        <v/>
      </c>
      <c r="J1078" s="3">
        <f>_xlfn.XLOOKUP(A1078,MktTitle,MktTotVol,0)</f>
        <v/>
      </c>
      <c r="K1078">
        <f>IF(H1078&gt;WhaleThreshold,"WHALE","")</f>
        <v/>
      </c>
    </row>
    <row r="1079">
      <c r="A1079" t="inlineStr">
        <is>
          <t>Will Croatia win the 2026 FIFA World Cup?</t>
        </is>
      </c>
      <c r="B1079" s="4" t="n">
        <v>46206</v>
      </c>
      <c r="C1079" s="5" t="n">
        <v>46206.03275462963</v>
      </c>
      <c r="D1079" t="inlineStr">
        <is>
          <t>BUY</t>
        </is>
      </c>
      <c r="E1079" t="inlineStr">
        <is>
          <t>Yes</t>
        </is>
      </c>
      <c r="F1079" s="2" t="n">
        <v>0.005</v>
      </c>
      <c r="G1079" s="6" t="n">
        <v>2000</v>
      </c>
      <c r="H1079" s="6">
        <f>F1079*G1079</f>
        <v/>
      </c>
      <c r="I1079">
        <f>_xlfn.XLOOKUP(A1079,MktTitle,MktCat,"n/a")</f>
        <v/>
      </c>
      <c r="J1079" s="3">
        <f>_xlfn.XLOOKUP(A1079,MktTitle,MktTotVol,0)</f>
        <v/>
      </c>
      <c r="K1079">
        <f>IF(H1079&gt;WhaleThreshold,"WHALE","")</f>
        <v/>
      </c>
    </row>
    <row r="1080">
      <c r="A1080" t="inlineStr">
        <is>
          <t>Will Croatia win the 2026 FIFA World Cup?</t>
        </is>
      </c>
      <c r="B1080" s="4" t="n">
        <v>46206</v>
      </c>
      <c r="C1080" s="5" t="n">
        <v>46206.03223379629</v>
      </c>
      <c r="D1080" t="inlineStr">
        <is>
          <t>BUY</t>
        </is>
      </c>
      <c r="E1080" t="inlineStr">
        <is>
          <t>Yes</t>
        </is>
      </c>
      <c r="F1080" s="2" t="n">
        <v>0.005</v>
      </c>
      <c r="G1080" s="6" t="n">
        <v>200</v>
      </c>
      <c r="H1080" s="6">
        <f>F1080*G1080</f>
        <v/>
      </c>
      <c r="I1080">
        <f>_xlfn.XLOOKUP(A1080,MktTitle,MktCat,"n/a")</f>
        <v/>
      </c>
      <c r="J1080" s="3">
        <f>_xlfn.XLOOKUP(A1080,MktTitle,MktTotVol,0)</f>
        <v/>
      </c>
      <c r="K1080">
        <f>IF(H1080&gt;WhaleThreshold,"WHALE","")</f>
        <v/>
      </c>
    </row>
    <row r="1081">
      <c r="A1081" t="inlineStr">
        <is>
          <t>Will Croatia win the 2026 FIFA World Cup?</t>
        </is>
      </c>
      <c r="B1081" s="4" t="n">
        <v>46206</v>
      </c>
      <c r="C1081" s="5" t="n">
        <v>46206.03188657408</v>
      </c>
      <c r="D1081" t="inlineStr">
        <is>
          <t>BUY</t>
        </is>
      </c>
      <c r="E1081" t="inlineStr">
        <is>
          <t>Yes</t>
        </is>
      </c>
      <c r="F1081" s="2" t="n">
        <v>0.0049</v>
      </c>
      <c r="G1081" s="6" t="n">
        <v>2024.844</v>
      </c>
      <c r="H1081" s="6">
        <f>F1081*G1081</f>
        <v/>
      </c>
      <c r="I1081">
        <f>_xlfn.XLOOKUP(A1081,MktTitle,MktCat,"n/a")</f>
        <v/>
      </c>
      <c r="J1081" s="3">
        <f>_xlfn.XLOOKUP(A1081,MktTitle,MktTotVol,0)</f>
        <v/>
      </c>
      <c r="K1081">
        <f>IF(H1081&gt;WhaleThreshold,"WHALE","")</f>
        <v/>
      </c>
    </row>
    <row r="1082">
      <c r="A1082" t="inlineStr">
        <is>
          <t>Will Croatia win the 2026 FIFA World Cup?</t>
        </is>
      </c>
      <c r="B1082" s="4" t="n">
        <v>46206</v>
      </c>
      <c r="C1082" s="5" t="n">
        <v>46206.03186342592</v>
      </c>
      <c r="D1082" t="inlineStr">
        <is>
          <t>BUY</t>
        </is>
      </c>
      <c r="E1082" t="inlineStr">
        <is>
          <t>Yes</t>
        </is>
      </c>
      <c r="F1082" s="2" t="n">
        <v>0.004</v>
      </c>
      <c r="G1082" s="6" t="n">
        <v>1250</v>
      </c>
      <c r="H1082" s="6">
        <f>F1082*G1082</f>
        <v/>
      </c>
      <c r="I1082">
        <f>_xlfn.XLOOKUP(A1082,MktTitle,MktCat,"n/a")</f>
        <v/>
      </c>
      <c r="J1082" s="3">
        <f>_xlfn.XLOOKUP(A1082,MktTitle,MktTotVol,0)</f>
        <v/>
      </c>
      <c r="K1082">
        <f>IF(H1082&gt;WhaleThreshold,"WHALE","")</f>
        <v/>
      </c>
    </row>
    <row r="1083">
      <c r="A1083" t="inlineStr">
        <is>
          <t>Will Croatia win the 2026 FIFA World Cup?</t>
        </is>
      </c>
      <c r="B1083" s="4" t="n">
        <v>46206</v>
      </c>
      <c r="C1083" s="5" t="n">
        <v>46206.03141203704</v>
      </c>
      <c r="D1083" t="inlineStr">
        <is>
          <t>BUY</t>
        </is>
      </c>
      <c r="E1083" t="inlineStr">
        <is>
          <t>Yes</t>
        </is>
      </c>
      <c r="F1083" s="2" t="n">
        <v>0.005</v>
      </c>
      <c r="G1083" s="6" t="n">
        <v>800</v>
      </c>
      <c r="H1083" s="6">
        <f>F1083*G1083</f>
        <v/>
      </c>
      <c r="I1083">
        <f>_xlfn.XLOOKUP(A1083,MktTitle,MktCat,"n/a")</f>
        <v/>
      </c>
      <c r="J1083" s="3">
        <f>_xlfn.XLOOKUP(A1083,MktTitle,MktTotVol,0)</f>
        <v/>
      </c>
      <c r="K1083">
        <f>IF(H1083&gt;WhaleThreshold,"WHALE","")</f>
        <v/>
      </c>
    </row>
    <row r="1084">
      <c r="A1084" t="inlineStr">
        <is>
          <t>Will Croatia win the 2026 FIFA World Cup?</t>
        </is>
      </c>
      <c r="B1084" s="4" t="n">
        <v>46206</v>
      </c>
      <c r="C1084" s="5" t="n">
        <v>46206.03016203704</v>
      </c>
      <c r="D1084" t="inlineStr">
        <is>
          <t>BUY</t>
        </is>
      </c>
      <c r="E1084" t="inlineStr">
        <is>
          <t>Yes</t>
        </is>
      </c>
      <c r="F1084" s="2" t="n">
        <v>0.005</v>
      </c>
      <c r="G1084" s="6" t="n">
        <v>2000</v>
      </c>
      <c r="H1084" s="6">
        <f>F1084*G1084</f>
        <v/>
      </c>
      <c r="I1084">
        <f>_xlfn.XLOOKUP(A1084,MktTitle,MktCat,"n/a")</f>
        <v/>
      </c>
      <c r="J1084" s="3">
        <f>_xlfn.XLOOKUP(A1084,MktTitle,MktTotVol,0)</f>
        <v/>
      </c>
      <c r="K1084">
        <f>IF(H1084&gt;WhaleThreshold,"WHALE","")</f>
        <v/>
      </c>
    </row>
    <row r="1085">
      <c r="A1085" t="inlineStr">
        <is>
          <t>Will Croatia win the 2026 FIFA World Cup?</t>
        </is>
      </c>
      <c r="B1085" s="4" t="n">
        <v>46206</v>
      </c>
      <c r="C1085" s="5" t="n">
        <v>46206.02976851852</v>
      </c>
      <c r="D1085" t="inlineStr">
        <is>
          <t>SELL</t>
        </is>
      </c>
      <c r="E1085" t="inlineStr">
        <is>
          <t>Yes</t>
        </is>
      </c>
      <c r="F1085" s="2" t="n">
        <v>0.004</v>
      </c>
      <c r="G1085" s="6" t="n">
        <v>714.28</v>
      </c>
      <c r="H1085" s="6">
        <f>F1085*G1085</f>
        <v/>
      </c>
      <c r="I1085">
        <f>_xlfn.XLOOKUP(A1085,MktTitle,MktCat,"n/a")</f>
        <v/>
      </c>
      <c r="J1085" s="3">
        <f>_xlfn.XLOOKUP(A1085,MktTitle,MktTotVol,0)</f>
        <v/>
      </c>
      <c r="K1085">
        <f>IF(H1085&gt;WhaleThreshold,"WHALE","")</f>
        <v/>
      </c>
    </row>
    <row r="1086">
      <c r="A1086" t="inlineStr">
        <is>
          <t>Will Croatia win the 2026 FIFA World Cup?</t>
        </is>
      </c>
      <c r="B1086" s="4" t="n">
        <v>46206</v>
      </c>
      <c r="C1086" s="5" t="n">
        <v>46206.02953703704</v>
      </c>
      <c r="D1086" t="inlineStr">
        <is>
          <t>BUY</t>
        </is>
      </c>
      <c r="E1086" t="inlineStr">
        <is>
          <t>Yes</t>
        </is>
      </c>
      <c r="F1086" s="2" t="n">
        <v>0.005</v>
      </c>
      <c r="G1086" s="6" t="n">
        <v>1000</v>
      </c>
      <c r="H1086" s="6">
        <f>F1086*G1086</f>
        <v/>
      </c>
      <c r="I1086">
        <f>_xlfn.XLOOKUP(A1086,MktTitle,MktCat,"n/a")</f>
        <v/>
      </c>
      <c r="J1086" s="3">
        <f>_xlfn.XLOOKUP(A1086,MktTitle,MktTotVol,0)</f>
        <v/>
      </c>
      <c r="K1086">
        <f>IF(H1086&gt;WhaleThreshold,"WHALE","")</f>
        <v/>
      </c>
    </row>
    <row r="1087">
      <c r="A1087" t="inlineStr">
        <is>
          <t>Will Croatia win the 2026 FIFA World Cup?</t>
        </is>
      </c>
      <c r="B1087" s="4" t="n">
        <v>46206</v>
      </c>
      <c r="C1087" s="5" t="n">
        <v>46206.02950231481</v>
      </c>
      <c r="D1087" t="inlineStr">
        <is>
          <t>SELL</t>
        </is>
      </c>
      <c r="E1087" t="inlineStr">
        <is>
          <t>No</t>
        </is>
      </c>
      <c r="F1087" s="2" t="n">
        <v>0.995</v>
      </c>
      <c r="G1087" s="6" t="n">
        <v>19.3</v>
      </c>
      <c r="H1087" s="6">
        <f>F1087*G1087</f>
        <v/>
      </c>
      <c r="I1087">
        <f>_xlfn.XLOOKUP(A1087,MktTitle,MktCat,"n/a")</f>
        <v/>
      </c>
      <c r="J1087" s="3">
        <f>_xlfn.XLOOKUP(A1087,MktTitle,MktTotVol,0)</f>
        <v/>
      </c>
      <c r="K1087">
        <f>IF(H1087&gt;WhaleThreshold,"WHALE","")</f>
        <v/>
      </c>
    </row>
    <row r="1088">
      <c r="A1088" t="inlineStr">
        <is>
          <t>Will Croatia win the 2026 FIFA World Cup?</t>
        </is>
      </c>
      <c r="B1088" s="4" t="n">
        <v>46206</v>
      </c>
      <c r="C1088" s="5" t="n">
        <v>46206.02943287037</v>
      </c>
      <c r="D1088" t="inlineStr">
        <is>
          <t>SELL</t>
        </is>
      </c>
      <c r="E1088" t="inlineStr">
        <is>
          <t>No</t>
        </is>
      </c>
      <c r="F1088" s="2" t="n">
        <v>0.995</v>
      </c>
      <c r="G1088" s="6" t="n">
        <v>12.81</v>
      </c>
      <c r="H1088" s="6">
        <f>F1088*G1088</f>
        <v/>
      </c>
      <c r="I1088">
        <f>_xlfn.XLOOKUP(A1088,MktTitle,MktCat,"n/a")</f>
        <v/>
      </c>
      <c r="J1088" s="3">
        <f>_xlfn.XLOOKUP(A1088,MktTitle,MktTotVol,0)</f>
        <v/>
      </c>
      <c r="K1088">
        <f>IF(H1088&gt;WhaleThreshold,"WHALE","")</f>
        <v/>
      </c>
    </row>
    <row r="1089">
      <c r="A1089" t="inlineStr">
        <is>
          <t>Will Croatia win the 2026 FIFA World Cup?</t>
        </is>
      </c>
      <c r="B1089" s="4" t="n">
        <v>46206</v>
      </c>
      <c r="C1089" s="5" t="n">
        <v>46206.02943287037</v>
      </c>
      <c r="D1089" t="inlineStr">
        <is>
          <t>SELL</t>
        </is>
      </c>
      <c r="E1089" t="inlineStr">
        <is>
          <t>No</t>
        </is>
      </c>
      <c r="F1089" s="2" t="n">
        <v>0.995</v>
      </c>
      <c r="G1089" s="6" t="n">
        <v>19.3</v>
      </c>
      <c r="H1089" s="6">
        <f>F1089*G1089</f>
        <v/>
      </c>
      <c r="I1089">
        <f>_xlfn.XLOOKUP(A1089,MktTitle,MktCat,"n/a")</f>
        <v/>
      </c>
      <c r="J1089" s="3">
        <f>_xlfn.XLOOKUP(A1089,MktTitle,MktTotVol,0)</f>
        <v/>
      </c>
      <c r="K1089">
        <f>IF(H1089&gt;WhaleThreshold,"WHALE","")</f>
        <v/>
      </c>
    </row>
    <row r="1090">
      <c r="A1090" t="inlineStr">
        <is>
          <t>Will Croatia win the 2026 FIFA World Cup?</t>
        </is>
      </c>
      <c r="B1090" s="4" t="n">
        <v>46206</v>
      </c>
      <c r="C1090" s="5" t="n">
        <v>46206.02929398148</v>
      </c>
      <c r="D1090" t="inlineStr">
        <is>
          <t>SELL</t>
        </is>
      </c>
      <c r="E1090" t="inlineStr">
        <is>
          <t>No</t>
        </is>
      </c>
      <c r="F1090" s="2" t="n">
        <v>0.995</v>
      </c>
      <c r="G1090" s="6" t="n">
        <v>20.3</v>
      </c>
      <c r="H1090" s="6">
        <f>F1090*G1090</f>
        <v/>
      </c>
      <c r="I1090">
        <f>_xlfn.XLOOKUP(A1090,MktTitle,MktCat,"n/a")</f>
        <v/>
      </c>
      <c r="J1090" s="3">
        <f>_xlfn.XLOOKUP(A1090,MktTitle,MktTotVol,0)</f>
        <v/>
      </c>
      <c r="K1090">
        <f>IF(H1090&gt;WhaleThreshold,"WHALE","")</f>
        <v/>
      </c>
    </row>
    <row r="1091">
      <c r="A1091" t="inlineStr">
        <is>
          <t>Will Croatia win the 2026 FIFA World Cup?</t>
        </is>
      </c>
      <c r="B1091" s="4" t="n">
        <v>46206</v>
      </c>
      <c r="C1091" s="5" t="n">
        <v>46206.02929398148</v>
      </c>
      <c r="D1091" t="inlineStr">
        <is>
          <t>SELL</t>
        </is>
      </c>
      <c r="E1091" t="inlineStr">
        <is>
          <t>No</t>
        </is>
      </c>
      <c r="F1091" s="2" t="n">
        <v>0.995</v>
      </c>
      <c r="G1091" s="6" t="n">
        <v>19.3</v>
      </c>
      <c r="H1091" s="6">
        <f>F1091*G1091</f>
        <v/>
      </c>
      <c r="I1091">
        <f>_xlfn.XLOOKUP(A1091,MktTitle,MktCat,"n/a")</f>
        <v/>
      </c>
      <c r="J1091" s="3">
        <f>_xlfn.XLOOKUP(A1091,MktTitle,MktTotVol,0)</f>
        <v/>
      </c>
      <c r="K1091">
        <f>IF(H1091&gt;WhaleThreshold,"WHALE","")</f>
        <v/>
      </c>
    </row>
    <row r="1092">
      <c r="A1092" t="inlineStr">
        <is>
          <t>Will Croatia win the 2026 FIFA World Cup?</t>
        </is>
      </c>
      <c r="B1092" s="4" t="n">
        <v>46206</v>
      </c>
      <c r="C1092" s="5" t="n">
        <v>46206.02929398148</v>
      </c>
      <c r="D1092" t="inlineStr">
        <is>
          <t>SELL</t>
        </is>
      </c>
      <c r="E1092" t="inlineStr">
        <is>
          <t>No</t>
        </is>
      </c>
      <c r="F1092" s="2" t="n">
        <v>0.995</v>
      </c>
      <c r="G1092" s="6" t="n">
        <v>20.54</v>
      </c>
      <c r="H1092" s="6">
        <f>F1092*G1092</f>
        <v/>
      </c>
      <c r="I1092">
        <f>_xlfn.XLOOKUP(A1092,MktTitle,MktCat,"n/a")</f>
        <v/>
      </c>
      <c r="J1092" s="3">
        <f>_xlfn.XLOOKUP(A1092,MktTitle,MktTotVol,0)</f>
        <v/>
      </c>
      <c r="K1092">
        <f>IF(H1092&gt;WhaleThreshold,"WHALE","")</f>
        <v/>
      </c>
    </row>
    <row r="1093">
      <c r="A1093" t="inlineStr">
        <is>
          <t>Will Croatia win the 2026 FIFA World Cup?</t>
        </is>
      </c>
      <c r="B1093" s="4" t="n">
        <v>46206</v>
      </c>
      <c r="C1093" s="5" t="n">
        <v>46206.02929398148</v>
      </c>
      <c r="D1093" t="inlineStr">
        <is>
          <t>SELL</t>
        </is>
      </c>
      <c r="E1093" t="inlineStr">
        <is>
          <t>No</t>
        </is>
      </c>
      <c r="F1093" s="2" t="n">
        <v>0.995</v>
      </c>
      <c r="G1093" s="6" t="n">
        <v>20.91</v>
      </c>
      <c r="H1093" s="6">
        <f>F1093*G1093</f>
        <v/>
      </c>
      <c r="I1093">
        <f>_xlfn.XLOOKUP(A1093,MktTitle,MktCat,"n/a")</f>
        <v/>
      </c>
      <c r="J1093" s="3">
        <f>_xlfn.XLOOKUP(A1093,MktTitle,MktTotVol,0)</f>
        <v/>
      </c>
      <c r="K1093">
        <f>IF(H1093&gt;WhaleThreshold,"WHALE","")</f>
        <v/>
      </c>
    </row>
    <row r="1094">
      <c r="A1094" t="inlineStr">
        <is>
          <t>Will Croatia win the 2026 FIFA World Cup?</t>
        </is>
      </c>
      <c r="B1094" s="4" t="n">
        <v>46206</v>
      </c>
      <c r="C1094" s="5" t="n">
        <v>46206.02929398148</v>
      </c>
      <c r="D1094" t="inlineStr">
        <is>
          <t>SELL</t>
        </is>
      </c>
      <c r="E1094" t="inlineStr">
        <is>
          <t>No</t>
        </is>
      </c>
      <c r="F1094" s="2" t="n">
        <v>0.995</v>
      </c>
      <c r="G1094" s="6" t="n">
        <v>20.87</v>
      </c>
      <c r="H1094" s="6">
        <f>F1094*G1094</f>
        <v/>
      </c>
      <c r="I1094">
        <f>_xlfn.XLOOKUP(A1094,MktTitle,MktCat,"n/a")</f>
        <v/>
      </c>
      <c r="J1094" s="3">
        <f>_xlfn.XLOOKUP(A1094,MktTitle,MktTotVol,0)</f>
        <v/>
      </c>
      <c r="K1094">
        <f>IF(H1094&gt;WhaleThreshold,"WHALE","")</f>
        <v/>
      </c>
    </row>
    <row r="1095">
      <c r="A1095" t="inlineStr">
        <is>
          <t>Will Croatia win the 2026 FIFA World Cup?</t>
        </is>
      </c>
      <c r="B1095" s="4" t="n">
        <v>46206</v>
      </c>
      <c r="C1095" s="5" t="n">
        <v>46206.02928240741</v>
      </c>
      <c r="D1095" t="inlineStr">
        <is>
          <t>SELL</t>
        </is>
      </c>
      <c r="E1095" t="inlineStr">
        <is>
          <t>No</t>
        </is>
      </c>
      <c r="F1095" s="2" t="n">
        <v>0.995</v>
      </c>
      <c r="G1095" s="6" t="n">
        <v>96.84</v>
      </c>
      <c r="H1095" s="6">
        <f>F1095*G1095</f>
        <v/>
      </c>
      <c r="I1095">
        <f>_xlfn.XLOOKUP(A1095,MktTitle,MktCat,"n/a")</f>
        <v/>
      </c>
      <c r="J1095" s="3">
        <f>_xlfn.XLOOKUP(A1095,MktTitle,MktTotVol,0)</f>
        <v/>
      </c>
      <c r="K1095">
        <f>IF(H1095&gt;WhaleThreshold,"WHALE","")</f>
        <v/>
      </c>
    </row>
    <row r="1096">
      <c r="A1096" t="inlineStr">
        <is>
          <t>Will Croatia win the 2026 FIFA World Cup?</t>
        </is>
      </c>
      <c r="B1096" s="4" t="n">
        <v>46206</v>
      </c>
      <c r="C1096" s="5" t="n">
        <v>46206.02928240741</v>
      </c>
      <c r="D1096" t="inlineStr">
        <is>
          <t>SELL</t>
        </is>
      </c>
      <c r="E1096" t="inlineStr">
        <is>
          <t>No</t>
        </is>
      </c>
      <c r="F1096" s="2" t="n">
        <v>0.995</v>
      </c>
      <c r="G1096" s="6" t="n">
        <v>50.03</v>
      </c>
      <c r="H1096" s="6">
        <f>F1096*G1096</f>
        <v/>
      </c>
      <c r="I1096">
        <f>_xlfn.XLOOKUP(A1096,MktTitle,MktCat,"n/a")</f>
        <v/>
      </c>
      <c r="J1096" s="3">
        <f>_xlfn.XLOOKUP(A1096,MktTitle,MktTotVol,0)</f>
        <v/>
      </c>
      <c r="K1096">
        <f>IF(H1096&gt;WhaleThreshold,"WHALE","")</f>
        <v/>
      </c>
    </row>
    <row r="1097">
      <c r="A1097" t="inlineStr">
        <is>
          <t>Will Croatia win the 2026 FIFA World Cup?</t>
        </is>
      </c>
      <c r="B1097" s="4" t="n">
        <v>46206</v>
      </c>
      <c r="C1097" s="5" t="n">
        <v>46206.02928240741</v>
      </c>
      <c r="D1097" t="inlineStr">
        <is>
          <t>SELL</t>
        </is>
      </c>
      <c r="E1097" t="inlineStr">
        <is>
          <t>No</t>
        </is>
      </c>
      <c r="F1097" s="2" t="n">
        <v>0.995</v>
      </c>
      <c r="G1097" s="6" t="n">
        <v>62.5</v>
      </c>
      <c r="H1097" s="6">
        <f>F1097*G1097</f>
        <v/>
      </c>
      <c r="I1097">
        <f>_xlfn.XLOOKUP(A1097,MktTitle,MktCat,"n/a")</f>
        <v/>
      </c>
      <c r="J1097" s="3">
        <f>_xlfn.XLOOKUP(A1097,MktTitle,MktTotVol,0)</f>
        <v/>
      </c>
      <c r="K1097">
        <f>IF(H1097&gt;WhaleThreshold,"WHALE","")</f>
        <v/>
      </c>
    </row>
    <row r="1098">
      <c r="A1098" t="inlineStr">
        <is>
          <t>Will Croatia win the 2026 FIFA World Cup?</t>
        </is>
      </c>
      <c r="B1098" s="4" t="n">
        <v>46206</v>
      </c>
      <c r="C1098" s="5" t="n">
        <v>46206.02928240741</v>
      </c>
      <c r="D1098" t="inlineStr">
        <is>
          <t>SELL</t>
        </is>
      </c>
      <c r="E1098" t="inlineStr">
        <is>
          <t>No</t>
        </is>
      </c>
      <c r="F1098" s="2" t="n">
        <v>0.995</v>
      </c>
      <c r="G1098" s="6" t="n">
        <v>58.67</v>
      </c>
      <c r="H1098" s="6">
        <f>F1098*G1098</f>
        <v/>
      </c>
      <c r="I1098">
        <f>_xlfn.XLOOKUP(A1098,MktTitle,MktCat,"n/a")</f>
        <v/>
      </c>
      <c r="J1098" s="3">
        <f>_xlfn.XLOOKUP(A1098,MktTitle,MktTotVol,0)</f>
        <v/>
      </c>
      <c r="K1098">
        <f>IF(H1098&gt;WhaleThreshold,"WHALE","")</f>
        <v/>
      </c>
    </row>
    <row r="1099">
      <c r="A1099" t="inlineStr">
        <is>
          <t>Will Croatia win the 2026 FIFA World Cup?</t>
        </is>
      </c>
      <c r="B1099" s="4" t="n">
        <v>46206</v>
      </c>
      <c r="C1099" s="5" t="n">
        <v>46206.02928240741</v>
      </c>
      <c r="D1099" t="inlineStr">
        <is>
          <t>SELL</t>
        </is>
      </c>
      <c r="E1099" t="inlineStr">
        <is>
          <t>No</t>
        </is>
      </c>
      <c r="F1099" s="2" t="n">
        <v>0.995</v>
      </c>
      <c r="G1099" s="6" t="n">
        <v>19.27</v>
      </c>
      <c r="H1099" s="6">
        <f>F1099*G1099</f>
        <v/>
      </c>
      <c r="I1099">
        <f>_xlfn.XLOOKUP(A1099,MktTitle,MktCat,"n/a")</f>
        <v/>
      </c>
      <c r="J1099" s="3">
        <f>_xlfn.XLOOKUP(A1099,MktTitle,MktTotVol,0)</f>
        <v/>
      </c>
      <c r="K1099">
        <f>IF(H1099&gt;WhaleThreshold,"WHALE","")</f>
        <v/>
      </c>
    </row>
    <row r="1100">
      <c r="A1100" t="inlineStr">
        <is>
          <t>Will Croatia win the 2026 FIFA World Cup?</t>
        </is>
      </c>
      <c r="B1100" s="4" t="n">
        <v>46206</v>
      </c>
      <c r="C1100" s="5" t="n">
        <v>46206.02925925926</v>
      </c>
      <c r="D1100" t="inlineStr">
        <is>
          <t>SELL</t>
        </is>
      </c>
      <c r="E1100" t="inlineStr">
        <is>
          <t>No</t>
        </is>
      </c>
      <c r="F1100" s="2" t="n">
        <v>0.995</v>
      </c>
      <c r="G1100" s="6" t="n">
        <v>24.98</v>
      </c>
      <c r="H1100" s="6">
        <f>F1100*G1100</f>
        <v/>
      </c>
      <c r="I1100">
        <f>_xlfn.XLOOKUP(A1100,MktTitle,MktCat,"n/a")</f>
        <v/>
      </c>
      <c r="J1100" s="3">
        <f>_xlfn.XLOOKUP(A1100,MktTitle,MktTotVol,0)</f>
        <v/>
      </c>
      <c r="K1100">
        <f>IF(H1100&gt;WhaleThreshold,"WHALE","")</f>
        <v/>
      </c>
    </row>
    <row r="1101">
      <c r="A1101" t="inlineStr">
        <is>
          <t>Will Croatia win the 2026 FIFA World Cup?</t>
        </is>
      </c>
      <c r="B1101" s="4" t="n">
        <v>46206</v>
      </c>
      <c r="C1101" s="5" t="n">
        <v>46206.02925925926</v>
      </c>
      <c r="D1101" t="inlineStr">
        <is>
          <t>SELL</t>
        </is>
      </c>
      <c r="E1101" t="inlineStr">
        <is>
          <t>No</t>
        </is>
      </c>
      <c r="F1101" s="2" t="n">
        <v>0.995</v>
      </c>
      <c r="G1101" s="6" t="n">
        <v>61.87</v>
      </c>
      <c r="H1101" s="6">
        <f>F1101*G1101</f>
        <v/>
      </c>
      <c r="I1101">
        <f>_xlfn.XLOOKUP(A1101,MktTitle,MktCat,"n/a")</f>
        <v/>
      </c>
      <c r="J1101" s="3">
        <f>_xlfn.XLOOKUP(A1101,MktTitle,MktTotVol,0)</f>
        <v/>
      </c>
      <c r="K1101">
        <f>IF(H1101&gt;WhaleThreshold,"WHALE","")</f>
        <v/>
      </c>
    </row>
    <row r="1102">
      <c r="A1102" t="inlineStr">
        <is>
          <t>Will Croatia win the 2026 FIFA World Cup?</t>
        </is>
      </c>
      <c r="B1102" s="4" t="n">
        <v>46206</v>
      </c>
      <c r="C1102" s="5" t="n">
        <v>46206.02925925926</v>
      </c>
      <c r="D1102" t="inlineStr">
        <is>
          <t>SELL</t>
        </is>
      </c>
      <c r="E1102" t="inlineStr">
        <is>
          <t>No</t>
        </is>
      </c>
      <c r="F1102" s="2" t="n">
        <v>0.995</v>
      </c>
      <c r="G1102" s="6" t="n">
        <v>36.97</v>
      </c>
      <c r="H1102" s="6">
        <f>F1102*G1102</f>
        <v/>
      </c>
      <c r="I1102">
        <f>_xlfn.XLOOKUP(A1102,MktTitle,MktCat,"n/a")</f>
        <v/>
      </c>
      <c r="J1102" s="3">
        <f>_xlfn.XLOOKUP(A1102,MktTitle,MktTotVol,0)</f>
        <v/>
      </c>
      <c r="K1102">
        <f>IF(H1102&gt;WhaleThreshold,"WHALE","")</f>
        <v/>
      </c>
    </row>
    <row r="1103">
      <c r="A1103" t="inlineStr">
        <is>
          <t>Will Croatia win the 2026 FIFA World Cup?</t>
        </is>
      </c>
      <c r="B1103" s="4" t="n">
        <v>46206</v>
      </c>
      <c r="C1103" s="5" t="n">
        <v>46206.02925925926</v>
      </c>
      <c r="D1103" t="inlineStr">
        <is>
          <t>SELL</t>
        </is>
      </c>
      <c r="E1103" t="inlineStr">
        <is>
          <t>No</t>
        </is>
      </c>
      <c r="F1103" s="2" t="n">
        <v>0.995</v>
      </c>
      <c r="G1103" s="6" t="n">
        <v>118.69</v>
      </c>
      <c r="H1103" s="6">
        <f>F1103*G1103</f>
        <v/>
      </c>
      <c r="I1103">
        <f>_xlfn.XLOOKUP(A1103,MktTitle,MktCat,"n/a")</f>
        <v/>
      </c>
      <c r="J1103" s="3">
        <f>_xlfn.XLOOKUP(A1103,MktTitle,MktTotVol,0)</f>
        <v/>
      </c>
      <c r="K1103">
        <f>IF(H1103&gt;WhaleThreshold,"WHALE","")</f>
        <v/>
      </c>
    </row>
    <row r="1104">
      <c r="A1104" t="inlineStr">
        <is>
          <t>Will Croatia win the 2026 FIFA World Cup?</t>
        </is>
      </c>
      <c r="B1104" s="4" t="n">
        <v>46206</v>
      </c>
      <c r="C1104" s="5" t="n">
        <v>46206.02925925926</v>
      </c>
      <c r="D1104" t="inlineStr">
        <is>
          <t>SELL</t>
        </is>
      </c>
      <c r="E1104" t="inlineStr">
        <is>
          <t>No</t>
        </is>
      </c>
      <c r="F1104" s="2" t="n">
        <v>0.995</v>
      </c>
      <c r="G1104" s="6" t="n">
        <v>89.25</v>
      </c>
      <c r="H1104" s="6">
        <f>F1104*G1104</f>
        <v/>
      </c>
      <c r="I1104">
        <f>_xlfn.XLOOKUP(A1104,MktTitle,MktCat,"n/a")</f>
        <v/>
      </c>
      <c r="J1104" s="3">
        <f>_xlfn.XLOOKUP(A1104,MktTitle,MktTotVol,0)</f>
        <v/>
      </c>
      <c r="K1104">
        <f>IF(H1104&gt;WhaleThreshold,"WHALE","")</f>
        <v/>
      </c>
    </row>
    <row r="1105">
      <c r="A1105" t="inlineStr">
        <is>
          <t>Will Croatia win the 2026 FIFA World Cup?</t>
        </is>
      </c>
      <c r="B1105" s="4" t="n">
        <v>46206</v>
      </c>
      <c r="C1105" s="5" t="n">
        <v>46206.02925925926</v>
      </c>
      <c r="D1105" t="inlineStr">
        <is>
          <t>SELL</t>
        </is>
      </c>
      <c r="E1105" t="inlineStr">
        <is>
          <t>No</t>
        </is>
      </c>
      <c r="F1105" s="2" t="n">
        <v>0.995</v>
      </c>
      <c r="G1105" s="6" t="n">
        <v>79.97</v>
      </c>
      <c r="H1105" s="6">
        <f>F1105*G1105</f>
        <v/>
      </c>
      <c r="I1105">
        <f>_xlfn.XLOOKUP(A1105,MktTitle,MktCat,"n/a")</f>
        <v/>
      </c>
      <c r="J1105" s="3">
        <f>_xlfn.XLOOKUP(A1105,MktTitle,MktTotVol,0)</f>
        <v/>
      </c>
      <c r="K1105">
        <f>IF(H1105&gt;WhaleThreshold,"WHALE","")</f>
        <v/>
      </c>
    </row>
    <row r="1106">
      <c r="A1106" t="inlineStr">
        <is>
          <t>Will Croatia win the 2026 FIFA World Cup?</t>
        </is>
      </c>
      <c r="B1106" s="4" t="n">
        <v>46206</v>
      </c>
      <c r="C1106" s="5" t="n">
        <v>46206.02924768518</v>
      </c>
      <c r="D1106" t="inlineStr">
        <is>
          <t>BUY</t>
        </is>
      </c>
      <c r="E1106" t="inlineStr">
        <is>
          <t>Yes</t>
        </is>
      </c>
      <c r="F1106" s="2" t="n">
        <v>0.005</v>
      </c>
      <c r="G1106" s="6" t="n">
        <v>1340</v>
      </c>
      <c r="H1106" s="6">
        <f>F1106*G1106</f>
        <v/>
      </c>
      <c r="I1106">
        <f>_xlfn.XLOOKUP(A1106,MktTitle,MktCat,"n/a")</f>
        <v/>
      </c>
      <c r="J1106" s="3">
        <f>_xlfn.XLOOKUP(A1106,MktTitle,MktTotVol,0)</f>
        <v/>
      </c>
      <c r="K1106">
        <f>IF(H1106&gt;WhaleThreshold,"WHALE","")</f>
        <v/>
      </c>
    </row>
    <row r="1107">
      <c r="A1107" t="inlineStr">
        <is>
          <t>Will Croatia win the 2026 FIFA World Cup?</t>
        </is>
      </c>
      <c r="B1107" s="4" t="n">
        <v>46206</v>
      </c>
      <c r="C1107" s="5" t="n">
        <v>46206.02915509259</v>
      </c>
      <c r="D1107" t="inlineStr">
        <is>
          <t>BUY</t>
        </is>
      </c>
      <c r="E1107" t="inlineStr">
        <is>
          <t>Yes</t>
        </is>
      </c>
      <c r="F1107" s="2" t="n">
        <v>0.005</v>
      </c>
      <c r="G1107" s="6" t="n">
        <v>200</v>
      </c>
      <c r="H1107" s="6">
        <f>F1107*G1107</f>
        <v/>
      </c>
      <c r="I1107">
        <f>_xlfn.XLOOKUP(A1107,MktTitle,MktCat,"n/a")</f>
        <v/>
      </c>
      <c r="J1107" s="3">
        <f>_xlfn.XLOOKUP(A1107,MktTitle,MktTotVol,0)</f>
        <v/>
      </c>
      <c r="K1107">
        <f>IF(H1107&gt;WhaleThreshold,"WHALE","")</f>
        <v/>
      </c>
    </row>
    <row r="1108">
      <c r="A1108" t="inlineStr">
        <is>
          <t>Will Croatia win the 2026 FIFA World Cup?</t>
        </is>
      </c>
      <c r="B1108" s="4" t="n">
        <v>46206</v>
      </c>
      <c r="C1108" s="5" t="n">
        <v>46206.02853009259</v>
      </c>
      <c r="D1108" t="inlineStr">
        <is>
          <t>SELL</t>
        </is>
      </c>
      <c r="E1108" t="inlineStr">
        <is>
          <t>No</t>
        </is>
      </c>
      <c r="F1108" s="2" t="n">
        <v>0.995</v>
      </c>
      <c r="G1108" s="6" t="n">
        <v>20.38</v>
      </c>
      <c r="H1108" s="6">
        <f>F1108*G1108</f>
        <v/>
      </c>
      <c r="I1108">
        <f>_xlfn.XLOOKUP(A1108,MktTitle,MktCat,"n/a")</f>
        <v/>
      </c>
      <c r="J1108" s="3">
        <f>_xlfn.XLOOKUP(A1108,MktTitle,MktTotVol,0)</f>
        <v/>
      </c>
      <c r="K1108">
        <f>IF(H1108&gt;WhaleThreshold,"WHALE","")</f>
        <v/>
      </c>
    </row>
    <row r="1109">
      <c r="A1109" t="inlineStr">
        <is>
          <t>Will Croatia win the 2026 FIFA World Cup?</t>
        </is>
      </c>
      <c r="B1109" s="4" t="n">
        <v>46206</v>
      </c>
      <c r="C1109" s="5" t="n">
        <v>46206.02846064815</v>
      </c>
      <c r="D1109" t="inlineStr">
        <is>
          <t>SELL</t>
        </is>
      </c>
      <c r="E1109" t="inlineStr">
        <is>
          <t>No</t>
        </is>
      </c>
      <c r="F1109" s="2" t="n">
        <v>0.995</v>
      </c>
      <c r="G1109" s="6" t="n">
        <v>20.39</v>
      </c>
      <c r="H1109" s="6">
        <f>F1109*G1109</f>
        <v/>
      </c>
      <c r="I1109">
        <f>_xlfn.XLOOKUP(A1109,MktTitle,MktCat,"n/a")</f>
        <v/>
      </c>
      <c r="J1109" s="3">
        <f>_xlfn.XLOOKUP(A1109,MktTitle,MktTotVol,0)</f>
        <v/>
      </c>
      <c r="K1109">
        <f>IF(H1109&gt;WhaleThreshold,"WHALE","")</f>
        <v/>
      </c>
    </row>
    <row r="1110">
      <c r="A1110" t="inlineStr">
        <is>
          <t>Will Croatia win the 2026 FIFA World Cup?</t>
        </is>
      </c>
      <c r="B1110" s="4" t="n">
        <v>46206</v>
      </c>
      <c r="C1110" s="5" t="n">
        <v>46206.02841435185</v>
      </c>
      <c r="D1110" t="inlineStr">
        <is>
          <t>BUY</t>
        </is>
      </c>
      <c r="E1110" t="inlineStr">
        <is>
          <t>Yes</t>
        </is>
      </c>
      <c r="F1110" s="2" t="n">
        <v>0.005</v>
      </c>
      <c r="G1110" s="6" t="n">
        <v>200</v>
      </c>
      <c r="H1110" s="6">
        <f>F1110*G1110</f>
        <v/>
      </c>
      <c r="I1110">
        <f>_xlfn.XLOOKUP(A1110,MktTitle,MktCat,"n/a")</f>
        <v/>
      </c>
      <c r="J1110" s="3">
        <f>_xlfn.XLOOKUP(A1110,MktTitle,MktTotVol,0)</f>
        <v/>
      </c>
      <c r="K1110">
        <f>IF(H1110&gt;WhaleThreshold,"WHALE","")</f>
        <v/>
      </c>
    </row>
    <row r="1111">
      <c r="A1111" t="inlineStr">
        <is>
          <t>Will Croatia win the 2026 FIFA World Cup?</t>
        </is>
      </c>
      <c r="B1111" s="4" t="n">
        <v>46206</v>
      </c>
      <c r="C1111" s="5" t="n">
        <v>46206.0283449074</v>
      </c>
      <c r="D1111" t="inlineStr">
        <is>
          <t>BUY</t>
        </is>
      </c>
      <c r="E1111" t="inlineStr">
        <is>
          <t>Yes</t>
        </is>
      </c>
      <c r="F1111" s="2" t="n">
        <v>0.005</v>
      </c>
      <c r="G1111" s="6" t="n">
        <v>1400</v>
      </c>
      <c r="H1111" s="6">
        <f>F1111*G1111</f>
        <v/>
      </c>
      <c r="I1111">
        <f>_xlfn.XLOOKUP(A1111,MktTitle,MktCat,"n/a")</f>
        <v/>
      </c>
      <c r="J1111" s="3">
        <f>_xlfn.XLOOKUP(A1111,MktTitle,MktTotVol,0)</f>
        <v/>
      </c>
      <c r="K1111">
        <f>IF(H1111&gt;WhaleThreshold,"WHALE","")</f>
        <v/>
      </c>
    </row>
    <row r="1112">
      <c r="A1112" t="inlineStr">
        <is>
          <t>Will Croatia win the 2026 FIFA World Cup?</t>
        </is>
      </c>
      <c r="B1112" s="4" t="n">
        <v>46206</v>
      </c>
      <c r="C1112" s="5" t="n">
        <v>46206.02789351852</v>
      </c>
      <c r="D1112" t="inlineStr">
        <is>
          <t>SELL</t>
        </is>
      </c>
      <c r="E1112" t="inlineStr">
        <is>
          <t>Yes</t>
        </is>
      </c>
      <c r="F1112" s="2" t="n">
        <v>0.003</v>
      </c>
      <c r="G1112" s="6" t="n">
        <v>70214.27</v>
      </c>
      <c r="H1112" s="6">
        <f>F1112*G1112</f>
        <v/>
      </c>
      <c r="I1112">
        <f>_xlfn.XLOOKUP(A1112,MktTitle,MktCat,"n/a")</f>
        <v/>
      </c>
      <c r="J1112" s="3">
        <f>_xlfn.XLOOKUP(A1112,MktTitle,MktTotVol,0)</f>
        <v/>
      </c>
      <c r="K1112">
        <f>IF(H1112&gt;WhaleThreshold,"WHALE","")</f>
        <v/>
      </c>
    </row>
    <row r="1113">
      <c r="A1113" t="inlineStr">
        <is>
          <t>Will Croatia win the 2026 FIFA World Cup?</t>
        </is>
      </c>
      <c r="B1113" s="4" t="n">
        <v>46206</v>
      </c>
      <c r="C1113" s="5" t="n">
        <v>46206.0278587963</v>
      </c>
      <c r="D1113" t="inlineStr">
        <is>
          <t>BUY</t>
        </is>
      </c>
      <c r="E1113" t="inlineStr">
        <is>
          <t>No</t>
        </is>
      </c>
      <c r="F1113" s="2" t="n">
        <v>0.993</v>
      </c>
      <c r="G1113" s="6" t="n">
        <v>1000</v>
      </c>
      <c r="H1113" s="6">
        <f>F1113*G1113</f>
        <v/>
      </c>
      <c r="I1113">
        <f>_xlfn.XLOOKUP(A1113,MktTitle,MktCat,"n/a")</f>
        <v/>
      </c>
      <c r="J1113" s="3">
        <f>_xlfn.XLOOKUP(A1113,MktTitle,MktTotVol,0)</f>
        <v/>
      </c>
      <c r="K1113">
        <f>IF(H1113&gt;WhaleThreshold,"WHALE","")</f>
        <v/>
      </c>
    </row>
    <row r="1114">
      <c r="A1114" t="inlineStr">
        <is>
          <t>Will Croatia win the 2026 FIFA World Cup?</t>
        </is>
      </c>
      <c r="B1114" s="4" t="n">
        <v>46206</v>
      </c>
      <c r="C1114" s="5" t="n">
        <v>46206.0278587963</v>
      </c>
      <c r="D1114" t="inlineStr">
        <is>
          <t>BUY</t>
        </is>
      </c>
      <c r="E1114" t="inlineStr">
        <is>
          <t>Yes</t>
        </is>
      </c>
      <c r="F1114" s="2" t="n">
        <v>0.0068</v>
      </c>
      <c r="G1114" s="6" t="n">
        <v>24144.92</v>
      </c>
      <c r="H1114" s="6">
        <f>F1114*G1114</f>
        <v/>
      </c>
      <c r="I1114">
        <f>_xlfn.XLOOKUP(A1114,MktTitle,MktCat,"n/a")</f>
        <v/>
      </c>
      <c r="J1114" s="3">
        <f>_xlfn.XLOOKUP(A1114,MktTitle,MktTotVol,0)</f>
        <v/>
      </c>
      <c r="K1114">
        <f>IF(H1114&gt;WhaleThreshold,"WHALE","")</f>
        <v/>
      </c>
    </row>
    <row r="1115">
      <c r="A1115" t="inlineStr">
        <is>
          <t>Will Croatia win the 2026 FIFA World Cup?</t>
        </is>
      </c>
      <c r="B1115" s="4" t="n">
        <v>46206</v>
      </c>
      <c r="C1115" s="5" t="n">
        <v>46206.02780092593</v>
      </c>
      <c r="D1115" t="inlineStr">
        <is>
          <t>BUY</t>
        </is>
      </c>
      <c r="E1115" t="inlineStr">
        <is>
          <t>Yes</t>
        </is>
      </c>
      <c r="F1115" s="2" t="n">
        <v>0.0053</v>
      </c>
      <c r="G1115" s="6" t="n">
        <v>44696.2583</v>
      </c>
      <c r="H1115" s="6">
        <f>F1115*G1115</f>
        <v/>
      </c>
      <c r="I1115">
        <f>_xlfn.XLOOKUP(A1115,MktTitle,MktCat,"n/a")</f>
        <v/>
      </c>
      <c r="J1115" s="3">
        <f>_xlfn.XLOOKUP(A1115,MktTitle,MktTotVol,0)</f>
        <v/>
      </c>
      <c r="K1115">
        <f>IF(H1115&gt;WhaleThreshold,"WHALE","")</f>
        <v/>
      </c>
    </row>
    <row r="1116">
      <c r="A1116" t="inlineStr">
        <is>
          <t>Will Croatia win the 2026 FIFA World Cup?</t>
        </is>
      </c>
      <c r="B1116" s="4" t="n">
        <v>46206</v>
      </c>
      <c r="C1116" s="5" t="n">
        <v>46206.02646990741</v>
      </c>
      <c r="D1116" t="inlineStr">
        <is>
          <t>SELL</t>
        </is>
      </c>
      <c r="E1116" t="inlineStr">
        <is>
          <t>Yes</t>
        </is>
      </c>
      <c r="F1116" s="2" t="n">
        <v>0.004</v>
      </c>
      <c r="G1116" s="6" t="n">
        <v>562.5</v>
      </c>
      <c r="H1116" s="6">
        <f>F1116*G1116</f>
        <v/>
      </c>
      <c r="I1116">
        <f>_xlfn.XLOOKUP(A1116,MktTitle,MktCat,"n/a")</f>
        <v/>
      </c>
      <c r="J1116" s="3">
        <f>_xlfn.XLOOKUP(A1116,MktTitle,MktTotVol,0)</f>
        <v/>
      </c>
      <c r="K1116">
        <f>IF(H1116&gt;WhaleThreshold,"WHALE","")</f>
        <v/>
      </c>
    </row>
    <row r="1117">
      <c r="A1117" t="inlineStr">
        <is>
          <t>Will Croatia win the 2026 FIFA World Cup?</t>
        </is>
      </c>
      <c r="B1117" s="4" t="n">
        <v>46206</v>
      </c>
      <c r="C1117" s="5" t="n">
        <v>46206.02550925926</v>
      </c>
      <c r="D1117" t="inlineStr">
        <is>
          <t>BUY</t>
        </is>
      </c>
      <c r="E1117" t="inlineStr">
        <is>
          <t>Yes</t>
        </is>
      </c>
      <c r="F1117" s="2" t="n">
        <v>0.005</v>
      </c>
      <c r="G1117" s="6" t="n">
        <v>710</v>
      </c>
      <c r="H1117" s="6">
        <f>F1117*G1117</f>
        <v/>
      </c>
      <c r="I1117">
        <f>_xlfn.XLOOKUP(A1117,MktTitle,MktCat,"n/a")</f>
        <v/>
      </c>
      <c r="J1117" s="3">
        <f>_xlfn.XLOOKUP(A1117,MktTitle,MktTotVol,0)</f>
        <v/>
      </c>
      <c r="K1117">
        <f>IF(H1117&gt;WhaleThreshold,"WHALE","")</f>
        <v/>
      </c>
    </row>
    <row r="1118">
      <c r="A1118" t="inlineStr">
        <is>
          <t>Will Croatia win the 2026 FIFA World Cup?</t>
        </is>
      </c>
      <c r="B1118" s="4" t="n">
        <v>46206</v>
      </c>
      <c r="C1118" s="5" t="n">
        <v>46206.02521990741</v>
      </c>
      <c r="D1118" t="inlineStr">
        <is>
          <t>BUY</t>
        </is>
      </c>
      <c r="E1118" t="inlineStr">
        <is>
          <t>Yes</t>
        </is>
      </c>
      <c r="F1118" s="2" t="n">
        <v>0.004</v>
      </c>
      <c r="G1118" s="6" t="n">
        <v>6543.13</v>
      </c>
      <c r="H1118" s="6">
        <f>F1118*G1118</f>
        <v/>
      </c>
      <c r="I1118">
        <f>_xlfn.XLOOKUP(A1118,MktTitle,MktCat,"n/a")</f>
        <v/>
      </c>
      <c r="J1118" s="3">
        <f>_xlfn.XLOOKUP(A1118,MktTitle,MktTotVol,0)</f>
        <v/>
      </c>
      <c r="K1118">
        <f>IF(H1118&gt;WhaleThreshold,"WHALE","")</f>
        <v/>
      </c>
    </row>
    <row r="1119">
      <c r="A1119" t="inlineStr">
        <is>
          <t>Will Croatia win the 2026 FIFA World Cup?</t>
        </is>
      </c>
      <c r="B1119" s="4" t="n">
        <v>46206</v>
      </c>
      <c r="C1119" s="5" t="n">
        <v>46206.02519675926</v>
      </c>
      <c r="D1119" t="inlineStr">
        <is>
          <t>BUY</t>
        </is>
      </c>
      <c r="E1119" t="inlineStr">
        <is>
          <t>Yes</t>
        </is>
      </c>
      <c r="F1119" s="2" t="n">
        <v>0.004</v>
      </c>
      <c r="G1119" s="6" t="n">
        <v>20370</v>
      </c>
      <c r="H1119" s="6">
        <f>F1119*G1119</f>
        <v/>
      </c>
      <c r="I1119">
        <f>_xlfn.XLOOKUP(A1119,MktTitle,MktCat,"n/a")</f>
        <v/>
      </c>
      <c r="J1119" s="3">
        <f>_xlfn.XLOOKUP(A1119,MktTitle,MktTotVol,0)</f>
        <v/>
      </c>
      <c r="K1119">
        <f>IF(H1119&gt;WhaleThreshold,"WHALE","")</f>
        <v/>
      </c>
    </row>
    <row r="1120">
      <c r="A1120" t="inlineStr">
        <is>
          <t>Will Croatia win the 2026 FIFA World Cup?</t>
        </is>
      </c>
      <c r="B1120" s="4" t="n">
        <v>46206</v>
      </c>
      <c r="C1120" s="5" t="n">
        <v>46206.02519675926</v>
      </c>
      <c r="D1120" t="inlineStr">
        <is>
          <t>BUY</t>
        </is>
      </c>
      <c r="E1120" t="inlineStr">
        <is>
          <t>Yes</t>
        </is>
      </c>
      <c r="F1120" s="2" t="n">
        <v>0.004</v>
      </c>
      <c r="G1120" s="6" t="n">
        <v>1000</v>
      </c>
      <c r="H1120" s="6">
        <f>F1120*G1120</f>
        <v/>
      </c>
      <c r="I1120">
        <f>_xlfn.XLOOKUP(A1120,MktTitle,MktCat,"n/a")</f>
        <v/>
      </c>
      <c r="J1120" s="3">
        <f>_xlfn.XLOOKUP(A1120,MktTitle,MktTotVol,0)</f>
        <v/>
      </c>
      <c r="K1120">
        <f>IF(H1120&gt;WhaleThreshold,"WHALE","")</f>
        <v/>
      </c>
    </row>
    <row r="1121">
      <c r="A1121" t="inlineStr">
        <is>
          <t>Will Croatia win the 2026 FIFA World Cup?</t>
        </is>
      </c>
      <c r="B1121" s="4" t="n">
        <v>46206</v>
      </c>
      <c r="C1121" s="5" t="n">
        <v>46206.02484953704</v>
      </c>
      <c r="D1121" t="inlineStr">
        <is>
          <t>BUY</t>
        </is>
      </c>
      <c r="E1121" t="inlineStr">
        <is>
          <t>No</t>
        </is>
      </c>
      <c r="F1121" s="2" t="n">
        <v>0.997</v>
      </c>
      <c r="G1121" s="6" t="n">
        <v>35.105</v>
      </c>
      <c r="H1121" s="6">
        <f>F1121*G1121</f>
        <v/>
      </c>
      <c r="I1121">
        <f>_xlfn.XLOOKUP(A1121,MktTitle,MktCat,"n/a")</f>
        <v/>
      </c>
      <c r="J1121" s="3">
        <f>_xlfn.XLOOKUP(A1121,MktTitle,MktTotVol,0)</f>
        <v/>
      </c>
      <c r="K1121">
        <f>IF(H1121&gt;WhaleThreshold,"WHALE","")</f>
        <v/>
      </c>
    </row>
    <row r="1122">
      <c r="A1122" t="inlineStr">
        <is>
          <t>Will Croatia win the 2026 FIFA World Cup?</t>
        </is>
      </c>
      <c r="B1122" s="4" t="n">
        <v>46206</v>
      </c>
      <c r="C1122" s="5" t="n">
        <v>46206.02478009259</v>
      </c>
      <c r="D1122" t="inlineStr">
        <is>
          <t>BUY</t>
        </is>
      </c>
      <c r="E1122" t="inlineStr">
        <is>
          <t>Yes</t>
        </is>
      </c>
      <c r="F1122" s="2" t="n">
        <v>0.004</v>
      </c>
      <c r="G1122" s="6" t="n">
        <v>250</v>
      </c>
      <c r="H1122" s="6">
        <f>F1122*G1122</f>
        <v/>
      </c>
      <c r="I1122">
        <f>_xlfn.XLOOKUP(A1122,MktTitle,MktCat,"n/a")</f>
        <v/>
      </c>
      <c r="J1122" s="3">
        <f>_xlfn.XLOOKUP(A1122,MktTitle,MktTotVol,0)</f>
        <v/>
      </c>
      <c r="K1122">
        <f>IF(H1122&gt;WhaleThreshold,"WHALE","")</f>
        <v/>
      </c>
    </row>
    <row r="1123">
      <c r="A1123" t="inlineStr">
        <is>
          <t>Will Croatia win the 2026 FIFA World Cup?</t>
        </is>
      </c>
      <c r="B1123" s="4" t="n">
        <v>46206</v>
      </c>
      <c r="C1123" s="5" t="n">
        <v>46206.02445601852</v>
      </c>
      <c r="D1123" t="inlineStr">
        <is>
          <t>BUY</t>
        </is>
      </c>
      <c r="E1123" t="inlineStr">
        <is>
          <t>Yes</t>
        </is>
      </c>
      <c r="F1123" s="2" t="n">
        <v>0.004</v>
      </c>
      <c r="G1123" s="6" t="n">
        <v>2500</v>
      </c>
      <c r="H1123" s="6">
        <f>F1123*G1123</f>
        <v/>
      </c>
      <c r="I1123">
        <f>_xlfn.XLOOKUP(A1123,MktTitle,MktCat,"n/a")</f>
        <v/>
      </c>
      <c r="J1123" s="3">
        <f>_xlfn.XLOOKUP(A1123,MktTitle,MktTotVol,0)</f>
        <v/>
      </c>
      <c r="K1123">
        <f>IF(H1123&gt;WhaleThreshold,"WHALE","")</f>
        <v/>
      </c>
    </row>
    <row r="1124">
      <c r="A1124" t="inlineStr">
        <is>
          <t>Will Croatia win the 2026 FIFA World Cup?</t>
        </is>
      </c>
      <c r="B1124" s="4" t="n">
        <v>46206</v>
      </c>
      <c r="C1124" s="5" t="n">
        <v>46206.02417824074</v>
      </c>
      <c r="D1124" t="inlineStr">
        <is>
          <t>SELL</t>
        </is>
      </c>
      <c r="E1124" t="inlineStr">
        <is>
          <t>Yes</t>
        </is>
      </c>
      <c r="F1124" s="2" t="n">
        <v>0.003</v>
      </c>
      <c r="G1124" s="6" t="n">
        <v>2500</v>
      </c>
      <c r="H1124" s="6">
        <f>F1124*G1124</f>
        <v/>
      </c>
      <c r="I1124">
        <f>_xlfn.XLOOKUP(A1124,MktTitle,MktCat,"n/a")</f>
        <v/>
      </c>
      <c r="J1124" s="3">
        <f>_xlfn.XLOOKUP(A1124,MktTitle,MktTotVol,0)</f>
        <v/>
      </c>
      <c r="K1124">
        <f>IF(H1124&gt;WhaleThreshold,"WHALE","")</f>
        <v/>
      </c>
    </row>
    <row r="1125">
      <c r="A1125" t="inlineStr">
        <is>
          <t>Will Croatia win the 2026 FIFA World Cup?</t>
        </is>
      </c>
      <c r="B1125" s="4" t="n">
        <v>46206</v>
      </c>
      <c r="C1125" s="5" t="n">
        <v>46206.02366898148</v>
      </c>
      <c r="D1125" t="inlineStr">
        <is>
          <t>BUY</t>
        </is>
      </c>
      <c r="E1125" t="inlineStr">
        <is>
          <t>Yes</t>
        </is>
      </c>
      <c r="F1125" s="2" t="n">
        <v>0.004</v>
      </c>
      <c r="G1125" s="6" t="n">
        <v>1662.5</v>
      </c>
      <c r="H1125" s="6">
        <f>F1125*G1125</f>
        <v/>
      </c>
      <c r="I1125">
        <f>_xlfn.XLOOKUP(A1125,MktTitle,MktCat,"n/a")</f>
        <v/>
      </c>
      <c r="J1125" s="3">
        <f>_xlfn.XLOOKUP(A1125,MktTitle,MktTotVol,0)</f>
        <v/>
      </c>
      <c r="K1125">
        <f>IF(H1125&gt;WhaleThreshold,"WHALE","")</f>
        <v/>
      </c>
    </row>
    <row r="1126">
      <c r="A1126" t="inlineStr">
        <is>
          <t>Will Croatia win the 2026 FIFA World Cup?</t>
        </is>
      </c>
      <c r="B1126" s="4" t="n">
        <v>46206</v>
      </c>
      <c r="C1126" s="5" t="n">
        <v>46206.02313657408</v>
      </c>
      <c r="D1126" t="inlineStr">
        <is>
          <t>SELL</t>
        </is>
      </c>
      <c r="E1126" t="inlineStr">
        <is>
          <t>Yes</t>
        </is>
      </c>
      <c r="F1126" s="2" t="n">
        <v>0.003</v>
      </c>
      <c r="G1126" s="6" t="n">
        <v>49880.49</v>
      </c>
      <c r="H1126" s="6">
        <f>F1126*G1126</f>
        <v/>
      </c>
      <c r="I1126">
        <f>_xlfn.XLOOKUP(A1126,MktTitle,MktCat,"n/a")</f>
        <v/>
      </c>
      <c r="J1126" s="3">
        <f>_xlfn.XLOOKUP(A1126,MktTitle,MktTotVol,0)</f>
        <v/>
      </c>
      <c r="K1126">
        <f>IF(H1126&gt;WhaleThreshold,"WHALE","")</f>
        <v/>
      </c>
    </row>
    <row r="1127">
      <c r="A1127" t="inlineStr">
        <is>
          <t>Will Croatia win the 2026 FIFA World Cup?</t>
        </is>
      </c>
      <c r="B1127" s="4" t="n">
        <v>46206</v>
      </c>
      <c r="C1127" s="5" t="n">
        <v>46206.02238425926</v>
      </c>
      <c r="D1127" t="inlineStr">
        <is>
          <t>BUY</t>
        </is>
      </c>
      <c r="E1127" t="inlineStr">
        <is>
          <t>Yes</t>
        </is>
      </c>
      <c r="F1127" s="2" t="n">
        <v>0.003</v>
      </c>
      <c r="G1127" s="6" t="n">
        <v>1733.9</v>
      </c>
      <c r="H1127" s="6">
        <f>F1127*G1127</f>
        <v/>
      </c>
      <c r="I1127">
        <f>_xlfn.XLOOKUP(A1127,MktTitle,MktCat,"n/a")</f>
        <v/>
      </c>
      <c r="J1127" s="3">
        <f>_xlfn.XLOOKUP(A1127,MktTitle,MktTotVol,0)</f>
        <v/>
      </c>
      <c r="K1127">
        <f>IF(H1127&gt;WhaleThreshold,"WHALE","")</f>
        <v/>
      </c>
    </row>
    <row r="1128">
      <c r="A1128" t="inlineStr">
        <is>
          <t>Will Croatia win the 2026 FIFA World Cup?</t>
        </is>
      </c>
      <c r="B1128" s="4" t="n">
        <v>46206</v>
      </c>
      <c r="C1128" s="5" t="n">
        <v>46206.02216435185</v>
      </c>
      <c r="D1128" t="inlineStr">
        <is>
          <t>SELL</t>
        </is>
      </c>
      <c r="E1128" t="inlineStr">
        <is>
          <t>Yes</t>
        </is>
      </c>
      <c r="F1128" s="2" t="n">
        <v>0.0021</v>
      </c>
      <c r="G1128" s="6" t="n">
        <v>27500</v>
      </c>
      <c r="H1128" s="6">
        <f>F1128*G1128</f>
        <v/>
      </c>
      <c r="I1128">
        <f>_xlfn.XLOOKUP(A1128,MktTitle,MktCat,"n/a")</f>
        <v/>
      </c>
      <c r="J1128" s="3">
        <f>_xlfn.XLOOKUP(A1128,MktTitle,MktTotVol,0)</f>
        <v/>
      </c>
      <c r="K1128">
        <f>IF(H1128&gt;WhaleThreshold,"WHALE","")</f>
        <v/>
      </c>
    </row>
    <row r="1129">
      <c r="A1129" t="inlineStr">
        <is>
          <t>Will Croatia win the 2026 FIFA World Cup?</t>
        </is>
      </c>
      <c r="B1129" s="4" t="n">
        <v>46206</v>
      </c>
      <c r="C1129" s="5" t="n">
        <v>46206.02186342593</v>
      </c>
      <c r="D1129" t="inlineStr">
        <is>
          <t>SELL</t>
        </is>
      </c>
      <c r="E1129" t="inlineStr">
        <is>
          <t>No</t>
        </is>
      </c>
      <c r="F1129" s="2" t="n">
        <v>0.996</v>
      </c>
      <c r="G1129" s="6" t="n">
        <v>24.07</v>
      </c>
      <c r="H1129" s="6">
        <f>F1129*G1129</f>
        <v/>
      </c>
      <c r="I1129">
        <f>_xlfn.XLOOKUP(A1129,MktTitle,MktCat,"n/a")</f>
        <v/>
      </c>
      <c r="J1129" s="3">
        <f>_xlfn.XLOOKUP(A1129,MktTitle,MktTotVol,0)</f>
        <v/>
      </c>
      <c r="K1129">
        <f>IF(H1129&gt;WhaleThreshold,"WHALE","")</f>
        <v/>
      </c>
    </row>
    <row r="1130">
      <c r="A1130" t="inlineStr">
        <is>
          <t>Will Croatia win the 2026 FIFA World Cup?</t>
        </is>
      </c>
      <c r="B1130" s="4" t="n">
        <v>46206</v>
      </c>
      <c r="C1130" s="5" t="n">
        <v>46206.02185185185</v>
      </c>
      <c r="D1130" t="inlineStr">
        <is>
          <t>SELL</t>
        </is>
      </c>
      <c r="E1130" t="inlineStr">
        <is>
          <t>No</t>
        </is>
      </c>
      <c r="F1130" s="2" t="n">
        <v>0.996</v>
      </c>
      <c r="G1130" s="6" t="n">
        <v>55</v>
      </c>
      <c r="H1130" s="6">
        <f>F1130*G1130</f>
        <v/>
      </c>
      <c r="I1130">
        <f>_xlfn.XLOOKUP(A1130,MktTitle,MktCat,"n/a")</f>
        <v/>
      </c>
      <c r="J1130" s="3">
        <f>_xlfn.XLOOKUP(A1130,MktTitle,MktTotVol,0)</f>
        <v/>
      </c>
      <c r="K1130">
        <f>IF(H1130&gt;WhaleThreshold,"WHALE","")</f>
        <v/>
      </c>
    </row>
    <row r="1131">
      <c r="A1131" t="inlineStr">
        <is>
          <t>Will Croatia win the 2026 FIFA World Cup?</t>
        </is>
      </c>
      <c r="B1131" s="4" t="n">
        <v>46206</v>
      </c>
      <c r="C1131" s="5" t="n">
        <v>46206.02178240741</v>
      </c>
      <c r="D1131" t="inlineStr">
        <is>
          <t>BUY</t>
        </is>
      </c>
      <c r="E1131" t="inlineStr">
        <is>
          <t>Yes</t>
        </is>
      </c>
      <c r="F1131" s="2" t="n">
        <v>0.0034</v>
      </c>
      <c r="G1131" s="6" t="n">
        <v>2278.745</v>
      </c>
      <c r="H1131" s="6">
        <f>F1131*G1131</f>
        <v/>
      </c>
      <c r="I1131">
        <f>_xlfn.XLOOKUP(A1131,MktTitle,MktCat,"n/a")</f>
        <v/>
      </c>
      <c r="J1131" s="3">
        <f>_xlfn.XLOOKUP(A1131,MktTitle,MktTotVol,0)</f>
        <v/>
      </c>
      <c r="K1131">
        <f>IF(H1131&gt;WhaleThreshold,"WHALE","")</f>
        <v/>
      </c>
    </row>
    <row r="1132">
      <c r="A1132" t="inlineStr">
        <is>
          <t>Will Croatia win the 2026 FIFA World Cup?</t>
        </is>
      </c>
      <c r="B1132" s="4" t="n">
        <v>46206</v>
      </c>
      <c r="C1132" s="5" t="n">
        <v>46206.02137731481</v>
      </c>
      <c r="D1132" t="inlineStr">
        <is>
          <t>SELL</t>
        </is>
      </c>
      <c r="E1132" t="inlineStr">
        <is>
          <t>Yes</t>
        </is>
      </c>
      <c r="F1132" s="2" t="n">
        <v>0.003</v>
      </c>
      <c r="G1132" s="6" t="n">
        <v>3362.46</v>
      </c>
      <c r="H1132" s="6">
        <f>F1132*G1132</f>
        <v/>
      </c>
      <c r="I1132">
        <f>_xlfn.XLOOKUP(A1132,MktTitle,MktCat,"n/a")</f>
        <v/>
      </c>
      <c r="J1132" s="3">
        <f>_xlfn.XLOOKUP(A1132,MktTitle,MktTotVol,0)</f>
        <v/>
      </c>
      <c r="K1132">
        <f>IF(H1132&gt;WhaleThreshold,"WHALE","")</f>
        <v/>
      </c>
    </row>
    <row r="1133">
      <c r="A1133" t="inlineStr">
        <is>
          <t>Will Croatia win the 2026 FIFA World Cup?</t>
        </is>
      </c>
      <c r="B1133" s="4" t="n">
        <v>46206</v>
      </c>
      <c r="C1133" s="5" t="n">
        <v>46206.0212962963</v>
      </c>
      <c r="D1133" t="inlineStr">
        <is>
          <t>SELL</t>
        </is>
      </c>
      <c r="E1133" t="inlineStr">
        <is>
          <t>No</t>
        </is>
      </c>
      <c r="F1133" s="2" t="n">
        <v>0.996</v>
      </c>
      <c r="G1133" s="6" t="n">
        <v>39.36</v>
      </c>
      <c r="H1133" s="6">
        <f>F1133*G1133</f>
        <v/>
      </c>
      <c r="I1133">
        <f>_xlfn.XLOOKUP(A1133,MktTitle,MktCat,"n/a")</f>
        <v/>
      </c>
      <c r="J1133" s="3">
        <f>_xlfn.XLOOKUP(A1133,MktTitle,MktTotVol,0)</f>
        <v/>
      </c>
      <c r="K1133">
        <f>IF(H1133&gt;WhaleThreshold,"WHALE","")</f>
        <v/>
      </c>
    </row>
    <row r="1134">
      <c r="A1134" t="inlineStr">
        <is>
          <t>Will Croatia win the 2026 FIFA World Cup?</t>
        </is>
      </c>
      <c r="B1134" s="4" t="n">
        <v>46206</v>
      </c>
      <c r="C1134" s="5" t="n">
        <v>46206.0212962963</v>
      </c>
      <c r="D1134" t="inlineStr">
        <is>
          <t>SELL</t>
        </is>
      </c>
      <c r="E1134" t="inlineStr">
        <is>
          <t>No</t>
        </is>
      </c>
      <c r="F1134" s="2" t="n">
        <v>0.996</v>
      </c>
      <c r="G1134" s="6" t="n">
        <v>57.06</v>
      </c>
      <c r="H1134" s="6">
        <f>F1134*G1134</f>
        <v/>
      </c>
      <c r="I1134">
        <f>_xlfn.XLOOKUP(A1134,MktTitle,MktCat,"n/a")</f>
        <v/>
      </c>
      <c r="J1134" s="3">
        <f>_xlfn.XLOOKUP(A1134,MktTitle,MktTotVol,0)</f>
        <v/>
      </c>
      <c r="K1134">
        <f>IF(H1134&gt;WhaleThreshold,"WHALE","")</f>
        <v/>
      </c>
    </row>
    <row r="1135">
      <c r="A1135" t="inlineStr">
        <is>
          <t>Will Croatia win the 2026 FIFA World Cup?</t>
        </is>
      </c>
      <c r="B1135" s="4" t="n">
        <v>46206</v>
      </c>
      <c r="C1135" s="5" t="n">
        <v>46206.0212962963</v>
      </c>
      <c r="D1135" t="inlineStr">
        <is>
          <t>SELL</t>
        </is>
      </c>
      <c r="E1135" t="inlineStr">
        <is>
          <t>No</t>
        </is>
      </c>
      <c r="F1135" s="2" t="n">
        <v>0.996</v>
      </c>
      <c r="G1135" s="6" t="n">
        <v>39.98</v>
      </c>
      <c r="H1135" s="6">
        <f>F1135*G1135</f>
        <v/>
      </c>
      <c r="I1135">
        <f>_xlfn.XLOOKUP(A1135,MktTitle,MktCat,"n/a")</f>
        <v/>
      </c>
      <c r="J1135" s="3">
        <f>_xlfn.XLOOKUP(A1135,MktTitle,MktTotVol,0)</f>
        <v/>
      </c>
      <c r="K1135">
        <f>IF(H1135&gt;WhaleThreshold,"WHALE","")</f>
        <v/>
      </c>
    </row>
    <row r="1136">
      <c r="A1136" t="inlineStr">
        <is>
          <t>Will Croatia win the 2026 FIFA World Cup?</t>
        </is>
      </c>
      <c r="B1136" s="4" t="n">
        <v>46206</v>
      </c>
      <c r="C1136" s="5" t="n">
        <v>46206.0212962963</v>
      </c>
      <c r="D1136" t="inlineStr">
        <is>
          <t>SELL</t>
        </is>
      </c>
      <c r="E1136" t="inlineStr">
        <is>
          <t>No</t>
        </is>
      </c>
      <c r="F1136" s="2" t="n">
        <v>0.996</v>
      </c>
      <c r="G1136" s="6" t="n">
        <v>47.75</v>
      </c>
      <c r="H1136" s="6">
        <f>F1136*G1136</f>
        <v/>
      </c>
      <c r="I1136">
        <f>_xlfn.XLOOKUP(A1136,MktTitle,MktCat,"n/a")</f>
        <v/>
      </c>
      <c r="J1136" s="3">
        <f>_xlfn.XLOOKUP(A1136,MktTitle,MktTotVol,0)</f>
        <v/>
      </c>
      <c r="K1136">
        <f>IF(H1136&gt;WhaleThreshold,"WHALE","")</f>
        <v/>
      </c>
    </row>
    <row r="1137">
      <c r="A1137" t="inlineStr">
        <is>
          <t>Will Croatia win the 2026 FIFA World Cup?</t>
        </is>
      </c>
      <c r="B1137" s="4" t="n">
        <v>46206</v>
      </c>
      <c r="C1137" s="5" t="n">
        <v>46206.0212962963</v>
      </c>
      <c r="D1137" t="inlineStr">
        <is>
          <t>SELL</t>
        </is>
      </c>
      <c r="E1137" t="inlineStr">
        <is>
          <t>Yes</t>
        </is>
      </c>
      <c r="F1137" s="2" t="n">
        <v>0.003</v>
      </c>
      <c r="G1137" s="6" t="n">
        <v>1000</v>
      </c>
      <c r="H1137" s="6">
        <f>F1137*G1137</f>
        <v/>
      </c>
      <c r="I1137">
        <f>_xlfn.XLOOKUP(A1137,MktTitle,MktCat,"n/a")</f>
        <v/>
      </c>
      <c r="J1137" s="3">
        <f>_xlfn.XLOOKUP(A1137,MktTitle,MktTotVol,0)</f>
        <v/>
      </c>
      <c r="K1137">
        <f>IF(H1137&gt;WhaleThreshold,"WHALE","")</f>
        <v/>
      </c>
    </row>
    <row r="1138">
      <c r="A1138" t="inlineStr">
        <is>
          <t>Will Croatia win the 2026 FIFA World Cup?</t>
        </is>
      </c>
      <c r="B1138" s="4" t="n">
        <v>46206</v>
      </c>
      <c r="C1138" s="5" t="n">
        <v>46206.0212962963</v>
      </c>
      <c r="D1138" t="inlineStr">
        <is>
          <t>SELL</t>
        </is>
      </c>
      <c r="E1138" t="inlineStr">
        <is>
          <t>No</t>
        </is>
      </c>
      <c r="F1138" s="2" t="n">
        <v>0.996</v>
      </c>
      <c r="G1138" s="6" t="n">
        <v>49.53</v>
      </c>
      <c r="H1138" s="6">
        <f>F1138*G1138</f>
        <v/>
      </c>
      <c r="I1138">
        <f>_xlfn.XLOOKUP(A1138,MktTitle,MktCat,"n/a")</f>
        <v/>
      </c>
      <c r="J1138" s="3">
        <f>_xlfn.XLOOKUP(A1138,MktTitle,MktTotVol,0)</f>
        <v/>
      </c>
      <c r="K1138">
        <f>IF(H1138&gt;WhaleThreshold,"WHALE","")</f>
        <v/>
      </c>
    </row>
    <row r="1139">
      <c r="A1139" t="inlineStr">
        <is>
          <t>Will Croatia win the 2026 FIFA World Cup?</t>
        </is>
      </c>
      <c r="B1139" s="4" t="n">
        <v>46206</v>
      </c>
      <c r="C1139" s="5" t="n">
        <v>46206.0212962963</v>
      </c>
      <c r="D1139" t="inlineStr">
        <is>
          <t>SELL</t>
        </is>
      </c>
      <c r="E1139" t="inlineStr">
        <is>
          <t>No</t>
        </is>
      </c>
      <c r="F1139" s="2" t="n">
        <v>0.996</v>
      </c>
      <c r="G1139" s="6" t="n">
        <v>39.12</v>
      </c>
      <c r="H1139" s="6">
        <f>F1139*G1139</f>
        <v/>
      </c>
      <c r="I1139">
        <f>_xlfn.XLOOKUP(A1139,MktTitle,MktCat,"n/a")</f>
        <v/>
      </c>
      <c r="J1139" s="3">
        <f>_xlfn.XLOOKUP(A1139,MktTitle,MktTotVol,0)</f>
        <v/>
      </c>
      <c r="K1139">
        <f>IF(H1139&gt;WhaleThreshold,"WHALE","")</f>
        <v/>
      </c>
    </row>
    <row r="1140">
      <c r="A1140" t="inlineStr">
        <is>
          <t>Will Croatia win the 2026 FIFA World Cup?</t>
        </is>
      </c>
      <c r="B1140" s="4" t="n">
        <v>46206</v>
      </c>
      <c r="C1140" s="5" t="n">
        <v>46206.0212962963</v>
      </c>
      <c r="D1140" t="inlineStr">
        <is>
          <t>SELL</t>
        </is>
      </c>
      <c r="E1140" t="inlineStr">
        <is>
          <t>No</t>
        </is>
      </c>
      <c r="F1140" s="2" t="n">
        <v>0.996</v>
      </c>
      <c r="G1140" s="6" t="n">
        <v>38.91</v>
      </c>
      <c r="H1140" s="6">
        <f>F1140*G1140</f>
        <v/>
      </c>
      <c r="I1140">
        <f>_xlfn.XLOOKUP(A1140,MktTitle,MktCat,"n/a")</f>
        <v/>
      </c>
      <c r="J1140" s="3">
        <f>_xlfn.XLOOKUP(A1140,MktTitle,MktTotVol,0)</f>
        <v/>
      </c>
      <c r="K1140">
        <f>IF(H1140&gt;WhaleThreshold,"WHALE","")</f>
        <v/>
      </c>
    </row>
    <row r="1141">
      <c r="A1141" t="inlineStr">
        <is>
          <t>Will Croatia win the 2026 FIFA World Cup?</t>
        </is>
      </c>
      <c r="B1141" s="4" t="n">
        <v>46206</v>
      </c>
      <c r="C1141" s="5" t="n">
        <v>46206.0212962963</v>
      </c>
      <c r="D1141" t="inlineStr">
        <is>
          <t>SELL</t>
        </is>
      </c>
      <c r="E1141" t="inlineStr">
        <is>
          <t>No</t>
        </is>
      </c>
      <c r="F1141" s="2" t="n">
        <v>0.996</v>
      </c>
      <c r="G1141" s="6" t="n">
        <v>39.96</v>
      </c>
      <c r="H1141" s="6">
        <f>F1141*G1141</f>
        <v/>
      </c>
      <c r="I1141">
        <f>_xlfn.XLOOKUP(A1141,MktTitle,MktCat,"n/a")</f>
        <v/>
      </c>
      <c r="J1141" s="3">
        <f>_xlfn.XLOOKUP(A1141,MktTitle,MktTotVol,0)</f>
        <v/>
      </c>
      <c r="K1141">
        <f>IF(H1141&gt;WhaleThreshold,"WHALE","")</f>
        <v/>
      </c>
    </row>
    <row r="1142">
      <c r="A1142" t="inlineStr">
        <is>
          <t>Will Croatia win the 2026 FIFA World Cup?</t>
        </is>
      </c>
      <c r="B1142" s="4" t="n">
        <v>46206</v>
      </c>
      <c r="C1142" s="5" t="n">
        <v>46206.0212962963</v>
      </c>
      <c r="D1142" t="inlineStr">
        <is>
          <t>SELL</t>
        </is>
      </c>
      <c r="E1142" t="inlineStr">
        <is>
          <t>No</t>
        </is>
      </c>
      <c r="F1142" s="2" t="n">
        <v>0.996</v>
      </c>
      <c r="G1142" s="6" t="n">
        <v>40.91</v>
      </c>
      <c r="H1142" s="6">
        <f>F1142*G1142</f>
        <v/>
      </c>
      <c r="I1142">
        <f>_xlfn.XLOOKUP(A1142,MktTitle,MktCat,"n/a")</f>
        <v/>
      </c>
      <c r="J1142" s="3">
        <f>_xlfn.XLOOKUP(A1142,MktTitle,MktTotVol,0)</f>
        <v/>
      </c>
      <c r="K1142">
        <f>IF(H1142&gt;WhaleThreshold,"WHALE","")</f>
        <v/>
      </c>
    </row>
    <row r="1143">
      <c r="A1143" t="inlineStr">
        <is>
          <t>Will Croatia win the 2026 FIFA World Cup?</t>
        </is>
      </c>
      <c r="B1143" s="4" t="n">
        <v>46206</v>
      </c>
      <c r="C1143" s="5" t="n">
        <v>46206.0212962963</v>
      </c>
      <c r="D1143" t="inlineStr">
        <is>
          <t>SELL</t>
        </is>
      </c>
      <c r="E1143" t="inlineStr">
        <is>
          <t>No</t>
        </is>
      </c>
      <c r="F1143" s="2" t="n">
        <v>0.996</v>
      </c>
      <c r="G1143" s="6" t="n">
        <v>26.07</v>
      </c>
      <c r="H1143" s="6">
        <f>F1143*G1143</f>
        <v/>
      </c>
      <c r="I1143">
        <f>_xlfn.XLOOKUP(A1143,MktTitle,MktCat,"n/a")</f>
        <v/>
      </c>
      <c r="J1143" s="3">
        <f>_xlfn.XLOOKUP(A1143,MktTitle,MktTotVol,0)</f>
        <v/>
      </c>
      <c r="K1143">
        <f>IF(H1143&gt;WhaleThreshold,"WHALE","")</f>
        <v/>
      </c>
    </row>
    <row r="1144">
      <c r="A1144" t="inlineStr">
        <is>
          <t>Will Croatia win the 2026 FIFA World Cup?</t>
        </is>
      </c>
      <c r="B1144" s="4" t="n">
        <v>46206</v>
      </c>
      <c r="C1144" s="5" t="n">
        <v>46206.0212962963</v>
      </c>
      <c r="D1144" t="inlineStr">
        <is>
          <t>SELL</t>
        </is>
      </c>
      <c r="E1144" t="inlineStr">
        <is>
          <t>No</t>
        </is>
      </c>
      <c r="F1144" s="2" t="n">
        <v>0.996</v>
      </c>
      <c r="G1144" s="6" t="n">
        <v>75.89</v>
      </c>
      <c r="H1144" s="6">
        <f>F1144*G1144</f>
        <v/>
      </c>
      <c r="I1144">
        <f>_xlfn.XLOOKUP(A1144,MktTitle,MktCat,"n/a")</f>
        <v/>
      </c>
      <c r="J1144" s="3">
        <f>_xlfn.XLOOKUP(A1144,MktTitle,MktTotVol,0)</f>
        <v/>
      </c>
      <c r="K1144">
        <f>IF(H1144&gt;WhaleThreshold,"WHALE","")</f>
        <v/>
      </c>
    </row>
    <row r="1145">
      <c r="A1145" t="inlineStr">
        <is>
          <t>Will Croatia win the 2026 FIFA World Cup?</t>
        </is>
      </c>
      <c r="B1145" s="4" t="n">
        <v>46206</v>
      </c>
      <c r="C1145" s="5" t="n">
        <v>46206.02127314815</v>
      </c>
      <c r="D1145" t="inlineStr">
        <is>
          <t>SELL</t>
        </is>
      </c>
      <c r="E1145" t="inlineStr">
        <is>
          <t>No</t>
        </is>
      </c>
      <c r="F1145" s="2" t="n">
        <v>0.996</v>
      </c>
      <c r="G1145" s="6" t="n">
        <v>37.51</v>
      </c>
      <c r="H1145" s="6">
        <f>F1145*G1145</f>
        <v/>
      </c>
      <c r="I1145">
        <f>_xlfn.XLOOKUP(A1145,MktTitle,MktCat,"n/a")</f>
        <v/>
      </c>
      <c r="J1145" s="3">
        <f>_xlfn.XLOOKUP(A1145,MktTitle,MktTotVol,0)</f>
        <v/>
      </c>
      <c r="K1145">
        <f>IF(H1145&gt;WhaleThreshold,"WHALE","")</f>
        <v/>
      </c>
    </row>
    <row r="1146">
      <c r="A1146" t="inlineStr">
        <is>
          <t>Will Croatia win the 2026 FIFA World Cup?</t>
        </is>
      </c>
      <c r="B1146" s="4" t="n">
        <v>46206</v>
      </c>
      <c r="C1146" s="5" t="n">
        <v>46206.02127314815</v>
      </c>
      <c r="D1146" t="inlineStr">
        <is>
          <t>SELL</t>
        </is>
      </c>
      <c r="E1146" t="inlineStr">
        <is>
          <t>No</t>
        </is>
      </c>
      <c r="F1146" s="2" t="n">
        <v>0.996</v>
      </c>
      <c r="G1146" s="6" t="n">
        <v>40.92</v>
      </c>
      <c r="H1146" s="6">
        <f>F1146*G1146</f>
        <v/>
      </c>
      <c r="I1146">
        <f>_xlfn.XLOOKUP(A1146,MktTitle,MktCat,"n/a")</f>
        <v/>
      </c>
      <c r="J1146" s="3">
        <f>_xlfn.XLOOKUP(A1146,MktTitle,MktTotVol,0)</f>
        <v/>
      </c>
      <c r="K1146">
        <f>IF(H1146&gt;WhaleThreshold,"WHALE","")</f>
        <v/>
      </c>
    </row>
    <row r="1147">
      <c r="A1147" t="inlineStr">
        <is>
          <t>Will Croatia win the 2026 FIFA World Cup?</t>
        </is>
      </c>
      <c r="B1147" s="4" t="n">
        <v>46206</v>
      </c>
      <c r="C1147" s="5" t="n">
        <v>46206.02127314815</v>
      </c>
      <c r="D1147" t="inlineStr">
        <is>
          <t>SELL</t>
        </is>
      </c>
      <c r="E1147" t="inlineStr">
        <is>
          <t>No</t>
        </is>
      </c>
      <c r="F1147" s="2" t="n">
        <v>0.996</v>
      </c>
      <c r="G1147" s="6" t="n">
        <v>38.22</v>
      </c>
      <c r="H1147" s="6">
        <f>F1147*G1147</f>
        <v/>
      </c>
      <c r="I1147">
        <f>_xlfn.XLOOKUP(A1147,MktTitle,MktCat,"n/a")</f>
        <v/>
      </c>
      <c r="J1147" s="3">
        <f>_xlfn.XLOOKUP(A1147,MktTitle,MktTotVol,0)</f>
        <v/>
      </c>
      <c r="K1147">
        <f>IF(H1147&gt;WhaleThreshold,"WHALE","")</f>
        <v/>
      </c>
    </row>
    <row r="1148">
      <c r="A1148" t="inlineStr">
        <is>
          <t>Will Croatia win the 2026 FIFA World Cup?</t>
        </is>
      </c>
      <c r="B1148" s="4" t="n">
        <v>46206</v>
      </c>
      <c r="C1148" s="5" t="n">
        <v>46206.02126157407</v>
      </c>
      <c r="D1148" t="inlineStr">
        <is>
          <t>BUY</t>
        </is>
      </c>
      <c r="E1148" t="inlineStr">
        <is>
          <t>Yes</t>
        </is>
      </c>
      <c r="F1148" s="2" t="n">
        <v>0.004</v>
      </c>
      <c r="G1148" s="6" t="n">
        <v>6495</v>
      </c>
      <c r="H1148" s="6">
        <f>F1148*G1148</f>
        <v/>
      </c>
      <c r="I1148">
        <f>_xlfn.XLOOKUP(A1148,MktTitle,MktCat,"n/a")</f>
        <v/>
      </c>
      <c r="J1148" s="3">
        <f>_xlfn.XLOOKUP(A1148,MktTitle,MktTotVol,0)</f>
        <v/>
      </c>
      <c r="K1148">
        <f>IF(H1148&gt;WhaleThreshold,"WHALE","")</f>
        <v/>
      </c>
    </row>
    <row r="1149">
      <c r="A1149" t="inlineStr">
        <is>
          <t>Will Croatia win the 2026 FIFA World Cup?</t>
        </is>
      </c>
      <c r="B1149" s="4" t="n">
        <v>46206</v>
      </c>
      <c r="C1149" s="5" t="n">
        <v>46206.02060185185</v>
      </c>
      <c r="D1149" t="inlineStr">
        <is>
          <t>SELL</t>
        </is>
      </c>
      <c r="E1149" t="inlineStr">
        <is>
          <t>Yes</t>
        </is>
      </c>
      <c r="F1149" s="2" t="n">
        <v>0.004</v>
      </c>
      <c r="G1149" s="6" t="n">
        <v>550.88</v>
      </c>
      <c r="H1149" s="6">
        <f>F1149*G1149</f>
        <v/>
      </c>
      <c r="I1149">
        <f>_xlfn.XLOOKUP(A1149,MktTitle,MktCat,"n/a")</f>
        <v/>
      </c>
      <c r="J1149" s="3">
        <f>_xlfn.XLOOKUP(A1149,MktTitle,MktTotVol,0)</f>
        <v/>
      </c>
      <c r="K1149">
        <f>IF(H1149&gt;WhaleThreshold,"WHALE","")</f>
        <v/>
      </c>
    </row>
    <row r="1150">
      <c r="A1150" t="inlineStr">
        <is>
          <t>Will Croatia win the 2026 FIFA World Cup?</t>
        </is>
      </c>
      <c r="B1150" s="4" t="n">
        <v>46206</v>
      </c>
      <c r="C1150" s="5" t="n">
        <v>46206.02028935185</v>
      </c>
      <c r="D1150" t="inlineStr">
        <is>
          <t>BUY</t>
        </is>
      </c>
      <c r="E1150" t="inlineStr">
        <is>
          <t>Yes</t>
        </is>
      </c>
      <c r="F1150" s="2" t="n">
        <v>0.004</v>
      </c>
      <c r="G1150" s="6" t="n">
        <v>49880.492</v>
      </c>
      <c r="H1150" s="6">
        <f>F1150*G1150</f>
        <v/>
      </c>
      <c r="I1150">
        <f>_xlfn.XLOOKUP(A1150,MktTitle,MktCat,"n/a")</f>
        <v/>
      </c>
      <c r="J1150" s="3">
        <f>_xlfn.XLOOKUP(A1150,MktTitle,MktTotVol,0)</f>
        <v/>
      </c>
      <c r="K1150">
        <f>IF(H1150&gt;WhaleThreshold,"WHALE","")</f>
        <v/>
      </c>
    </row>
    <row r="1151">
      <c r="A1151" t="inlineStr">
        <is>
          <t>Will Croatia win the 2026 FIFA World Cup?</t>
        </is>
      </c>
      <c r="B1151" s="4" t="n">
        <v>46206</v>
      </c>
      <c r="C1151" s="5" t="n">
        <v>46206.01997685185</v>
      </c>
      <c r="D1151" t="inlineStr">
        <is>
          <t>BUY</t>
        </is>
      </c>
      <c r="E1151" t="inlineStr">
        <is>
          <t>Yes</t>
        </is>
      </c>
      <c r="F1151" s="2" t="n">
        <v>0.004</v>
      </c>
      <c r="G1151" s="6" t="n">
        <v>250</v>
      </c>
      <c r="H1151" s="6">
        <f>F1151*G1151</f>
        <v/>
      </c>
      <c r="I1151">
        <f>_xlfn.XLOOKUP(A1151,MktTitle,MktCat,"n/a")</f>
        <v/>
      </c>
      <c r="J1151" s="3">
        <f>_xlfn.XLOOKUP(A1151,MktTitle,MktTotVol,0)</f>
        <v/>
      </c>
      <c r="K1151">
        <f>IF(H1151&gt;WhaleThreshold,"WHALE","")</f>
        <v/>
      </c>
    </row>
    <row r="1152">
      <c r="A1152" t="inlineStr">
        <is>
          <t>Will Croatia win the 2026 FIFA World Cup?</t>
        </is>
      </c>
      <c r="B1152" s="4" t="n">
        <v>46206</v>
      </c>
      <c r="C1152" s="5" t="n">
        <v>46206.01966435185</v>
      </c>
      <c r="D1152" t="inlineStr">
        <is>
          <t>SELL</t>
        </is>
      </c>
      <c r="E1152" t="inlineStr">
        <is>
          <t>Yes</t>
        </is>
      </c>
      <c r="F1152" s="2" t="n">
        <v>0.003</v>
      </c>
      <c r="G1152" s="6" t="n">
        <v>2944.14</v>
      </c>
      <c r="H1152" s="6">
        <f>F1152*G1152</f>
        <v/>
      </c>
      <c r="I1152">
        <f>_xlfn.XLOOKUP(A1152,MktTitle,MktCat,"n/a")</f>
        <v/>
      </c>
      <c r="J1152" s="3">
        <f>_xlfn.XLOOKUP(A1152,MktTitle,MktTotVol,0)</f>
        <v/>
      </c>
      <c r="K1152">
        <f>IF(H1152&gt;WhaleThreshold,"WHALE","")</f>
        <v/>
      </c>
    </row>
    <row r="1153">
      <c r="A1153" t="inlineStr">
        <is>
          <t>Will Croatia win the 2026 FIFA World Cup?</t>
        </is>
      </c>
      <c r="B1153" s="4" t="n">
        <v>46206</v>
      </c>
      <c r="C1153" s="5" t="n">
        <v>46206.0194675926</v>
      </c>
      <c r="D1153" t="inlineStr">
        <is>
          <t>SELL</t>
        </is>
      </c>
      <c r="E1153" t="inlineStr">
        <is>
          <t>Yes</t>
        </is>
      </c>
      <c r="F1153" s="2" t="n">
        <v>0.003</v>
      </c>
      <c r="G1153" s="6" t="n">
        <v>103.53</v>
      </c>
      <c r="H1153" s="6">
        <f>F1153*G1153</f>
        <v/>
      </c>
      <c r="I1153">
        <f>_xlfn.XLOOKUP(A1153,MktTitle,MktCat,"n/a")</f>
        <v/>
      </c>
      <c r="J1153" s="3">
        <f>_xlfn.XLOOKUP(A1153,MktTitle,MktTotVol,0)</f>
        <v/>
      </c>
      <c r="K1153">
        <f>IF(H1153&gt;WhaleThreshold,"WHALE","")</f>
        <v/>
      </c>
    </row>
    <row r="1154">
      <c r="A1154" t="inlineStr">
        <is>
          <t>Will Croatia win the 2026 FIFA World Cup?</t>
        </is>
      </c>
      <c r="B1154" s="4" t="n">
        <v>46206</v>
      </c>
      <c r="C1154" s="5" t="n">
        <v>46206.01914351852</v>
      </c>
      <c r="D1154" t="inlineStr">
        <is>
          <t>SELL</t>
        </is>
      </c>
      <c r="E1154" t="inlineStr">
        <is>
          <t>Yes</t>
        </is>
      </c>
      <c r="F1154" s="2" t="n">
        <v>0.003</v>
      </c>
      <c r="G1154" s="6" t="n">
        <v>25000</v>
      </c>
      <c r="H1154" s="6">
        <f>F1154*G1154</f>
        <v/>
      </c>
      <c r="I1154">
        <f>_xlfn.XLOOKUP(A1154,MktTitle,MktCat,"n/a")</f>
        <v/>
      </c>
      <c r="J1154" s="3">
        <f>_xlfn.XLOOKUP(A1154,MktTitle,MktTotVol,0)</f>
        <v/>
      </c>
      <c r="K1154">
        <f>IF(H1154&gt;WhaleThreshold,"WHALE","")</f>
        <v/>
      </c>
    </row>
    <row r="1155">
      <c r="A1155" t="inlineStr">
        <is>
          <t>Will Croatia win the 2026 FIFA World Cup?</t>
        </is>
      </c>
      <c r="B1155" s="4" t="n">
        <v>46206</v>
      </c>
      <c r="C1155" s="5" t="n">
        <v>46206.01894675926</v>
      </c>
      <c r="D1155" t="inlineStr">
        <is>
          <t>BUY</t>
        </is>
      </c>
      <c r="E1155" t="inlineStr">
        <is>
          <t>No</t>
        </is>
      </c>
      <c r="F1155" s="2" t="n">
        <v>0.996</v>
      </c>
      <c r="G1155" s="6" t="n">
        <v>1173</v>
      </c>
      <c r="H1155" s="6">
        <f>F1155*G1155</f>
        <v/>
      </c>
      <c r="I1155">
        <f>_xlfn.XLOOKUP(A1155,MktTitle,MktCat,"n/a")</f>
        <v/>
      </c>
      <c r="J1155" s="3">
        <f>_xlfn.XLOOKUP(A1155,MktTitle,MktTotVol,0)</f>
        <v/>
      </c>
      <c r="K1155">
        <f>IF(H1155&gt;WhaleThreshold,"WHALE","")</f>
        <v/>
      </c>
    </row>
    <row r="1156">
      <c r="A1156" t="inlineStr">
        <is>
          <t>Will Croatia win the 2026 FIFA World Cup?</t>
        </is>
      </c>
      <c r="B1156" s="4" t="n">
        <v>46206</v>
      </c>
      <c r="C1156" s="5" t="n">
        <v>46206.01880787037</v>
      </c>
      <c r="D1156" t="inlineStr">
        <is>
          <t>BUY</t>
        </is>
      </c>
      <c r="E1156" t="inlineStr">
        <is>
          <t>Yes</t>
        </is>
      </c>
      <c r="F1156" s="2" t="n">
        <v>0.006</v>
      </c>
      <c r="G1156" s="6" t="n">
        <v>8783.3333</v>
      </c>
      <c r="H1156" s="6">
        <f>F1156*G1156</f>
        <v/>
      </c>
      <c r="I1156">
        <f>_xlfn.XLOOKUP(A1156,MktTitle,MktCat,"n/a")</f>
        <v/>
      </c>
      <c r="J1156" s="3">
        <f>_xlfn.XLOOKUP(A1156,MktTitle,MktTotVol,0)</f>
        <v/>
      </c>
      <c r="K1156">
        <f>IF(H1156&gt;WhaleThreshold,"WHALE","")</f>
        <v/>
      </c>
    </row>
    <row r="1157">
      <c r="A1157" t="inlineStr">
        <is>
          <t>Will Croatia win the 2026 FIFA World Cup?</t>
        </is>
      </c>
      <c r="B1157" s="4" t="n">
        <v>46206</v>
      </c>
      <c r="C1157" s="5" t="n">
        <v>46206.01869212963</v>
      </c>
      <c r="D1157" t="inlineStr">
        <is>
          <t>SELL</t>
        </is>
      </c>
      <c r="E1157" t="inlineStr">
        <is>
          <t>Yes</t>
        </is>
      </c>
      <c r="F1157" s="2" t="n">
        <v>0.003</v>
      </c>
      <c r="G1157" s="6" t="n">
        <v>970.83</v>
      </c>
      <c r="H1157" s="6">
        <f>F1157*G1157</f>
        <v/>
      </c>
      <c r="I1157">
        <f>_xlfn.XLOOKUP(A1157,MktTitle,MktCat,"n/a")</f>
        <v/>
      </c>
      <c r="J1157" s="3">
        <f>_xlfn.XLOOKUP(A1157,MktTitle,MktTotVol,0)</f>
        <v/>
      </c>
      <c r="K1157">
        <f>IF(H1157&gt;WhaleThreshold,"WHALE","")</f>
        <v/>
      </c>
    </row>
    <row r="1158">
      <c r="A1158" t="inlineStr">
        <is>
          <t>Will Croatia win the 2026 FIFA World Cup?</t>
        </is>
      </c>
      <c r="B1158" s="4" t="n">
        <v>46206</v>
      </c>
      <c r="C1158" s="5" t="n">
        <v>46206.0185300926</v>
      </c>
      <c r="D1158" t="inlineStr">
        <is>
          <t>SELL</t>
        </is>
      </c>
      <c r="E1158" t="inlineStr">
        <is>
          <t>Yes</t>
        </is>
      </c>
      <c r="F1158" s="2" t="n">
        <v>0.003</v>
      </c>
      <c r="G1158" s="6" t="n">
        <v>3000</v>
      </c>
      <c r="H1158" s="6">
        <f>F1158*G1158</f>
        <v/>
      </c>
      <c r="I1158">
        <f>_xlfn.XLOOKUP(A1158,MktTitle,MktCat,"n/a")</f>
        <v/>
      </c>
      <c r="J1158" s="3">
        <f>_xlfn.XLOOKUP(A1158,MktTitle,MktTotVol,0)</f>
        <v/>
      </c>
      <c r="K1158">
        <f>IF(H1158&gt;WhaleThreshold,"WHALE","")</f>
        <v/>
      </c>
    </row>
    <row r="1159">
      <c r="A1159" t="inlineStr">
        <is>
          <t>Will Croatia win the 2026 FIFA World Cup?</t>
        </is>
      </c>
      <c r="B1159" s="4" t="n">
        <v>46206</v>
      </c>
      <c r="C1159" s="5" t="n">
        <v>46206.01771990741</v>
      </c>
      <c r="D1159" t="inlineStr">
        <is>
          <t>SELL</t>
        </is>
      </c>
      <c r="E1159" t="inlineStr">
        <is>
          <t>Yes</t>
        </is>
      </c>
      <c r="F1159" s="2" t="n">
        <v>0.006</v>
      </c>
      <c r="G1159" s="6" t="n">
        <v>888.37</v>
      </c>
      <c r="H1159" s="6">
        <f>F1159*G1159</f>
        <v/>
      </c>
      <c r="I1159">
        <f>_xlfn.XLOOKUP(A1159,MktTitle,MktCat,"n/a")</f>
        <v/>
      </c>
      <c r="J1159" s="3">
        <f>_xlfn.XLOOKUP(A1159,MktTitle,MktTotVol,0)</f>
        <v/>
      </c>
      <c r="K1159">
        <f>IF(H1159&gt;WhaleThreshold,"WHALE","")</f>
        <v/>
      </c>
    </row>
    <row r="1160">
      <c r="A1160" t="inlineStr">
        <is>
          <t>Will Croatia win the 2026 FIFA World Cup?</t>
        </is>
      </c>
      <c r="B1160" s="4" t="n">
        <v>46206</v>
      </c>
      <c r="C1160" s="5" t="n">
        <v>46206.01765046296</v>
      </c>
      <c r="D1160" t="inlineStr">
        <is>
          <t>BUY</t>
        </is>
      </c>
      <c r="E1160" t="inlineStr">
        <is>
          <t>Yes</t>
        </is>
      </c>
      <c r="F1160" s="2" t="n">
        <v>0.006</v>
      </c>
      <c r="G1160" s="6" t="n">
        <v>228.39</v>
      </c>
      <c r="H1160" s="6">
        <f>F1160*G1160</f>
        <v/>
      </c>
      <c r="I1160">
        <f>_xlfn.XLOOKUP(A1160,MktTitle,MktCat,"n/a")</f>
        <v/>
      </c>
      <c r="J1160" s="3">
        <f>_xlfn.XLOOKUP(A1160,MktTitle,MktTotVol,0)</f>
        <v/>
      </c>
      <c r="K1160">
        <f>IF(H1160&gt;WhaleThreshold,"WHALE","")</f>
        <v/>
      </c>
    </row>
    <row r="1161">
      <c r="A1161" t="inlineStr">
        <is>
          <t>Will Croatia win the 2026 FIFA World Cup?</t>
        </is>
      </c>
      <c r="B1161" s="4" t="n">
        <v>46206</v>
      </c>
      <c r="C1161" s="5" t="n">
        <v>46206.01765046296</v>
      </c>
      <c r="D1161" t="inlineStr">
        <is>
          <t>SELL</t>
        </is>
      </c>
      <c r="E1161" t="inlineStr">
        <is>
          <t>Yes</t>
        </is>
      </c>
      <c r="F1161" s="2" t="n">
        <v>0.005</v>
      </c>
      <c r="G1161" s="6" t="n">
        <v>68676.32000000001</v>
      </c>
      <c r="H1161" s="6">
        <f>F1161*G1161</f>
        <v/>
      </c>
      <c r="I1161">
        <f>_xlfn.XLOOKUP(A1161,MktTitle,MktCat,"n/a")</f>
        <v/>
      </c>
      <c r="J1161" s="3">
        <f>_xlfn.XLOOKUP(A1161,MktTitle,MktTotVol,0)</f>
        <v/>
      </c>
      <c r="K1161">
        <f>IF(H1161&gt;WhaleThreshold,"WHALE","")</f>
        <v/>
      </c>
    </row>
    <row r="1162">
      <c r="A1162" t="inlineStr">
        <is>
          <t>Will Croatia win the 2026 FIFA World Cup?</t>
        </is>
      </c>
      <c r="B1162" s="4" t="n">
        <v>46206</v>
      </c>
      <c r="C1162" s="5" t="n">
        <v>46206.0174537037</v>
      </c>
      <c r="D1162" t="inlineStr">
        <is>
          <t>SELL</t>
        </is>
      </c>
      <c r="E1162" t="inlineStr">
        <is>
          <t>Yes</t>
        </is>
      </c>
      <c r="F1162" s="2" t="n">
        <v>0.006</v>
      </c>
      <c r="G1162" s="6" t="n">
        <v>2291.66</v>
      </c>
      <c r="H1162" s="6">
        <f>F1162*G1162</f>
        <v/>
      </c>
      <c r="I1162">
        <f>_xlfn.XLOOKUP(A1162,MktTitle,MktCat,"n/a")</f>
        <v/>
      </c>
      <c r="J1162" s="3">
        <f>_xlfn.XLOOKUP(A1162,MktTitle,MktTotVol,0)</f>
        <v/>
      </c>
      <c r="K1162">
        <f>IF(H1162&gt;WhaleThreshold,"WHALE","")</f>
        <v/>
      </c>
    </row>
    <row r="1163">
      <c r="A1163" t="inlineStr">
        <is>
          <t>Will Croatia win the 2026 FIFA World Cup?</t>
        </is>
      </c>
      <c r="B1163" s="4" t="n">
        <v>46206</v>
      </c>
      <c r="C1163" s="5" t="n">
        <v>46206.0174537037</v>
      </c>
      <c r="D1163" t="inlineStr">
        <is>
          <t>SELL</t>
        </is>
      </c>
      <c r="E1163" t="inlineStr">
        <is>
          <t>Yes</t>
        </is>
      </c>
      <c r="F1163" s="2" t="n">
        <v>0.0051</v>
      </c>
      <c r="G1163" s="6" t="n">
        <v>12500</v>
      </c>
      <c r="H1163" s="6">
        <f>F1163*G1163</f>
        <v/>
      </c>
      <c r="I1163">
        <f>_xlfn.XLOOKUP(A1163,MktTitle,MktCat,"n/a")</f>
        <v/>
      </c>
      <c r="J1163" s="3">
        <f>_xlfn.XLOOKUP(A1163,MktTitle,MktTotVol,0)</f>
        <v/>
      </c>
      <c r="K1163">
        <f>IF(H1163&gt;WhaleThreshold,"WHALE","")</f>
        <v/>
      </c>
    </row>
    <row r="1164">
      <c r="A1164" t="inlineStr">
        <is>
          <t>Will Croatia win the 2026 FIFA World Cup?</t>
        </is>
      </c>
      <c r="B1164" s="4" t="n">
        <v>46206</v>
      </c>
      <c r="C1164" s="5" t="n">
        <v>46206.01695601852</v>
      </c>
      <c r="D1164" t="inlineStr">
        <is>
          <t>BUY</t>
        </is>
      </c>
      <c r="E1164" t="inlineStr">
        <is>
          <t>Yes</t>
        </is>
      </c>
      <c r="F1164" s="2" t="n">
        <v>0.007</v>
      </c>
      <c r="G1164" s="6" t="n">
        <v>150</v>
      </c>
      <c r="H1164" s="6">
        <f>F1164*G1164</f>
        <v/>
      </c>
      <c r="I1164">
        <f>_xlfn.XLOOKUP(A1164,MktTitle,MktCat,"n/a")</f>
        <v/>
      </c>
      <c r="J1164" s="3">
        <f>_xlfn.XLOOKUP(A1164,MktTitle,MktTotVol,0)</f>
        <v/>
      </c>
      <c r="K1164">
        <f>IF(H1164&gt;WhaleThreshold,"WHALE","")</f>
        <v/>
      </c>
    </row>
    <row r="1165">
      <c r="A1165" t="inlineStr">
        <is>
          <t>Will Croatia win the 2026 FIFA World Cup?</t>
        </is>
      </c>
      <c r="B1165" s="4" t="n">
        <v>46206</v>
      </c>
      <c r="C1165" s="5" t="n">
        <v>46206.01689814815</v>
      </c>
      <c r="D1165" t="inlineStr">
        <is>
          <t>BUY</t>
        </is>
      </c>
      <c r="E1165" t="inlineStr">
        <is>
          <t>Yes</t>
        </is>
      </c>
      <c r="F1165" s="2" t="n">
        <v>0.007</v>
      </c>
      <c r="G1165" s="6" t="n">
        <v>1428.5714</v>
      </c>
      <c r="H1165" s="6">
        <f>F1165*G1165</f>
        <v/>
      </c>
      <c r="I1165">
        <f>_xlfn.XLOOKUP(A1165,MktTitle,MktCat,"n/a")</f>
        <v/>
      </c>
      <c r="J1165" s="3">
        <f>_xlfn.XLOOKUP(A1165,MktTitle,MktTotVol,0)</f>
        <v/>
      </c>
      <c r="K1165">
        <f>IF(H1165&gt;WhaleThreshold,"WHALE","")</f>
        <v/>
      </c>
    </row>
    <row r="1166">
      <c r="A1166" t="inlineStr">
        <is>
          <t>Will Croatia win the 2026 FIFA World Cup?</t>
        </is>
      </c>
      <c r="B1166" s="4" t="n">
        <v>46206</v>
      </c>
      <c r="C1166" s="5" t="n">
        <v>46206.01681712963</v>
      </c>
      <c r="D1166" t="inlineStr">
        <is>
          <t>BUY</t>
        </is>
      </c>
      <c r="E1166" t="inlineStr">
        <is>
          <t>Yes</t>
        </is>
      </c>
      <c r="F1166" s="2" t="n">
        <v>0.007</v>
      </c>
      <c r="G1166" s="6" t="n">
        <v>150</v>
      </c>
      <c r="H1166" s="6">
        <f>F1166*G1166</f>
        <v/>
      </c>
      <c r="I1166">
        <f>_xlfn.XLOOKUP(A1166,MktTitle,MktCat,"n/a")</f>
        <v/>
      </c>
      <c r="J1166" s="3">
        <f>_xlfn.XLOOKUP(A1166,MktTitle,MktTotVol,0)</f>
        <v/>
      </c>
      <c r="K1166">
        <f>IF(H1166&gt;WhaleThreshold,"WHALE","")</f>
        <v/>
      </c>
    </row>
    <row r="1167">
      <c r="A1167" t="inlineStr">
        <is>
          <t>Will Croatia win the 2026 FIFA World Cup?</t>
        </is>
      </c>
      <c r="B1167" s="4" t="n">
        <v>46206</v>
      </c>
      <c r="C1167" s="5" t="n">
        <v>46206.01681712963</v>
      </c>
      <c r="D1167" t="inlineStr">
        <is>
          <t>SELL</t>
        </is>
      </c>
      <c r="E1167" t="inlineStr">
        <is>
          <t>Yes</t>
        </is>
      </c>
      <c r="F1167" s="2" t="n">
        <v>0.006</v>
      </c>
      <c r="G1167" s="6" t="n">
        <v>1250</v>
      </c>
      <c r="H1167" s="6">
        <f>F1167*G1167</f>
        <v/>
      </c>
      <c r="I1167">
        <f>_xlfn.XLOOKUP(A1167,MktTitle,MktCat,"n/a")</f>
        <v/>
      </c>
      <c r="J1167" s="3">
        <f>_xlfn.XLOOKUP(A1167,MktTitle,MktTotVol,0)</f>
        <v/>
      </c>
      <c r="K1167">
        <f>IF(H1167&gt;WhaleThreshold,"WHALE","")</f>
        <v/>
      </c>
    </row>
    <row r="1168">
      <c r="A1168" t="inlineStr">
        <is>
          <t>Will Croatia win the 2026 FIFA World Cup?</t>
        </is>
      </c>
      <c r="B1168" s="4" t="n">
        <v>46206</v>
      </c>
      <c r="C1168" s="5" t="n">
        <v>46206.01668981482</v>
      </c>
      <c r="D1168" t="inlineStr">
        <is>
          <t>BUY</t>
        </is>
      </c>
      <c r="E1168" t="inlineStr">
        <is>
          <t>Yes</t>
        </is>
      </c>
      <c r="F1168" s="2" t="n">
        <v>0.007</v>
      </c>
      <c r="G1168" s="6" t="n">
        <v>1285.7143</v>
      </c>
      <c r="H1168" s="6">
        <f>F1168*G1168</f>
        <v/>
      </c>
      <c r="I1168">
        <f>_xlfn.XLOOKUP(A1168,MktTitle,MktCat,"n/a")</f>
        <v/>
      </c>
      <c r="J1168" s="3">
        <f>_xlfn.XLOOKUP(A1168,MktTitle,MktTotVol,0)</f>
        <v/>
      </c>
      <c r="K1168">
        <f>IF(H1168&gt;WhaleThreshold,"WHALE","")</f>
        <v/>
      </c>
    </row>
    <row r="1169">
      <c r="A1169" t="inlineStr">
        <is>
          <t>Will Croatia win the 2026 FIFA World Cup?</t>
        </is>
      </c>
      <c r="B1169" s="4" t="n">
        <v>46206</v>
      </c>
      <c r="C1169" s="5" t="n">
        <v>46206.01658564815</v>
      </c>
      <c r="D1169" t="inlineStr">
        <is>
          <t>BUY</t>
        </is>
      </c>
      <c r="E1169" t="inlineStr">
        <is>
          <t>Yes</t>
        </is>
      </c>
      <c r="F1169" s="2" t="n">
        <v>0.007</v>
      </c>
      <c r="G1169" s="6" t="n">
        <v>150</v>
      </c>
      <c r="H1169" s="6">
        <f>F1169*G1169</f>
        <v/>
      </c>
      <c r="I1169">
        <f>_xlfn.XLOOKUP(A1169,MktTitle,MktCat,"n/a")</f>
        <v/>
      </c>
      <c r="J1169" s="3">
        <f>_xlfn.XLOOKUP(A1169,MktTitle,MktTotVol,0)</f>
        <v/>
      </c>
      <c r="K1169">
        <f>IF(H1169&gt;WhaleThreshold,"WHALE","")</f>
        <v/>
      </c>
    </row>
    <row r="1170">
      <c r="A1170" t="inlineStr">
        <is>
          <t>Will Croatia win the 2026 FIFA World Cup?</t>
        </is>
      </c>
      <c r="B1170" s="4" t="n">
        <v>46206</v>
      </c>
      <c r="C1170" s="5" t="n">
        <v>46206.01626157408</v>
      </c>
      <c r="D1170" t="inlineStr">
        <is>
          <t>SELL</t>
        </is>
      </c>
      <c r="E1170" t="inlineStr">
        <is>
          <t>Yes</t>
        </is>
      </c>
      <c r="F1170" s="2" t="n">
        <v>0.006</v>
      </c>
      <c r="G1170" s="6" t="n">
        <v>5000</v>
      </c>
      <c r="H1170" s="6">
        <f>F1170*G1170</f>
        <v/>
      </c>
      <c r="I1170">
        <f>_xlfn.XLOOKUP(A1170,MktTitle,MktCat,"n/a")</f>
        <v/>
      </c>
      <c r="J1170" s="3">
        <f>_xlfn.XLOOKUP(A1170,MktTitle,MktTotVol,0)</f>
        <v/>
      </c>
      <c r="K1170">
        <f>IF(H1170&gt;WhaleThreshold,"WHALE","")</f>
        <v/>
      </c>
    </row>
    <row r="1171">
      <c r="A1171" t="inlineStr">
        <is>
          <t>Will Croatia win the 2026 FIFA World Cup?</t>
        </is>
      </c>
      <c r="B1171" s="4" t="n">
        <v>46206</v>
      </c>
      <c r="C1171" s="5" t="n">
        <v>46206.01622685185</v>
      </c>
      <c r="D1171" t="inlineStr">
        <is>
          <t>BUY</t>
        </is>
      </c>
      <c r="E1171" t="inlineStr">
        <is>
          <t>No</t>
        </is>
      </c>
      <c r="F1171" s="2" t="n">
        <v>0.994</v>
      </c>
      <c r="G1171" s="6" t="n">
        <v>34.9093</v>
      </c>
      <c r="H1171" s="6">
        <f>F1171*G1171</f>
        <v/>
      </c>
      <c r="I1171">
        <f>_xlfn.XLOOKUP(A1171,MktTitle,MktCat,"n/a")</f>
        <v/>
      </c>
      <c r="J1171" s="3">
        <f>_xlfn.XLOOKUP(A1171,MktTitle,MktTotVol,0)</f>
        <v/>
      </c>
      <c r="K1171">
        <f>IF(H1171&gt;WhaleThreshold,"WHALE","")</f>
        <v/>
      </c>
    </row>
    <row r="1172">
      <c r="A1172" t="inlineStr">
        <is>
          <t>Will Croatia win the 2026 FIFA World Cup?</t>
        </is>
      </c>
      <c r="B1172" s="4" t="n">
        <v>46206</v>
      </c>
      <c r="C1172" s="5" t="n">
        <v>46206.01598379629</v>
      </c>
      <c r="D1172" t="inlineStr">
        <is>
          <t>BUY</t>
        </is>
      </c>
      <c r="E1172" t="inlineStr">
        <is>
          <t>Yes</t>
        </is>
      </c>
      <c r="F1172" s="2" t="n">
        <v>0.006</v>
      </c>
      <c r="G1172" s="6" t="n">
        <v>510.5</v>
      </c>
      <c r="H1172" s="6">
        <f>F1172*G1172</f>
        <v/>
      </c>
      <c r="I1172">
        <f>_xlfn.XLOOKUP(A1172,MktTitle,MktCat,"n/a")</f>
        <v/>
      </c>
      <c r="J1172" s="3">
        <f>_xlfn.XLOOKUP(A1172,MktTitle,MktTotVol,0)</f>
        <v/>
      </c>
      <c r="K1172">
        <f>IF(H1172&gt;WhaleThreshold,"WHALE","")</f>
        <v/>
      </c>
    </row>
    <row r="1173">
      <c r="A1173" t="inlineStr">
        <is>
          <t>Will Croatia win the 2026 FIFA World Cup?</t>
        </is>
      </c>
      <c r="B1173" s="4" t="n">
        <v>46206</v>
      </c>
      <c r="C1173" s="5" t="n">
        <v>46206.01585648148</v>
      </c>
      <c r="D1173" t="inlineStr">
        <is>
          <t>SELL</t>
        </is>
      </c>
      <c r="E1173" t="inlineStr">
        <is>
          <t>Yes</t>
        </is>
      </c>
      <c r="F1173" s="2" t="n">
        <v>0.006</v>
      </c>
      <c r="G1173" s="6" t="n">
        <v>820.24</v>
      </c>
      <c r="H1173" s="6">
        <f>F1173*G1173</f>
        <v/>
      </c>
      <c r="I1173">
        <f>_xlfn.XLOOKUP(A1173,MktTitle,MktCat,"n/a")</f>
        <v/>
      </c>
      <c r="J1173" s="3">
        <f>_xlfn.XLOOKUP(A1173,MktTitle,MktTotVol,0)</f>
        <v/>
      </c>
      <c r="K1173">
        <f>IF(H1173&gt;WhaleThreshold,"WHALE","")</f>
        <v/>
      </c>
    </row>
    <row r="1174">
      <c r="A1174" t="inlineStr">
        <is>
          <t>Will Croatia win the 2026 FIFA World Cup?</t>
        </is>
      </c>
      <c r="B1174" s="4" t="n">
        <v>46206</v>
      </c>
      <c r="C1174" s="5" t="n">
        <v>46206.01577546296</v>
      </c>
      <c r="D1174" t="inlineStr">
        <is>
          <t>SELL</t>
        </is>
      </c>
      <c r="E1174" t="inlineStr">
        <is>
          <t>Yes</t>
        </is>
      </c>
      <c r="F1174" s="2" t="n">
        <v>0.0054</v>
      </c>
      <c r="G1174" s="6" t="n">
        <v>1250</v>
      </c>
      <c r="H1174" s="6">
        <f>F1174*G1174</f>
        <v/>
      </c>
      <c r="I1174">
        <f>_xlfn.XLOOKUP(A1174,MktTitle,MktCat,"n/a")</f>
        <v/>
      </c>
      <c r="J1174" s="3">
        <f>_xlfn.XLOOKUP(A1174,MktTitle,MktTotVol,0)</f>
        <v/>
      </c>
      <c r="K1174">
        <f>IF(H1174&gt;WhaleThreshold,"WHALE","")</f>
        <v/>
      </c>
    </row>
    <row r="1175">
      <c r="A1175" t="inlineStr">
        <is>
          <t>Will Croatia win the 2026 FIFA World Cup?</t>
        </is>
      </c>
      <c r="B1175" s="4" t="n">
        <v>46206</v>
      </c>
      <c r="C1175" s="5" t="n">
        <v>46206.01571759259</v>
      </c>
      <c r="D1175" t="inlineStr">
        <is>
          <t>BUY</t>
        </is>
      </c>
      <c r="E1175" t="inlineStr">
        <is>
          <t>No</t>
        </is>
      </c>
      <c r="F1175" s="2" t="n">
        <v>0.994</v>
      </c>
      <c r="G1175" s="6" t="n">
        <v>12.68</v>
      </c>
      <c r="H1175" s="6">
        <f>F1175*G1175</f>
        <v/>
      </c>
      <c r="I1175">
        <f>_xlfn.XLOOKUP(A1175,MktTitle,MktCat,"n/a")</f>
        <v/>
      </c>
      <c r="J1175" s="3">
        <f>_xlfn.XLOOKUP(A1175,MktTitle,MktTotVol,0)</f>
        <v/>
      </c>
      <c r="K1175">
        <f>IF(H1175&gt;WhaleThreshold,"WHALE","")</f>
        <v/>
      </c>
    </row>
    <row r="1176">
      <c r="A1176" t="inlineStr">
        <is>
          <t>Will Croatia win the 2026 FIFA World Cup?</t>
        </is>
      </c>
      <c r="B1176" s="4" t="n">
        <v>46206</v>
      </c>
      <c r="C1176" s="5" t="n">
        <v>46206.01568287037</v>
      </c>
      <c r="D1176" t="inlineStr">
        <is>
          <t>BUY</t>
        </is>
      </c>
      <c r="E1176" t="inlineStr">
        <is>
          <t>Yes</t>
        </is>
      </c>
      <c r="F1176" s="2" t="n">
        <v>0.006</v>
      </c>
      <c r="G1176" s="6" t="n">
        <v>6079.93</v>
      </c>
      <c r="H1176" s="6">
        <f>F1176*G1176</f>
        <v/>
      </c>
      <c r="I1176">
        <f>_xlfn.XLOOKUP(A1176,MktTitle,MktCat,"n/a")</f>
        <v/>
      </c>
      <c r="J1176" s="3">
        <f>_xlfn.XLOOKUP(A1176,MktTitle,MktTotVol,0)</f>
        <v/>
      </c>
      <c r="K1176">
        <f>IF(H1176&gt;WhaleThreshold,"WHALE","")</f>
        <v/>
      </c>
    </row>
    <row r="1177">
      <c r="A1177" t="inlineStr">
        <is>
          <t>Will Croatia win the 2026 FIFA World Cup?</t>
        </is>
      </c>
      <c r="B1177" s="4" t="n">
        <v>46206</v>
      </c>
      <c r="C1177" s="5" t="n">
        <v>46206.01518518518</v>
      </c>
      <c r="D1177" t="inlineStr">
        <is>
          <t>BUY</t>
        </is>
      </c>
      <c r="E1177" t="inlineStr">
        <is>
          <t>Yes</t>
        </is>
      </c>
      <c r="F1177" s="2" t="n">
        <v>0.007</v>
      </c>
      <c r="G1177" s="6" t="n">
        <v>857.1429000000001</v>
      </c>
      <c r="H1177" s="6">
        <f>F1177*G1177</f>
        <v/>
      </c>
      <c r="I1177">
        <f>_xlfn.XLOOKUP(A1177,MktTitle,MktCat,"n/a")</f>
        <v/>
      </c>
      <c r="J1177" s="3">
        <f>_xlfn.XLOOKUP(A1177,MktTitle,MktTotVol,0)</f>
        <v/>
      </c>
      <c r="K1177">
        <f>IF(H1177&gt;WhaleThreshold,"WHALE","")</f>
        <v/>
      </c>
    </row>
    <row r="1178">
      <c r="A1178" t="inlineStr">
        <is>
          <t>Will Croatia win the 2026 FIFA World Cup?</t>
        </is>
      </c>
      <c r="B1178" s="4" t="n">
        <v>46206</v>
      </c>
      <c r="C1178" s="5" t="n">
        <v>46206.01505787037</v>
      </c>
      <c r="D1178" t="inlineStr">
        <is>
          <t>SELL</t>
        </is>
      </c>
      <c r="E1178" t="inlineStr">
        <is>
          <t>Yes</t>
        </is>
      </c>
      <c r="F1178" s="2" t="n">
        <v>0.005</v>
      </c>
      <c r="G1178" s="6" t="n">
        <v>1958</v>
      </c>
      <c r="H1178" s="6">
        <f>F1178*G1178</f>
        <v/>
      </c>
      <c r="I1178">
        <f>_xlfn.XLOOKUP(A1178,MktTitle,MktCat,"n/a")</f>
        <v/>
      </c>
      <c r="J1178" s="3">
        <f>_xlfn.XLOOKUP(A1178,MktTitle,MktTotVol,0)</f>
        <v/>
      </c>
      <c r="K1178">
        <f>IF(H1178&gt;WhaleThreshold,"WHALE","")</f>
        <v/>
      </c>
    </row>
    <row r="1179">
      <c r="A1179" t="inlineStr">
        <is>
          <t>Will Croatia win the 2026 FIFA World Cup?</t>
        </is>
      </c>
      <c r="B1179" s="4" t="n">
        <v>46206</v>
      </c>
      <c r="C1179" s="5" t="n">
        <v>46206.01502314815</v>
      </c>
      <c r="D1179" t="inlineStr">
        <is>
          <t>SELL</t>
        </is>
      </c>
      <c r="E1179" t="inlineStr">
        <is>
          <t>No</t>
        </is>
      </c>
      <c r="F1179" s="2" t="n">
        <v>0.993</v>
      </c>
      <c r="G1179" s="6" t="n">
        <v>100</v>
      </c>
      <c r="H1179" s="6">
        <f>F1179*G1179</f>
        <v/>
      </c>
      <c r="I1179">
        <f>_xlfn.XLOOKUP(A1179,MktTitle,MktCat,"n/a")</f>
        <v/>
      </c>
      <c r="J1179" s="3">
        <f>_xlfn.XLOOKUP(A1179,MktTitle,MktTotVol,0)</f>
        <v/>
      </c>
      <c r="K1179">
        <f>IF(H1179&gt;WhaleThreshold,"WHALE","")</f>
        <v/>
      </c>
    </row>
    <row r="1180">
      <c r="A1180" t="inlineStr">
        <is>
          <t>Will Croatia win the 2026 FIFA World Cup?</t>
        </is>
      </c>
      <c r="B1180" s="4" t="n">
        <v>46206</v>
      </c>
      <c r="C1180" s="5" t="n">
        <v>46206.01501157408</v>
      </c>
      <c r="D1180" t="inlineStr">
        <is>
          <t>BUY</t>
        </is>
      </c>
      <c r="E1180" t="inlineStr">
        <is>
          <t>Yes</t>
        </is>
      </c>
      <c r="F1180" s="2" t="n">
        <v>0.007</v>
      </c>
      <c r="G1180" s="6" t="n">
        <v>2857.1429</v>
      </c>
      <c r="H1180" s="6">
        <f>F1180*G1180</f>
        <v/>
      </c>
      <c r="I1180">
        <f>_xlfn.XLOOKUP(A1180,MktTitle,MktCat,"n/a")</f>
        <v/>
      </c>
      <c r="J1180" s="3">
        <f>_xlfn.XLOOKUP(A1180,MktTitle,MktTotVol,0)</f>
        <v/>
      </c>
      <c r="K1180">
        <f>IF(H1180&gt;WhaleThreshold,"WHALE","")</f>
        <v/>
      </c>
    </row>
    <row r="1181">
      <c r="A1181" t="inlineStr">
        <is>
          <t>Will Croatia win the 2026 FIFA World Cup?</t>
        </is>
      </c>
      <c r="B1181" s="4" t="n">
        <v>46206</v>
      </c>
      <c r="C1181" s="5" t="n">
        <v>46206.01501157408</v>
      </c>
      <c r="D1181" t="inlineStr">
        <is>
          <t>BUY</t>
        </is>
      </c>
      <c r="E1181" t="inlineStr">
        <is>
          <t>Yes</t>
        </is>
      </c>
      <c r="F1181" s="2" t="n">
        <v>0.007</v>
      </c>
      <c r="G1181" s="6" t="n">
        <v>14285.7143</v>
      </c>
      <c r="H1181" s="6">
        <f>F1181*G1181</f>
        <v/>
      </c>
      <c r="I1181">
        <f>_xlfn.XLOOKUP(A1181,MktTitle,MktCat,"n/a")</f>
        <v/>
      </c>
      <c r="J1181" s="3">
        <f>_xlfn.XLOOKUP(A1181,MktTitle,MktTotVol,0)</f>
        <v/>
      </c>
      <c r="K1181">
        <f>IF(H1181&gt;WhaleThreshold,"WHALE","")</f>
        <v/>
      </c>
    </row>
    <row r="1182">
      <c r="A1182" t="inlineStr">
        <is>
          <t>Will Croatia win the 2026 FIFA World Cup?</t>
        </is>
      </c>
      <c r="B1182" s="4" t="n">
        <v>46206</v>
      </c>
      <c r="C1182" s="5" t="n">
        <v>46206.01459490741</v>
      </c>
      <c r="D1182" t="inlineStr">
        <is>
          <t>SELL</t>
        </is>
      </c>
      <c r="E1182" t="inlineStr">
        <is>
          <t>Yes</t>
        </is>
      </c>
      <c r="F1182" s="2" t="n">
        <v>0.0053</v>
      </c>
      <c r="G1182" s="6" t="n">
        <v>7142.86</v>
      </c>
      <c r="H1182" s="6">
        <f>F1182*G1182</f>
        <v/>
      </c>
      <c r="I1182">
        <f>_xlfn.XLOOKUP(A1182,MktTitle,MktCat,"n/a")</f>
        <v/>
      </c>
      <c r="J1182" s="3">
        <f>_xlfn.XLOOKUP(A1182,MktTitle,MktTotVol,0)</f>
        <v/>
      </c>
      <c r="K1182">
        <f>IF(H1182&gt;WhaleThreshold,"WHALE","")</f>
        <v/>
      </c>
    </row>
    <row r="1183">
      <c r="A1183" t="inlineStr">
        <is>
          <t>Will Croatia win the 2026 FIFA World Cup?</t>
        </is>
      </c>
      <c r="B1183" s="4" t="n">
        <v>46206</v>
      </c>
      <c r="C1183" s="5" t="n">
        <v>46206.01446759259</v>
      </c>
      <c r="D1183" t="inlineStr">
        <is>
          <t>BUY</t>
        </is>
      </c>
      <c r="E1183" t="inlineStr">
        <is>
          <t>Yes</t>
        </is>
      </c>
      <c r="F1183" s="2" t="n">
        <v>0.006</v>
      </c>
      <c r="G1183" s="6" t="n">
        <v>447.65</v>
      </c>
      <c r="H1183" s="6">
        <f>F1183*G1183</f>
        <v/>
      </c>
      <c r="I1183">
        <f>_xlfn.XLOOKUP(A1183,MktTitle,MktCat,"n/a")</f>
        <v/>
      </c>
      <c r="J1183" s="3">
        <f>_xlfn.XLOOKUP(A1183,MktTitle,MktTotVol,0)</f>
        <v/>
      </c>
      <c r="K1183">
        <f>IF(H1183&gt;WhaleThreshold,"WHALE","")</f>
        <v/>
      </c>
    </row>
    <row r="1184">
      <c r="A1184" t="inlineStr">
        <is>
          <t>Will Croatia win the 2026 FIFA World Cup?</t>
        </is>
      </c>
      <c r="B1184" s="4" t="n">
        <v>46206</v>
      </c>
      <c r="C1184" s="5" t="n">
        <v>46206.01428240741</v>
      </c>
      <c r="D1184" t="inlineStr">
        <is>
          <t>SELL</t>
        </is>
      </c>
      <c r="E1184" t="inlineStr">
        <is>
          <t>Yes</t>
        </is>
      </c>
      <c r="F1184" s="2" t="n">
        <v>0.006</v>
      </c>
      <c r="G1184" s="6" t="n">
        <v>98930.92999999999</v>
      </c>
      <c r="H1184" s="6">
        <f>F1184*G1184</f>
        <v/>
      </c>
      <c r="I1184">
        <f>_xlfn.XLOOKUP(A1184,MktTitle,MktCat,"n/a")</f>
        <v/>
      </c>
      <c r="J1184" s="3">
        <f>_xlfn.XLOOKUP(A1184,MktTitle,MktTotVol,0)</f>
        <v/>
      </c>
      <c r="K1184">
        <f>IF(H1184&gt;WhaleThreshold,"WHALE","")</f>
        <v/>
      </c>
    </row>
    <row r="1185">
      <c r="A1185" t="inlineStr">
        <is>
          <t>Will Croatia win the 2026 FIFA World Cup?</t>
        </is>
      </c>
      <c r="B1185" s="4" t="n">
        <v>46206</v>
      </c>
      <c r="C1185" s="5" t="n">
        <v>46206.01393518518</v>
      </c>
      <c r="D1185" t="inlineStr">
        <is>
          <t>BUY</t>
        </is>
      </c>
      <c r="E1185" t="inlineStr">
        <is>
          <t>Yes</t>
        </is>
      </c>
      <c r="F1185" s="2" t="n">
        <v>0.008</v>
      </c>
      <c r="G1185" s="6" t="n">
        <v>125000</v>
      </c>
      <c r="H1185" s="6">
        <f>F1185*G1185</f>
        <v/>
      </c>
      <c r="I1185">
        <f>_xlfn.XLOOKUP(A1185,MktTitle,MktCat,"n/a")</f>
        <v/>
      </c>
      <c r="J1185" s="3">
        <f>_xlfn.XLOOKUP(A1185,MktTitle,MktTotVol,0)</f>
        <v/>
      </c>
      <c r="K1185">
        <f>IF(H1185&gt;WhaleThreshold,"WHALE","")</f>
        <v/>
      </c>
    </row>
    <row r="1186">
      <c r="A1186" t="inlineStr">
        <is>
          <t>Will Croatia win the 2026 FIFA World Cup?</t>
        </is>
      </c>
      <c r="B1186" s="4" t="n">
        <v>46206</v>
      </c>
      <c r="C1186" s="5" t="n">
        <v>46206.01387731481</v>
      </c>
      <c r="D1186" t="inlineStr">
        <is>
          <t>SELL</t>
        </is>
      </c>
      <c r="E1186" t="inlineStr">
        <is>
          <t>Yes</t>
        </is>
      </c>
      <c r="F1186" s="2" t="n">
        <v>0.006</v>
      </c>
      <c r="G1186" s="6" t="n">
        <v>2222.22</v>
      </c>
      <c r="H1186" s="6">
        <f>F1186*G1186</f>
        <v/>
      </c>
      <c r="I1186">
        <f>_xlfn.XLOOKUP(A1186,MktTitle,MktCat,"n/a")</f>
        <v/>
      </c>
      <c r="J1186" s="3">
        <f>_xlfn.XLOOKUP(A1186,MktTitle,MktTotVol,0)</f>
        <v/>
      </c>
      <c r="K1186">
        <f>IF(H1186&gt;WhaleThreshold,"WHALE","")</f>
        <v/>
      </c>
    </row>
    <row r="1187">
      <c r="A1187" t="inlineStr">
        <is>
          <t>Will Croatia win the 2026 FIFA World Cup?</t>
        </is>
      </c>
      <c r="B1187" s="4" t="n">
        <v>46206</v>
      </c>
      <c r="C1187" s="5" t="n">
        <v>46206.01362268518</v>
      </c>
      <c r="D1187" t="inlineStr">
        <is>
          <t>SELL</t>
        </is>
      </c>
      <c r="E1187" t="inlineStr">
        <is>
          <t>Yes</t>
        </is>
      </c>
      <c r="F1187" s="2" t="n">
        <v>0.006</v>
      </c>
      <c r="G1187" s="6" t="n">
        <v>21.47</v>
      </c>
      <c r="H1187" s="6">
        <f>F1187*G1187</f>
        <v/>
      </c>
      <c r="I1187">
        <f>_xlfn.XLOOKUP(A1187,MktTitle,MktCat,"n/a")</f>
        <v/>
      </c>
      <c r="J1187" s="3">
        <f>_xlfn.XLOOKUP(A1187,MktTitle,MktTotVol,0)</f>
        <v/>
      </c>
      <c r="K1187">
        <f>IF(H1187&gt;WhaleThreshold,"WHALE","")</f>
        <v/>
      </c>
    </row>
    <row r="1188">
      <c r="A1188" t="inlineStr">
        <is>
          <t>Will Croatia win the 2026 FIFA World Cup?</t>
        </is>
      </c>
      <c r="B1188" s="4" t="n">
        <v>46206</v>
      </c>
      <c r="C1188" s="5" t="n">
        <v>46206.01355324074</v>
      </c>
      <c r="D1188" t="inlineStr">
        <is>
          <t>BUY</t>
        </is>
      </c>
      <c r="E1188" t="inlineStr">
        <is>
          <t>Yes</t>
        </is>
      </c>
      <c r="F1188" s="2" t="n">
        <v>0.0078</v>
      </c>
      <c r="G1188" s="6" t="n">
        <v>256864.0075</v>
      </c>
      <c r="H1188" s="6">
        <f>F1188*G1188</f>
        <v/>
      </c>
      <c r="I1188">
        <f>_xlfn.XLOOKUP(A1188,MktTitle,MktCat,"n/a")</f>
        <v/>
      </c>
      <c r="J1188" s="3">
        <f>_xlfn.XLOOKUP(A1188,MktTitle,MktTotVol,0)</f>
        <v/>
      </c>
      <c r="K1188">
        <f>IF(H1188&gt;WhaleThreshold,"WHALE","")</f>
        <v/>
      </c>
    </row>
    <row r="1189">
      <c r="A1189" t="inlineStr">
        <is>
          <t>Will Croatia win the 2026 FIFA World Cup?</t>
        </is>
      </c>
      <c r="B1189" s="4" t="n">
        <v>46206</v>
      </c>
      <c r="C1189" s="5" t="n">
        <v>46206.01351851852</v>
      </c>
      <c r="D1189" t="inlineStr">
        <is>
          <t>SELL</t>
        </is>
      </c>
      <c r="E1189" t="inlineStr">
        <is>
          <t>No</t>
        </is>
      </c>
      <c r="F1189" s="2" t="n">
        <v>0.993</v>
      </c>
      <c r="G1189" s="6" t="n">
        <v>50</v>
      </c>
      <c r="H1189" s="6">
        <f>F1189*G1189</f>
        <v/>
      </c>
      <c r="I1189">
        <f>_xlfn.XLOOKUP(A1189,MktTitle,MktCat,"n/a")</f>
        <v/>
      </c>
      <c r="J1189" s="3">
        <f>_xlfn.XLOOKUP(A1189,MktTitle,MktTotVol,0)</f>
        <v/>
      </c>
      <c r="K1189">
        <f>IF(H1189&gt;WhaleThreshold,"WHALE","")</f>
        <v/>
      </c>
    </row>
    <row r="1190">
      <c r="A1190" t="inlineStr">
        <is>
          <t>Will Croatia win the 2026 FIFA World Cup?</t>
        </is>
      </c>
      <c r="B1190" s="4" t="n">
        <v>46206</v>
      </c>
      <c r="C1190" s="5" t="n">
        <v>46206.01320601852</v>
      </c>
      <c r="D1190" t="inlineStr">
        <is>
          <t>BUY</t>
        </is>
      </c>
      <c r="E1190" t="inlineStr">
        <is>
          <t>Yes</t>
        </is>
      </c>
      <c r="F1190" s="2" t="n">
        <v>0.007</v>
      </c>
      <c r="G1190" s="6" t="n">
        <v>142.8571</v>
      </c>
      <c r="H1190" s="6">
        <f>F1190*G1190</f>
        <v/>
      </c>
      <c r="I1190">
        <f>_xlfn.XLOOKUP(A1190,MktTitle,MktCat,"n/a")</f>
        <v/>
      </c>
      <c r="J1190" s="3">
        <f>_xlfn.XLOOKUP(A1190,MktTitle,MktTotVol,0)</f>
        <v/>
      </c>
      <c r="K1190">
        <f>IF(H1190&gt;WhaleThreshold,"WHALE","")</f>
        <v/>
      </c>
    </row>
    <row r="1191">
      <c r="A1191" t="inlineStr">
        <is>
          <t>Will Croatia win the 2026 FIFA World Cup?</t>
        </is>
      </c>
      <c r="B1191" s="4" t="n">
        <v>46206</v>
      </c>
      <c r="C1191" s="5" t="n">
        <v>46206.01273148148</v>
      </c>
      <c r="D1191" t="inlineStr">
        <is>
          <t>BUY</t>
        </is>
      </c>
      <c r="E1191" t="inlineStr">
        <is>
          <t>Yes</t>
        </is>
      </c>
      <c r="F1191" s="2" t="n">
        <v>0.007</v>
      </c>
      <c r="G1191" s="6" t="n">
        <v>142.8571</v>
      </c>
      <c r="H1191" s="6">
        <f>F1191*G1191</f>
        <v/>
      </c>
      <c r="I1191">
        <f>_xlfn.XLOOKUP(A1191,MktTitle,MktCat,"n/a")</f>
        <v/>
      </c>
      <c r="J1191" s="3">
        <f>_xlfn.XLOOKUP(A1191,MktTitle,MktTotVol,0)</f>
        <v/>
      </c>
      <c r="K1191">
        <f>IF(H1191&gt;WhaleThreshold,"WHALE","")</f>
        <v/>
      </c>
    </row>
    <row r="1192">
      <c r="A1192" t="inlineStr">
        <is>
          <t>Will Croatia win the 2026 FIFA World Cup?</t>
        </is>
      </c>
      <c r="B1192" s="4" t="n">
        <v>46206</v>
      </c>
      <c r="C1192" s="5" t="n">
        <v>46206.01273148148</v>
      </c>
      <c r="D1192" t="inlineStr">
        <is>
          <t>SELL</t>
        </is>
      </c>
      <c r="E1192" t="inlineStr">
        <is>
          <t>Yes</t>
        </is>
      </c>
      <c r="F1192" s="2" t="n">
        <v>0.006</v>
      </c>
      <c r="G1192" s="6" t="n">
        <v>200</v>
      </c>
      <c r="H1192" s="6">
        <f>F1192*G1192</f>
        <v/>
      </c>
      <c r="I1192">
        <f>_xlfn.XLOOKUP(A1192,MktTitle,MktCat,"n/a")</f>
        <v/>
      </c>
      <c r="J1192" s="3">
        <f>_xlfn.XLOOKUP(A1192,MktTitle,MktTotVol,0)</f>
        <v/>
      </c>
      <c r="K1192">
        <f>IF(H1192&gt;WhaleThreshold,"WHALE","")</f>
        <v/>
      </c>
    </row>
    <row r="1193">
      <c r="A1193" t="inlineStr">
        <is>
          <t>Will Croatia win the 2026 FIFA World Cup?</t>
        </is>
      </c>
      <c r="B1193" s="4" t="n">
        <v>46206</v>
      </c>
      <c r="C1193" s="5" t="n">
        <v>46206.01268518518</v>
      </c>
      <c r="D1193" t="inlineStr">
        <is>
          <t>BUY</t>
        </is>
      </c>
      <c r="E1193" t="inlineStr">
        <is>
          <t>Yes</t>
        </is>
      </c>
      <c r="F1193" s="2" t="n">
        <v>0.007</v>
      </c>
      <c r="G1193" s="6" t="n">
        <v>142.8571</v>
      </c>
      <c r="H1193" s="6">
        <f>F1193*G1193</f>
        <v/>
      </c>
      <c r="I1193">
        <f>_xlfn.XLOOKUP(A1193,MktTitle,MktCat,"n/a")</f>
        <v/>
      </c>
      <c r="J1193" s="3">
        <f>_xlfn.XLOOKUP(A1193,MktTitle,MktTotVol,0)</f>
        <v/>
      </c>
      <c r="K1193">
        <f>IF(H1193&gt;WhaleThreshold,"WHALE","")</f>
        <v/>
      </c>
    </row>
    <row r="1194">
      <c r="A1194" t="inlineStr">
        <is>
          <t>Will Croatia win the 2026 FIFA World Cup?</t>
        </is>
      </c>
      <c r="B1194" s="4" t="n">
        <v>46206</v>
      </c>
      <c r="C1194" s="5" t="n">
        <v>46206.01237268518</v>
      </c>
      <c r="D1194" t="inlineStr">
        <is>
          <t>BUY</t>
        </is>
      </c>
      <c r="E1194" t="inlineStr">
        <is>
          <t>Yes</t>
        </is>
      </c>
      <c r="F1194" s="2" t="n">
        <v>0.007</v>
      </c>
      <c r="G1194" s="6" t="n">
        <v>2550</v>
      </c>
      <c r="H1194" s="6">
        <f>F1194*G1194</f>
        <v/>
      </c>
      <c r="I1194">
        <f>_xlfn.XLOOKUP(A1194,MktTitle,MktCat,"n/a")</f>
        <v/>
      </c>
      <c r="J1194" s="3">
        <f>_xlfn.XLOOKUP(A1194,MktTitle,MktTotVol,0)</f>
        <v/>
      </c>
      <c r="K1194">
        <f>IF(H1194&gt;WhaleThreshold,"WHALE","")</f>
        <v/>
      </c>
    </row>
    <row r="1195">
      <c r="A1195" t="inlineStr">
        <is>
          <t>Will Croatia win the 2026 FIFA World Cup?</t>
        </is>
      </c>
      <c r="B1195" s="4" t="n">
        <v>46206</v>
      </c>
      <c r="C1195" s="5" t="n">
        <v>46206.01237268518</v>
      </c>
      <c r="D1195" t="inlineStr">
        <is>
          <t>BUY</t>
        </is>
      </c>
      <c r="E1195" t="inlineStr">
        <is>
          <t>Yes</t>
        </is>
      </c>
      <c r="F1195" s="2" t="n">
        <v>0.007</v>
      </c>
      <c r="G1195" s="6" t="n">
        <v>2857.1429</v>
      </c>
      <c r="H1195" s="6">
        <f>F1195*G1195</f>
        <v/>
      </c>
      <c r="I1195">
        <f>_xlfn.XLOOKUP(A1195,MktTitle,MktCat,"n/a")</f>
        <v/>
      </c>
      <c r="J1195" s="3">
        <f>_xlfn.XLOOKUP(A1195,MktTitle,MktTotVol,0)</f>
        <v/>
      </c>
      <c r="K1195">
        <f>IF(H1195&gt;WhaleThreshold,"WHALE","")</f>
        <v/>
      </c>
    </row>
    <row r="1196">
      <c r="A1196" t="inlineStr">
        <is>
          <t>Will Croatia win the 2026 FIFA World Cup?</t>
        </is>
      </c>
      <c r="B1196" s="4" t="n">
        <v>46206</v>
      </c>
      <c r="C1196" s="5" t="n">
        <v>46206.01219907407</v>
      </c>
      <c r="D1196" t="inlineStr">
        <is>
          <t>BUY</t>
        </is>
      </c>
      <c r="E1196" t="inlineStr">
        <is>
          <t>Yes</t>
        </is>
      </c>
      <c r="F1196" s="2" t="n">
        <v>0.006</v>
      </c>
      <c r="G1196" s="6" t="n">
        <v>33009.11</v>
      </c>
      <c r="H1196" s="6">
        <f>F1196*G1196</f>
        <v/>
      </c>
      <c r="I1196">
        <f>_xlfn.XLOOKUP(A1196,MktTitle,MktCat,"n/a")</f>
        <v/>
      </c>
      <c r="J1196" s="3">
        <f>_xlfn.XLOOKUP(A1196,MktTitle,MktTotVol,0)</f>
        <v/>
      </c>
      <c r="K1196">
        <f>IF(H1196&gt;WhaleThreshold,"WHALE","")</f>
        <v/>
      </c>
    </row>
    <row r="1197">
      <c r="A1197" t="inlineStr">
        <is>
          <t>Will Croatia win the 2026 FIFA World Cup?</t>
        </is>
      </c>
      <c r="B1197" s="4" t="n">
        <v>46206</v>
      </c>
      <c r="C1197" s="5" t="n">
        <v>46206.01216435185</v>
      </c>
      <c r="D1197" t="inlineStr">
        <is>
          <t>BUY</t>
        </is>
      </c>
      <c r="E1197" t="inlineStr">
        <is>
          <t>Yes</t>
        </is>
      </c>
      <c r="F1197" s="2" t="n">
        <v>0.006</v>
      </c>
      <c r="G1197" s="6" t="n">
        <v>996.63</v>
      </c>
      <c r="H1197" s="6">
        <f>F1197*G1197</f>
        <v/>
      </c>
      <c r="I1197">
        <f>_xlfn.XLOOKUP(A1197,MktTitle,MktCat,"n/a")</f>
        <v/>
      </c>
      <c r="J1197" s="3">
        <f>_xlfn.XLOOKUP(A1197,MktTitle,MktTotVol,0)</f>
        <v/>
      </c>
      <c r="K1197">
        <f>IF(H1197&gt;WhaleThreshold,"WHALE","")</f>
        <v/>
      </c>
    </row>
    <row r="1198">
      <c r="A1198" t="inlineStr">
        <is>
          <t>Will Croatia win the 2026 FIFA World Cup?</t>
        </is>
      </c>
      <c r="B1198" s="4" t="n">
        <v>46206</v>
      </c>
      <c r="C1198" s="5" t="n">
        <v>46206.0121412037</v>
      </c>
      <c r="D1198" t="inlineStr">
        <is>
          <t>BUY</t>
        </is>
      </c>
      <c r="E1198" t="inlineStr">
        <is>
          <t>Yes</t>
        </is>
      </c>
      <c r="F1198" s="2" t="n">
        <v>0.006</v>
      </c>
      <c r="G1198" s="6" t="n">
        <v>500</v>
      </c>
      <c r="H1198" s="6">
        <f>F1198*G1198</f>
        <v/>
      </c>
      <c r="I1198">
        <f>_xlfn.XLOOKUP(A1198,MktTitle,MktCat,"n/a")</f>
        <v/>
      </c>
      <c r="J1198" s="3">
        <f>_xlfn.XLOOKUP(A1198,MktTitle,MktTotVol,0)</f>
        <v/>
      </c>
      <c r="K1198">
        <f>IF(H1198&gt;WhaleThreshold,"WHALE","")</f>
        <v/>
      </c>
    </row>
    <row r="1199">
      <c r="A1199" t="inlineStr">
        <is>
          <t>Will Croatia win the 2026 FIFA World Cup?</t>
        </is>
      </c>
      <c r="B1199" s="4" t="n">
        <v>46206</v>
      </c>
      <c r="C1199" s="5" t="n">
        <v>46206.01206018519</v>
      </c>
      <c r="D1199" t="inlineStr">
        <is>
          <t>BUY</t>
        </is>
      </c>
      <c r="E1199" t="inlineStr">
        <is>
          <t>No</t>
        </is>
      </c>
      <c r="F1199" s="2" t="n">
        <v>0.995</v>
      </c>
      <c r="G1199" s="6" t="n">
        <v>17</v>
      </c>
      <c r="H1199" s="6">
        <f>F1199*G1199</f>
        <v/>
      </c>
      <c r="I1199">
        <f>_xlfn.XLOOKUP(A1199,MktTitle,MktCat,"n/a")</f>
        <v/>
      </c>
      <c r="J1199" s="3">
        <f>_xlfn.XLOOKUP(A1199,MktTitle,MktTotVol,0)</f>
        <v/>
      </c>
      <c r="K1199">
        <f>IF(H1199&gt;WhaleThreshold,"WHALE","")</f>
        <v/>
      </c>
    </row>
    <row r="1200">
      <c r="A1200" t="inlineStr">
        <is>
          <t>Will Croatia win the 2026 FIFA World Cup?</t>
        </is>
      </c>
      <c r="B1200" s="4" t="n">
        <v>46206</v>
      </c>
      <c r="C1200" s="5" t="n">
        <v>46206.0119675926</v>
      </c>
      <c r="D1200" t="inlineStr">
        <is>
          <t>BUY</t>
        </is>
      </c>
      <c r="E1200" t="inlineStr">
        <is>
          <t>Yes</t>
        </is>
      </c>
      <c r="F1200" s="2" t="n">
        <v>0.006</v>
      </c>
      <c r="G1200" s="6" t="n">
        <v>5000</v>
      </c>
      <c r="H1200" s="6">
        <f>F1200*G1200</f>
        <v/>
      </c>
      <c r="I1200">
        <f>_xlfn.XLOOKUP(A1200,MktTitle,MktCat,"n/a")</f>
        <v/>
      </c>
      <c r="J1200" s="3">
        <f>_xlfn.XLOOKUP(A1200,MktTitle,MktTotVol,0)</f>
        <v/>
      </c>
      <c r="K1200">
        <f>IF(H1200&gt;WhaleThreshold,"WHALE","")</f>
        <v/>
      </c>
    </row>
    <row r="1201">
      <c r="A1201" t="inlineStr">
        <is>
          <t>Will Croatia win the 2026 FIFA World Cup?</t>
        </is>
      </c>
      <c r="B1201" s="4" t="n">
        <v>46206</v>
      </c>
      <c r="C1201" s="5" t="n">
        <v>46206.0119675926</v>
      </c>
      <c r="D1201" t="inlineStr">
        <is>
          <t>BUY</t>
        </is>
      </c>
      <c r="E1201" t="inlineStr">
        <is>
          <t>Yes</t>
        </is>
      </c>
      <c r="F1201" s="2" t="n">
        <v>0.006</v>
      </c>
      <c r="G1201" s="6" t="n">
        <v>8333.3333</v>
      </c>
      <c r="H1201" s="6">
        <f>F1201*G1201</f>
        <v/>
      </c>
      <c r="I1201">
        <f>_xlfn.XLOOKUP(A1201,MktTitle,MktCat,"n/a")</f>
        <v/>
      </c>
      <c r="J1201" s="3">
        <f>_xlfn.XLOOKUP(A1201,MktTitle,MktTotVol,0)</f>
        <v/>
      </c>
      <c r="K1201">
        <f>IF(H1201&gt;WhaleThreshold,"WHALE","")</f>
        <v/>
      </c>
    </row>
    <row r="1202">
      <c r="A1202" t="inlineStr">
        <is>
          <t>Will Paraguay win the 2026 FIFA World Cup?</t>
        </is>
      </c>
      <c r="B1202" s="4" t="n">
        <v>46206</v>
      </c>
      <c r="C1202" s="5" t="n">
        <v>46206.07011574074</v>
      </c>
      <c r="D1202" t="inlineStr">
        <is>
          <t>BUY</t>
        </is>
      </c>
      <c r="E1202" t="inlineStr">
        <is>
          <t>Yes</t>
        </is>
      </c>
      <c r="F1202" s="2" t="n">
        <v>0.002</v>
      </c>
      <c r="G1202" s="6" t="n">
        <v>12050</v>
      </c>
      <c r="H1202" s="6">
        <f>F1202*G1202</f>
        <v/>
      </c>
      <c r="I1202">
        <f>_xlfn.XLOOKUP(A1202,MktTitle,MktCat,"n/a")</f>
        <v/>
      </c>
      <c r="J1202" s="3">
        <f>_xlfn.XLOOKUP(A1202,MktTitle,MktTotVol,0)</f>
        <v/>
      </c>
      <c r="K1202">
        <f>IF(H1202&gt;WhaleThreshold,"WHALE","")</f>
        <v/>
      </c>
    </row>
    <row r="1203">
      <c r="A1203" t="inlineStr">
        <is>
          <t>Will Paraguay win the 2026 FIFA World Cup?</t>
        </is>
      </c>
      <c r="B1203" s="4" t="n">
        <v>46206</v>
      </c>
      <c r="C1203" s="5" t="n">
        <v>46206.05675925926</v>
      </c>
      <c r="D1203" t="inlineStr">
        <is>
          <t>SELL</t>
        </is>
      </c>
      <c r="E1203" t="inlineStr">
        <is>
          <t>Yes</t>
        </is>
      </c>
      <c r="F1203" s="2" t="n">
        <v>0.0011</v>
      </c>
      <c r="G1203" s="6" t="n">
        <v>125000</v>
      </c>
      <c r="H1203" s="6">
        <f>F1203*G1203</f>
        <v/>
      </c>
      <c r="I1203">
        <f>_xlfn.XLOOKUP(A1203,MktTitle,MktCat,"n/a")</f>
        <v/>
      </c>
      <c r="J1203" s="3">
        <f>_xlfn.XLOOKUP(A1203,MktTitle,MktTotVol,0)</f>
        <v/>
      </c>
      <c r="K1203">
        <f>IF(H1203&gt;WhaleThreshold,"WHALE","")</f>
        <v/>
      </c>
    </row>
    <row r="1204">
      <c r="A1204" t="inlineStr">
        <is>
          <t>Will Paraguay win the 2026 FIFA World Cup?</t>
        </is>
      </c>
      <c r="B1204" s="4" t="n">
        <v>46206</v>
      </c>
      <c r="C1204" s="5" t="n">
        <v>46206.05596064815</v>
      </c>
      <c r="D1204" t="inlineStr">
        <is>
          <t>SELL</t>
        </is>
      </c>
      <c r="E1204" t="inlineStr">
        <is>
          <t>No</t>
        </is>
      </c>
      <c r="F1204" s="2" t="n">
        <v>0.997</v>
      </c>
      <c r="G1204" s="6" t="n">
        <v>55</v>
      </c>
      <c r="H1204" s="6">
        <f>F1204*G1204</f>
        <v/>
      </c>
      <c r="I1204">
        <f>_xlfn.XLOOKUP(A1204,MktTitle,MktCat,"n/a")</f>
        <v/>
      </c>
      <c r="J1204" s="3">
        <f>_xlfn.XLOOKUP(A1204,MktTitle,MktTotVol,0)</f>
        <v/>
      </c>
      <c r="K1204">
        <f>IF(H1204&gt;WhaleThreshold,"WHALE","")</f>
        <v/>
      </c>
    </row>
    <row r="1205">
      <c r="A1205" t="inlineStr">
        <is>
          <t>Will Paraguay win the 2026 FIFA World Cup?</t>
        </is>
      </c>
      <c r="B1205" s="4" t="n">
        <v>46206</v>
      </c>
      <c r="C1205" s="5" t="n">
        <v>46206.05491898148</v>
      </c>
      <c r="D1205" t="inlineStr">
        <is>
          <t>SELL</t>
        </is>
      </c>
      <c r="E1205" t="inlineStr">
        <is>
          <t>Yes</t>
        </is>
      </c>
      <c r="F1205" s="2" t="n">
        <v>0.002</v>
      </c>
      <c r="G1205" s="6" t="n">
        <v>5440</v>
      </c>
      <c r="H1205" s="6">
        <f>F1205*G1205</f>
        <v/>
      </c>
      <c r="I1205">
        <f>_xlfn.XLOOKUP(A1205,MktTitle,MktCat,"n/a")</f>
        <v/>
      </c>
      <c r="J1205" s="3">
        <f>_xlfn.XLOOKUP(A1205,MktTitle,MktTotVol,0)</f>
        <v/>
      </c>
      <c r="K1205">
        <f>IF(H1205&gt;WhaleThreshold,"WHALE","")</f>
        <v/>
      </c>
    </row>
    <row r="1206">
      <c r="A1206" t="inlineStr">
        <is>
          <t>Will Paraguay win the 2026 FIFA World Cup?</t>
        </is>
      </c>
      <c r="B1206" s="4" t="n">
        <v>46206</v>
      </c>
      <c r="C1206" s="5" t="n">
        <v>46206.0541087963</v>
      </c>
      <c r="D1206" t="inlineStr">
        <is>
          <t>SELL</t>
        </is>
      </c>
      <c r="E1206" t="inlineStr">
        <is>
          <t>No</t>
        </is>
      </c>
      <c r="F1206" s="2" t="n">
        <v>0.997</v>
      </c>
      <c r="G1206" s="6" t="n">
        <v>20.51</v>
      </c>
      <c r="H1206" s="6">
        <f>F1206*G1206</f>
        <v/>
      </c>
      <c r="I1206">
        <f>_xlfn.XLOOKUP(A1206,MktTitle,MktCat,"n/a")</f>
        <v/>
      </c>
      <c r="J1206" s="3">
        <f>_xlfn.XLOOKUP(A1206,MktTitle,MktTotVol,0)</f>
        <v/>
      </c>
      <c r="K1206">
        <f>IF(H1206&gt;WhaleThreshold,"WHALE","")</f>
        <v/>
      </c>
    </row>
    <row r="1207">
      <c r="A1207" t="inlineStr">
        <is>
          <t>Will Paraguay win the 2026 FIFA World Cup?</t>
        </is>
      </c>
      <c r="B1207" s="4" t="n">
        <v>46206</v>
      </c>
      <c r="C1207" s="5" t="n">
        <v>46206.0541087963</v>
      </c>
      <c r="D1207" t="inlineStr">
        <is>
          <t>SELL</t>
        </is>
      </c>
      <c r="E1207" t="inlineStr">
        <is>
          <t>No</t>
        </is>
      </c>
      <c r="F1207" s="2" t="n">
        <v>0.997</v>
      </c>
      <c r="G1207" s="6" t="n">
        <v>20.03</v>
      </c>
      <c r="H1207" s="6">
        <f>F1207*G1207</f>
        <v/>
      </c>
      <c r="I1207">
        <f>_xlfn.XLOOKUP(A1207,MktTitle,MktCat,"n/a")</f>
        <v/>
      </c>
      <c r="J1207" s="3">
        <f>_xlfn.XLOOKUP(A1207,MktTitle,MktTotVol,0)</f>
        <v/>
      </c>
      <c r="K1207">
        <f>IF(H1207&gt;WhaleThreshold,"WHALE","")</f>
        <v/>
      </c>
    </row>
    <row r="1208">
      <c r="A1208" t="inlineStr">
        <is>
          <t>Will Paraguay win the 2026 FIFA World Cup?</t>
        </is>
      </c>
      <c r="B1208" s="4" t="n">
        <v>46206</v>
      </c>
      <c r="C1208" s="5" t="n">
        <v>46206.0541087963</v>
      </c>
      <c r="D1208" t="inlineStr">
        <is>
          <t>SELL</t>
        </is>
      </c>
      <c r="E1208" t="inlineStr">
        <is>
          <t>No</t>
        </is>
      </c>
      <c r="F1208" s="2" t="n">
        <v>0.997</v>
      </c>
      <c r="G1208" s="6" t="n">
        <v>20.46</v>
      </c>
      <c r="H1208" s="6">
        <f>F1208*G1208</f>
        <v/>
      </c>
      <c r="I1208">
        <f>_xlfn.XLOOKUP(A1208,MktTitle,MktCat,"n/a")</f>
        <v/>
      </c>
      <c r="J1208" s="3">
        <f>_xlfn.XLOOKUP(A1208,MktTitle,MktTotVol,0)</f>
        <v/>
      </c>
      <c r="K1208">
        <f>IF(H1208&gt;WhaleThreshold,"WHALE","")</f>
        <v/>
      </c>
    </row>
    <row r="1209">
      <c r="A1209" t="inlineStr">
        <is>
          <t>Will Paraguay win the 2026 FIFA World Cup?</t>
        </is>
      </c>
      <c r="B1209" s="4" t="n">
        <v>46206</v>
      </c>
      <c r="C1209" s="5" t="n">
        <v>46206.0541087963</v>
      </c>
      <c r="D1209" t="inlineStr">
        <is>
          <t>SELL</t>
        </is>
      </c>
      <c r="E1209" t="inlineStr">
        <is>
          <t>No</t>
        </is>
      </c>
      <c r="F1209" s="2" t="n">
        <v>0.997</v>
      </c>
      <c r="G1209" s="6" t="n">
        <v>20.74</v>
      </c>
      <c r="H1209" s="6">
        <f>F1209*G1209</f>
        <v/>
      </c>
      <c r="I1209">
        <f>_xlfn.XLOOKUP(A1209,MktTitle,MktCat,"n/a")</f>
        <v/>
      </c>
      <c r="J1209" s="3">
        <f>_xlfn.XLOOKUP(A1209,MktTitle,MktTotVol,0)</f>
        <v/>
      </c>
      <c r="K1209">
        <f>IF(H1209&gt;WhaleThreshold,"WHALE","")</f>
        <v/>
      </c>
    </row>
    <row r="1210">
      <c r="A1210" t="inlineStr">
        <is>
          <t>Will Paraguay win the 2026 FIFA World Cup?</t>
        </is>
      </c>
      <c r="B1210" s="4" t="n">
        <v>46206</v>
      </c>
      <c r="C1210" s="5" t="n">
        <v>46206.0541087963</v>
      </c>
      <c r="D1210" t="inlineStr">
        <is>
          <t>SELL</t>
        </is>
      </c>
      <c r="E1210" t="inlineStr">
        <is>
          <t>No</t>
        </is>
      </c>
      <c r="F1210" s="2" t="n">
        <v>0.997</v>
      </c>
      <c r="G1210" s="6" t="n">
        <v>25.43</v>
      </c>
      <c r="H1210" s="6">
        <f>F1210*G1210</f>
        <v/>
      </c>
      <c r="I1210">
        <f>_xlfn.XLOOKUP(A1210,MktTitle,MktCat,"n/a")</f>
        <v/>
      </c>
      <c r="J1210" s="3">
        <f>_xlfn.XLOOKUP(A1210,MktTitle,MktTotVol,0)</f>
        <v/>
      </c>
      <c r="K1210">
        <f>IF(H1210&gt;WhaleThreshold,"WHALE","")</f>
        <v/>
      </c>
    </row>
    <row r="1211">
      <c r="A1211" t="inlineStr">
        <is>
          <t>Will Paraguay win the 2026 FIFA World Cup?</t>
        </is>
      </c>
      <c r="B1211" s="4" t="n">
        <v>46206</v>
      </c>
      <c r="C1211" s="5" t="n">
        <v>46206.0541087963</v>
      </c>
      <c r="D1211" t="inlineStr">
        <is>
          <t>SELL</t>
        </is>
      </c>
      <c r="E1211" t="inlineStr">
        <is>
          <t>No</t>
        </is>
      </c>
      <c r="F1211" s="2" t="n">
        <v>0.997</v>
      </c>
      <c r="G1211" s="6" t="n">
        <v>19.18</v>
      </c>
      <c r="H1211" s="6">
        <f>F1211*G1211</f>
        <v/>
      </c>
      <c r="I1211">
        <f>_xlfn.XLOOKUP(A1211,MktTitle,MktCat,"n/a")</f>
        <v/>
      </c>
      <c r="J1211" s="3">
        <f>_xlfn.XLOOKUP(A1211,MktTitle,MktTotVol,0)</f>
        <v/>
      </c>
      <c r="K1211">
        <f>IF(H1211&gt;WhaleThreshold,"WHALE","")</f>
        <v/>
      </c>
    </row>
    <row r="1212">
      <c r="A1212" t="inlineStr">
        <is>
          <t>Will Paraguay win the 2026 FIFA World Cup?</t>
        </is>
      </c>
      <c r="B1212" s="4" t="n">
        <v>46206</v>
      </c>
      <c r="C1212" s="5" t="n">
        <v>46206.05408564815</v>
      </c>
      <c r="D1212" t="inlineStr">
        <is>
          <t>SELL</t>
        </is>
      </c>
      <c r="E1212" t="inlineStr">
        <is>
          <t>No</t>
        </is>
      </c>
      <c r="F1212" s="2" t="n">
        <v>0.997</v>
      </c>
      <c r="G1212" s="6" t="n">
        <v>19.32</v>
      </c>
      <c r="H1212" s="6">
        <f>F1212*G1212</f>
        <v/>
      </c>
      <c r="I1212">
        <f>_xlfn.XLOOKUP(A1212,MktTitle,MktCat,"n/a")</f>
        <v/>
      </c>
      <c r="J1212" s="3">
        <f>_xlfn.XLOOKUP(A1212,MktTitle,MktTotVol,0)</f>
        <v/>
      </c>
      <c r="K1212">
        <f>IF(H1212&gt;WhaleThreshold,"WHALE","")</f>
        <v/>
      </c>
    </row>
    <row r="1213">
      <c r="A1213" t="inlineStr">
        <is>
          <t>Will Paraguay win the 2026 FIFA World Cup?</t>
        </is>
      </c>
      <c r="B1213" s="4" t="n">
        <v>46206</v>
      </c>
      <c r="C1213" s="5" t="n">
        <v>46206.05408564815</v>
      </c>
      <c r="D1213" t="inlineStr">
        <is>
          <t>SELL</t>
        </is>
      </c>
      <c r="E1213" t="inlineStr">
        <is>
          <t>No</t>
        </is>
      </c>
      <c r="F1213" s="2" t="n">
        <v>0.997</v>
      </c>
      <c r="G1213" s="6" t="n">
        <v>30.04</v>
      </c>
      <c r="H1213" s="6">
        <f>F1213*G1213</f>
        <v/>
      </c>
      <c r="I1213">
        <f>_xlfn.XLOOKUP(A1213,MktTitle,MktCat,"n/a")</f>
        <v/>
      </c>
      <c r="J1213" s="3">
        <f>_xlfn.XLOOKUP(A1213,MktTitle,MktTotVol,0)</f>
        <v/>
      </c>
      <c r="K1213">
        <f>IF(H1213&gt;WhaleThreshold,"WHALE","")</f>
        <v/>
      </c>
    </row>
    <row r="1214">
      <c r="A1214" t="inlineStr">
        <is>
          <t>Will Paraguay win the 2026 FIFA World Cup?</t>
        </is>
      </c>
      <c r="B1214" s="4" t="n">
        <v>46206</v>
      </c>
      <c r="C1214" s="5" t="n">
        <v>46206.05408564815</v>
      </c>
      <c r="D1214" t="inlineStr">
        <is>
          <t>SELL</t>
        </is>
      </c>
      <c r="E1214" t="inlineStr">
        <is>
          <t>No</t>
        </is>
      </c>
      <c r="F1214" s="2" t="n">
        <v>0.997</v>
      </c>
      <c r="G1214" s="6" t="n">
        <v>25.75</v>
      </c>
      <c r="H1214" s="6">
        <f>F1214*G1214</f>
        <v/>
      </c>
      <c r="I1214">
        <f>_xlfn.XLOOKUP(A1214,MktTitle,MktCat,"n/a")</f>
        <v/>
      </c>
      <c r="J1214" s="3">
        <f>_xlfn.XLOOKUP(A1214,MktTitle,MktTotVol,0)</f>
        <v/>
      </c>
      <c r="K1214">
        <f>IF(H1214&gt;WhaleThreshold,"WHALE","")</f>
        <v/>
      </c>
    </row>
    <row r="1215">
      <c r="A1215" t="inlineStr">
        <is>
          <t>Will Paraguay win the 2026 FIFA World Cup?</t>
        </is>
      </c>
      <c r="B1215" s="4" t="n">
        <v>46206</v>
      </c>
      <c r="C1215" s="5" t="n">
        <v>46206.05408564815</v>
      </c>
      <c r="D1215" t="inlineStr">
        <is>
          <t>SELL</t>
        </is>
      </c>
      <c r="E1215" t="inlineStr">
        <is>
          <t>No</t>
        </is>
      </c>
      <c r="F1215" s="2" t="n">
        <v>0.997</v>
      </c>
      <c r="G1215" s="6" t="n">
        <v>30.65</v>
      </c>
      <c r="H1215" s="6">
        <f>F1215*G1215</f>
        <v/>
      </c>
      <c r="I1215">
        <f>_xlfn.XLOOKUP(A1215,MktTitle,MktCat,"n/a")</f>
        <v/>
      </c>
      <c r="J1215" s="3">
        <f>_xlfn.XLOOKUP(A1215,MktTitle,MktTotVol,0)</f>
        <v/>
      </c>
      <c r="K1215">
        <f>IF(H1215&gt;WhaleThreshold,"WHALE","")</f>
        <v/>
      </c>
    </row>
    <row r="1216">
      <c r="A1216" t="inlineStr">
        <is>
          <t>Will Paraguay win the 2026 FIFA World Cup?</t>
        </is>
      </c>
      <c r="B1216" s="4" t="n">
        <v>46206</v>
      </c>
      <c r="C1216" s="5" t="n">
        <v>46206.05408564815</v>
      </c>
      <c r="D1216" t="inlineStr">
        <is>
          <t>SELL</t>
        </is>
      </c>
      <c r="E1216" t="inlineStr">
        <is>
          <t>No</t>
        </is>
      </c>
      <c r="F1216" s="2" t="n">
        <v>0.997</v>
      </c>
      <c r="G1216" s="6" t="n">
        <v>25.62</v>
      </c>
      <c r="H1216" s="6">
        <f>F1216*G1216</f>
        <v/>
      </c>
      <c r="I1216">
        <f>_xlfn.XLOOKUP(A1216,MktTitle,MktCat,"n/a")</f>
        <v/>
      </c>
      <c r="J1216" s="3">
        <f>_xlfn.XLOOKUP(A1216,MktTitle,MktTotVol,0)</f>
        <v/>
      </c>
      <c r="K1216">
        <f>IF(H1216&gt;WhaleThreshold,"WHALE","")</f>
        <v/>
      </c>
    </row>
    <row r="1217">
      <c r="A1217" t="inlineStr">
        <is>
          <t>Will Paraguay win the 2026 FIFA World Cup?</t>
        </is>
      </c>
      <c r="B1217" s="4" t="n">
        <v>46206</v>
      </c>
      <c r="C1217" s="5" t="n">
        <v>46206.05408564815</v>
      </c>
      <c r="D1217" t="inlineStr">
        <is>
          <t>SELL</t>
        </is>
      </c>
      <c r="E1217" t="inlineStr">
        <is>
          <t>No</t>
        </is>
      </c>
      <c r="F1217" s="2" t="n">
        <v>0.997</v>
      </c>
      <c r="G1217" s="6" t="n">
        <v>19.23</v>
      </c>
      <c r="H1217" s="6">
        <f>F1217*G1217</f>
        <v/>
      </c>
      <c r="I1217">
        <f>_xlfn.XLOOKUP(A1217,MktTitle,MktCat,"n/a")</f>
        <v/>
      </c>
      <c r="J1217" s="3">
        <f>_xlfn.XLOOKUP(A1217,MktTitle,MktTotVol,0)</f>
        <v/>
      </c>
      <c r="K1217">
        <f>IF(H1217&gt;WhaleThreshold,"WHALE","")</f>
        <v/>
      </c>
    </row>
    <row r="1218">
      <c r="A1218" t="inlineStr">
        <is>
          <t>Will Paraguay win the 2026 FIFA World Cup?</t>
        </is>
      </c>
      <c r="B1218" s="4" t="n">
        <v>46206</v>
      </c>
      <c r="C1218" s="5" t="n">
        <v>46206.05407407408</v>
      </c>
      <c r="D1218" t="inlineStr">
        <is>
          <t>BUY</t>
        </is>
      </c>
      <c r="E1218" t="inlineStr">
        <is>
          <t>Yes</t>
        </is>
      </c>
      <c r="F1218" s="2" t="n">
        <v>0.003</v>
      </c>
      <c r="G1218" s="6" t="n">
        <v>1666.6667</v>
      </c>
      <c r="H1218" s="6">
        <f>F1218*G1218</f>
        <v/>
      </c>
      <c r="I1218">
        <f>_xlfn.XLOOKUP(A1218,MktTitle,MktCat,"n/a")</f>
        <v/>
      </c>
      <c r="J1218" s="3">
        <f>_xlfn.XLOOKUP(A1218,MktTitle,MktTotVol,0)</f>
        <v/>
      </c>
      <c r="K1218">
        <f>IF(H1218&gt;WhaleThreshold,"WHALE","")</f>
        <v/>
      </c>
    </row>
    <row r="1219">
      <c r="A1219" t="inlineStr">
        <is>
          <t>Will Paraguay win the 2026 FIFA World Cup?</t>
        </is>
      </c>
      <c r="B1219" s="4" t="n">
        <v>46206</v>
      </c>
      <c r="C1219" s="5" t="n">
        <v>46206.04498842593</v>
      </c>
      <c r="D1219" t="inlineStr">
        <is>
          <t>BUY</t>
        </is>
      </c>
      <c r="E1219" t="inlineStr">
        <is>
          <t>No</t>
        </is>
      </c>
      <c r="F1219" s="2" t="n">
        <v>0.998</v>
      </c>
      <c r="G1219" s="6" t="n">
        <v>5</v>
      </c>
      <c r="H1219" s="6">
        <f>F1219*G1219</f>
        <v/>
      </c>
      <c r="I1219">
        <f>_xlfn.XLOOKUP(A1219,MktTitle,MktCat,"n/a")</f>
        <v/>
      </c>
      <c r="J1219" s="3">
        <f>_xlfn.XLOOKUP(A1219,MktTitle,MktTotVol,0)</f>
        <v/>
      </c>
      <c r="K1219">
        <f>IF(H1219&gt;WhaleThreshold,"WHALE","")</f>
        <v/>
      </c>
    </row>
    <row r="1220">
      <c r="A1220" t="inlineStr">
        <is>
          <t>Will Paraguay win the 2026 FIFA World Cup?</t>
        </is>
      </c>
      <c r="B1220" s="4" t="n">
        <v>46206</v>
      </c>
      <c r="C1220" s="5" t="n">
        <v>46206.04241898148</v>
      </c>
      <c r="D1220" t="inlineStr">
        <is>
          <t>SELL</t>
        </is>
      </c>
      <c r="E1220" t="inlineStr">
        <is>
          <t>Yes</t>
        </is>
      </c>
      <c r="F1220" s="2" t="n">
        <v>0.002</v>
      </c>
      <c r="G1220" s="6" t="n">
        <v>400</v>
      </c>
      <c r="H1220" s="6">
        <f>F1220*G1220</f>
        <v/>
      </c>
      <c r="I1220">
        <f>_xlfn.XLOOKUP(A1220,MktTitle,MktCat,"n/a")</f>
        <v/>
      </c>
      <c r="J1220" s="3">
        <f>_xlfn.XLOOKUP(A1220,MktTitle,MktTotVol,0)</f>
        <v/>
      </c>
      <c r="K1220">
        <f>IF(H1220&gt;WhaleThreshold,"WHALE","")</f>
        <v/>
      </c>
    </row>
    <row r="1221">
      <c r="A1221" t="inlineStr">
        <is>
          <t>Will Paraguay win the 2026 FIFA World Cup?</t>
        </is>
      </c>
      <c r="B1221" s="4" t="n">
        <v>46206</v>
      </c>
      <c r="C1221" s="5" t="n">
        <v>46206.04096064815</v>
      </c>
      <c r="D1221" t="inlineStr">
        <is>
          <t>SELL</t>
        </is>
      </c>
      <c r="E1221" t="inlineStr">
        <is>
          <t>Yes</t>
        </is>
      </c>
      <c r="F1221" s="2" t="n">
        <v>0.002</v>
      </c>
      <c r="G1221" s="6" t="n">
        <v>23333.33</v>
      </c>
      <c r="H1221" s="6">
        <f>F1221*G1221</f>
        <v/>
      </c>
      <c r="I1221">
        <f>_xlfn.XLOOKUP(A1221,MktTitle,MktCat,"n/a")</f>
        <v/>
      </c>
      <c r="J1221" s="3">
        <f>_xlfn.XLOOKUP(A1221,MktTitle,MktTotVol,0)</f>
        <v/>
      </c>
      <c r="K1221">
        <f>IF(H1221&gt;WhaleThreshold,"WHALE","")</f>
        <v/>
      </c>
    </row>
    <row r="1222">
      <c r="A1222" t="inlineStr">
        <is>
          <t>Will Paraguay win the 2026 FIFA World Cup?</t>
        </is>
      </c>
      <c r="B1222" s="4" t="n">
        <v>46206</v>
      </c>
      <c r="C1222" s="5" t="n">
        <v>46206.03994212963</v>
      </c>
      <c r="D1222" t="inlineStr">
        <is>
          <t>BUY</t>
        </is>
      </c>
      <c r="E1222" t="inlineStr">
        <is>
          <t>No</t>
        </is>
      </c>
      <c r="F1222" s="2" t="n">
        <v>0.998</v>
      </c>
      <c r="G1222" s="6" t="n">
        <v>30</v>
      </c>
      <c r="H1222" s="6">
        <f>F1222*G1222</f>
        <v/>
      </c>
      <c r="I1222">
        <f>_xlfn.XLOOKUP(A1222,MktTitle,MktCat,"n/a")</f>
        <v/>
      </c>
      <c r="J1222" s="3">
        <f>_xlfn.XLOOKUP(A1222,MktTitle,MktTotVol,0)</f>
        <v/>
      </c>
      <c r="K1222">
        <f>IF(H1222&gt;WhaleThreshold,"WHALE","")</f>
        <v/>
      </c>
    </row>
    <row r="1223">
      <c r="A1223" t="inlineStr">
        <is>
          <t>Will Paraguay win the 2026 FIFA World Cup?</t>
        </is>
      </c>
      <c r="B1223" s="4" t="n">
        <v>46206</v>
      </c>
      <c r="C1223" s="5" t="n">
        <v>46206.03994212963</v>
      </c>
      <c r="D1223" t="inlineStr">
        <is>
          <t>SELL</t>
        </is>
      </c>
      <c r="E1223" t="inlineStr">
        <is>
          <t>Yes</t>
        </is>
      </c>
      <c r="F1223" s="2" t="n">
        <v>0.002</v>
      </c>
      <c r="G1223" s="6" t="n">
        <v>50</v>
      </c>
      <c r="H1223" s="6">
        <f>F1223*G1223</f>
        <v/>
      </c>
      <c r="I1223">
        <f>_xlfn.XLOOKUP(A1223,MktTitle,MktCat,"n/a")</f>
        <v/>
      </c>
      <c r="J1223" s="3">
        <f>_xlfn.XLOOKUP(A1223,MktTitle,MktTotVol,0)</f>
        <v/>
      </c>
      <c r="K1223">
        <f>IF(H1223&gt;WhaleThreshold,"WHALE","")</f>
        <v/>
      </c>
    </row>
    <row r="1224">
      <c r="A1224" t="inlineStr">
        <is>
          <t>Will Paraguay win the 2026 FIFA World Cup?</t>
        </is>
      </c>
      <c r="B1224" s="4" t="n">
        <v>46206</v>
      </c>
      <c r="C1224" s="5" t="n">
        <v>46206.03626157407</v>
      </c>
      <c r="D1224" t="inlineStr">
        <is>
          <t>SELL</t>
        </is>
      </c>
      <c r="E1224" t="inlineStr">
        <is>
          <t>No</t>
        </is>
      </c>
      <c r="F1224" s="2" t="n">
        <v>0.997</v>
      </c>
      <c r="G1224" s="6" t="n">
        <v>0.19</v>
      </c>
      <c r="H1224" s="6">
        <f>F1224*G1224</f>
        <v/>
      </c>
      <c r="I1224">
        <f>_xlfn.XLOOKUP(A1224,MktTitle,MktCat,"n/a")</f>
        <v/>
      </c>
      <c r="J1224" s="3">
        <f>_xlfn.XLOOKUP(A1224,MktTitle,MktTotVol,0)</f>
        <v/>
      </c>
      <c r="K1224">
        <f>IF(H1224&gt;WhaleThreshold,"WHALE","")</f>
        <v/>
      </c>
    </row>
    <row r="1225">
      <c r="A1225" t="inlineStr">
        <is>
          <t>Will Paraguay win the 2026 FIFA World Cup?</t>
        </is>
      </c>
      <c r="B1225" s="4" t="n">
        <v>46206</v>
      </c>
      <c r="C1225" s="5" t="n">
        <v>46206.03346064815</v>
      </c>
      <c r="D1225" t="inlineStr">
        <is>
          <t>SELL</t>
        </is>
      </c>
      <c r="E1225" t="inlineStr">
        <is>
          <t>No</t>
        </is>
      </c>
      <c r="F1225" s="2" t="n">
        <v>0.996</v>
      </c>
      <c r="G1225" s="6" t="n">
        <v>0.48</v>
      </c>
      <c r="H1225" s="6">
        <f>F1225*G1225</f>
        <v/>
      </c>
      <c r="I1225">
        <f>_xlfn.XLOOKUP(A1225,MktTitle,MktCat,"n/a")</f>
        <v/>
      </c>
      <c r="J1225" s="3">
        <f>_xlfn.XLOOKUP(A1225,MktTitle,MktTotVol,0)</f>
        <v/>
      </c>
      <c r="K1225">
        <f>IF(H1225&gt;WhaleThreshold,"WHALE","")</f>
        <v/>
      </c>
    </row>
    <row r="1226">
      <c r="A1226" t="inlineStr">
        <is>
          <t>Will Paraguay win the 2026 FIFA World Cup?</t>
        </is>
      </c>
      <c r="B1226" s="4" t="n">
        <v>46206</v>
      </c>
      <c r="C1226" s="5" t="n">
        <v>46206.03325231482</v>
      </c>
      <c r="D1226" t="inlineStr">
        <is>
          <t>SELL</t>
        </is>
      </c>
      <c r="E1226" t="inlineStr">
        <is>
          <t>No</t>
        </is>
      </c>
      <c r="F1226" s="2" t="n">
        <v>0.996</v>
      </c>
      <c r="G1226" s="6" t="n">
        <v>0.48</v>
      </c>
      <c r="H1226" s="6">
        <f>F1226*G1226</f>
        <v/>
      </c>
      <c r="I1226">
        <f>_xlfn.XLOOKUP(A1226,MktTitle,MktCat,"n/a")</f>
        <v/>
      </c>
      <c r="J1226" s="3">
        <f>_xlfn.XLOOKUP(A1226,MktTitle,MktTotVol,0)</f>
        <v/>
      </c>
      <c r="K1226">
        <f>IF(H1226&gt;WhaleThreshold,"WHALE","")</f>
        <v/>
      </c>
    </row>
    <row r="1227">
      <c r="A1227" t="inlineStr">
        <is>
          <t>Will Paraguay win the 2026 FIFA World Cup?</t>
        </is>
      </c>
      <c r="B1227" s="4" t="n">
        <v>46206</v>
      </c>
      <c r="C1227" s="5" t="n">
        <v>46206.03311342592</v>
      </c>
      <c r="D1227" t="inlineStr">
        <is>
          <t>SELL</t>
        </is>
      </c>
      <c r="E1227" t="inlineStr">
        <is>
          <t>No</t>
        </is>
      </c>
      <c r="F1227" s="2" t="n">
        <v>0.996</v>
      </c>
      <c r="G1227" s="6" t="n">
        <v>0.48</v>
      </c>
      <c r="H1227" s="6">
        <f>F1227*G1227</f>
        <v/>
      </c>
      <c r="I1227">
        <f>_xlfn.XLOOKUP(A1227,MktTitle,MktCat,"n/a")</f>
        <v/>
      </c>
      <c r="J1227" s="3">
        <f>_xlfn.XLOOKUP(A1227,MktTitle,MktTotVol,0)</f>
        <v/>
      </c>
      <c r="K1227">
        <f>IF(H1227&gt;WhaleThreshold,"WHALE","")</f>
        <v/>
      </c>
    </row>
    <row r="1228">
      <c r="A1228" t="inlineStr">
        <is>
          <t>Will Paraguay win the 2026 FIFA World Cup?</t>
        </is>
      </c>
      <c r="B1228" s="4" t="n">
        <v>46206</v>
      </c>
      <c r="C1228" s="5" t="n">
        <v>46206.03297453704</v>
      </c>
      <c r="D1228" t="inlineStr">
        <is>
          <t>SELL</t>
        </is>
      </c>
      <c r="E1228" t="inlineStr">
        <is>
          <t>No</t>
        </is>
      </c>
      <c r="F1228" s="2" t="n">
        <v>0.996</v>
      </c>
      <c r="G1228" s="6" t="n">
        <v>0.48</v>
      </c>
      <c r="H1228" s="6">
        <f>F1228*G1228</f>
        <v/>
      </c>
      <c r="I1228">
        <f>_xlfn.XLOOKUP(A1228,MktTitle,MktCat,"n/a")</f>
        <v/>
      </c>
      <c r="J1228" s="3">
        <f>_xlfn.XLOOKUP(A1228,MktTitle,MktTotVol,0)</f>
        <v/>
      </c>
      <c r="K1228">
        <f>IF(H1228&gt;WhaleThreshold,"WHALE","")</f>
        <v/>
      </c>
    </row>
    <row r="1229">
      <c r="A1229" t="inlineStr">
        <is>
          <t>Will Paraguay win the 2026 FIFA World Cup?</t>
        </is>
      </c>
      <c r="B1229" s="4" t="n">
        <v>46206</v>
      </c>
      <c r="C1229" s="5" t="n">
        <v>46206.03283564815</v>
      </c>
      <c r="D1229" t="inlineStr">
        <is>
          <t>SELL</t>
        </is>
      </c>
      <c r="E1229" t="inlineStr">
        <is>
          <t>No</t>
        </is>
      </c>
      <c r="F1229" s="2" t="n">
        <v>0.996</v>
      </c>
      <c r="G1229" s="6" t="n">
        <v>0.48</v>
      </c>
      <c r="H1229" s="6">
        <f>F1229*G1229</f>
        <v/>
      </c>
      <c r="I1229">
        <f>_xlfn.XLOOKUP(A1229,MktTitle,MktCat,"n/a")</f>
        <v/>
      </c>
      <c r="J1229" s="3">
        <f>_xlfn.XLOOKUP(A1229,MktTitle,MktTotVol,0)</f>
        <v/>
      </c>
      <c r="K1229">
        <f>IF(H1229&gt;WhaleThreshold,"WHALE","")</f>
        <v/>
      </c>
    </row>
    <row r="1230">
      <c r="A1230" t="inlineStr">
        <is>
          <t>Will Paraguay win the 2026 FIFA World Cup?</t>
        </is>
      </c>
      <c r="B1230" s="4" t="n">
        <v>46206</v>
      </c>
      <c r="C1230" s="5" t="n">
        <v>46206.03278935186</v>
      </c>
      <c r="D1230" t="inlineStr">
        <is>
          <t>SELL</t>
        </is>
      </c>
      <c r="E1230" t="inlineStr">
        <is>
          <t>Yes</t>
        </is>
      </c>
      <c r="F1230" s="2" t="n">
        <v>0.002</v>
      </c>
      <c r="G1230" s="6" t="n">
        <v>164.06</v>
      </c>
      <c r="H1230" s="6">
        <f>F1230*G1230</f>
        <v/>
      </c>
      <c r="I1230">
        <f>_xlfn.XLOOKUP(A1230,MktTitle,MktCat,"n/a")</f>
        <v/>
      </c>
      <c r="J1230" s="3">
        <f>_xlfn.XLOOKUP(A1230,MktTitle,MktTotVol,0)</f>
        <v/>
      </c>
      <c r="K1230">
        <f>IF(H1230&gt;WhaleThreshold,"WHALE","")</f>
        <v/>
      </c>
    </row>
    <row r="1231">
      <c r="A1231" t="inlineStr">
        <is>
          <t>Will Paraguay win the 2026 FIFA World Cup?</t>
        </is>
      </c>
      <c r="B1231" s="4" t="n">
        <v>46206</v>
      </c>
      <c r="C1231" s="5" t="n">
        <v>46206.03271990741</v>
      </c>
      <c r="D1231" t="inlineStr">
        <is>
          <t>SELL</t>
        </is>
      </c>
      <c r="E1231" t="inlineStr">
        <is>
          <t>No</t>
        </is>
      </c>
      <c r="F1231" s="2" t="n">
        <v>0.996</v>
      </c>
      <c r="G1231" s="6" t="n">
        <v>20.05</v>
      </c>
      <c r="H1231" s="6">
        <f>F1231*G1231</f>
        <v/>
      </c>
      <c r="I1231">
        <f>_xlfn.XLOOKUP(A1231,MktTitle,MktCat,"n/a")</f>
        <v/>
      </c>
      <c r="J1231" s="3">
        <f>_xlfn.XLOOKUP(A1231,MktTitle,MktTotVol,0)</f>
        <v/>
      </c>
      <c r="K1231">
        <f>IF(H1231&gt;WhaleThreshold,"WHALE","")</f>
        <v/>
      </c>
    </row>
    <row r="1232">
      <c r="A1232" t="inlineStr">
        <is>
          <t>Will Paraguay win the 2026 FIFA World Cup?</t>
        </is>
      </c>
      <c r="B1232" s="4" t="n">
        <v>46206</v>
      </c>
      <c r="C1232" s="5" t="n">
        <v>46206.03269675926</v>
      </c>
      <c r="D1232" t="inlineStr">
        <is>
          <t>SELL</t>
        </is>
      </c>
      <c r="E1232" t="inlineStr">
        <is>
          <t>No</t>
        </is>
      </c>
      <c r="F1232" s="2" t="n">
        <v>0.996</v>
      </c>
      <c r="G1232" s="6" t="n">
        <v>19.25</v>
      </c>
      <c r="H1232" s="6">
        <f>F1232*G1232</f>
        <v/>
      </c>
      <c r="I1232">
        <f>_xlfn.XLOOKUP(A1232,MktTitle,MktCat,"n/a")</f>
        <v/>
      </c>
      <c r="J1232" s="3">
        <f>_xlfn.XLOOKUP(A1232,MktTitle,MktTotVol,0)</f>
        <v/>
      </c>
      <c r="K1232">
        <f>IF(H1232&gt;WhaleThreshold,"WHALE","")</f>
        <v/>
      </c>
    </row>
    <row r="1233">
      <c r="A1233" t="inlineStr">
        <is>
          <t>Will Paraguay win the 2026 FIFA World Cup?</t>
        </is>
      </c>
      <c r="B1233" s="4" t="n">
        <v>46206</v>
      </c>
      <c r="C1233" s="5" t="n">
        <v>46206.03266203704</v>
      </c>
      <c r="D1233" t="inlineStr">
        <is>
          <t>SELL</t>
        </is>
      </c>
      <c r="E1233" t="inlineStr">
        <is>
          <t>No</t>
        </is>
      </c>
      <c r="F1233" s="2" t="n">
        <v>0.996</v>
      </c>
      <c r="G1233" s="6" t="n">
        <v>20.42</v>
      </c>
      <c r="H1233" s="6">
        <f>F1233*G1233</f>
        <v/>
      </c>
      <c r="I1233">
        <f>_xlfn.XLOOKUP(A1233,MktTitle,MktCat,"n/a")</f>
        <v/>
      </c>
      <c r="J1233" s="3">
        <f>_xlfn.XLOOKUP(A1233,MktTitle,MktTotVol,0)</f>
        <v/>
      </c>
      <c r="K1233">
        <f>IF(H1233&gt;WhaleThreshold,"WHALE","")</f>
        <v/>
      </c>
    </row>
    <row r="1234">
      <c r="A1234" t="inlineStr">
        <is>
          <t>Will Paraguay win the 2026 FIFA World Cup?</t>
        </is>
      </c>
      <c r="B1234" s="4" t="n">
        <v>46206</v>
      </c>
      <c r="C1234" s="5" t="n">
        <v>46206.03265046296</v>
      </c>
      <c r="D1234" t="inlineStr">
        <is>
          <t>SELL</t>
        </is>
      </c>
      <c r="E1234" t="inlineStr">
        <is>
          <t>No</t>
        </is>
      </c>
      <c r="F1234" s="2" t="n">
        <v>0.996</v>
      </c>
      <c r="G1234" s="6" t="n">
        <v>20.48</v>
      </c>
      <c r="H1234" s="6">
        <f>F1234*G1234</f>
        <v/>
      </c>
      <c r="I1234">
        <f>_xlfn.XLOOKUP(A1234,MktTitle,MktCat,"n/a")</f>
        <v/>
      </c>
      <c r="J1234" s="3">
        <f>_xlfn.XLOOKUP(A1234,MktTitle,MktTotVol,0)</f>
        <v/>
      </c>
      <c r="K1234">
        <f>IF(H1234&gt;WhaleThreshold,"WHALE","")</f>
        <v/>
      </c>
    </row>
    <row r="1235">
      <c r="A1235" t="inlineStr">
        <is>
          <t>Will Paraguay win the 2026 FIFA World Cup?</t>
        </is>
      </c>
      <c r="B1235" s="4" t="n">
        <v>46206</v>
      </c>
      <c r="C1235" s="5" t="n">
        <v>46206.03262731482</v>
      </c>
      <c r="D1235" t="inlineStr">
        <is>
          <t>SELL</t>
        </is>
      </c>
      <c r="E1235" t="inlineStr">
        <is>
          <t>No</t>
        </is>
      </c>
      <c r="F1235" s="2" t="n">
        <v>0.996</v>
      </c>
      <c r="G1235" s="6" t="n">
        <v>25.4</v>
      </c>
      <c r="H1235" s="6">
        <f>F1235*G1235</f>
        <v/>
      </c>
      <c r="I1235">
        <f>_xlfn.XLOOKUP(A1235,MktTitle,MktCat,"n/a")</f>
        <v/>
      </c>
      <c r="J1235" s="3">
        <f>_xlfn.XLOOKUP(A1235,MktTitle,MktTotVol,0)</f>
        <v/>
      </c>
      <c r="K1235">
        <f>IF(H1235&gt;WhaleThreshold,"WHALE","")</f>
        <v/>
      </c>
    </row>
    <row r="1236">
      <c r="A1236" t="inlineStr">
        <is>
          <t>Will Paraguay win the 2026 FIFA World Cup?</t>
        </is>
      </c>
      <c r="B1236" s="4" t="n">
        <v>46206</v>
      </c>
      <c r="C1236" s="5" t="n">
        <v>46206.0324537037</v>
      </c>
      <c r="D1236" t="inlineStr">
        <is>
          <t>SELL</t>
        </is>
      </c>
      <c r="E1236" t="inlineStr">
        <is>
          <t>Yes</t>
        </is>
      </c>
      <c r="F1236" s="2" t="n">
        <v>0.001</v>
      </c>
      <c r="G1236" s="6" t="n">
        <v>2621.81</v>
      </c>
      <c r="H1236" s="6">
        <f>F1236*G1236</f>
        <v/>
      </c>
      <c r="I1236">
        <f>_xlfn.XLOOKUP(A1236,MktTitle,MktCat,"n/a")</f>
        <v/>
      </c>
      <c r="J1236" s="3">
        <f>_xlfn.XLOOKUP(A1236,MktTitle,MktTotVol,0)</f>
        <v/>
      </c>
      <c r="K1236">
        <f>IF(H1236&gt;WhaleThreshold,"WHALE","")</f>
        <v/>
      </c>
    </row>
    <row r="1237">
      <c r="A1237" t="inlineStr">
        <is>
          <t>Will Paraguay win the 2026 FIFA World Cup?</t>
        </is>
      </c>
      <c r="B1237" s="4" t="n">
        <v>46206</v>
      </c>
      <c r="C1237" s="5" t="n">
        <v>46206.0324537037</v>
      </c>
      <c r="D1237" t="inlineStr">
        <is>
          <t>BUY</t>
        </is>
      </c>
      <c r="E1237" t="inlineStr">
        <is>
          <t>Yes</t>
        </is>
      </c>
      <c r="F1237" s="2" t="n">
        <v>0.0049</v>
      </c>
      <c r="G1237" s="6" t="n">
        <v>720452.486</v>
      </c>
      <c r="H1237" s="6">
        <f>F1237*G1237</f>
        <v/>
      </c>
      <c r="I1237">
        <f>_xlfn.XLOOKUP(A1237,MktTitle,MktCat,"n/a")</f>
        <v/>
      </c>
      <c r="J1237" s="3">
        <f>_xlfn.XLOOKUP(A1237,MktTitle,MktTotVol,0)</f>
        <v/>
      </c>
      <c r="K1237">
        <f>IF(H1237&gt;WhaleThreshold,"WHALE","")</f>
        <v/>
      </c>
    </row>
    <row r="1238">
      <c r="A1238" t="inlineStr">
        <is>
          <t>Will Paraguay win the 2026 FIFA World Cup?</t>
        </is>
      </c>
      <c r="B1238" s="4" t="n">
        <v>46206</v>
      </c>
      <c r="C1238" s="5" t="n">
        <v>46206.0324537037</v>
      </c>
      <c r="D1238" t="inlineStr">
        <is>
          <t>BUY</t>
        </is>
      </c>
      <c r="E1238" t="inlineStr">
        <is>
          <t>Yes</t>
        </is>
      </c>
      <c r="F1238" s="2" t="n">
        <v>0.0034</v>
      </c>
      <c r="G1238" s="6" t="n">
        <v>776733.46</v>
      </c>
      <c r="H1238" s="6">
        <f>F1238*G1238</f>
        <v/>
      </c>
      <c r="I1238">
        <f>_xlfn.XLOOKUP(A1238,MktTitle,MktCat,"n/a")</f>
        <v/>
      </c>
      <c r="J1238" s="3">
        <f>_xlfn.XLOOKUP(A1238,MktTitle,MktTotVol,0)</f>
        <v/>
      </c>
      <c r="K1238">
        <f>IF(H1238&gt;WhaleThreshold,"WHALE","")</f>
        <v/>
      </c>
    </row>
    <row r="1239">
      <c r="A1239" t="inlineStr">
        <is>
          <t>Will Paraguay win the 2026 FIFA World Cup?</t>
        </is>
      </c>
      <c r="B1239" s="4" t="n">
        <v>46206</v>
      </c>
      <c r="C1239" s="5" t="n">
        <v>46206.0324537037</v>
      </c>
      <c r="D1239" t="inlineStr">
        <is>
          <t>BUY</t>
        </is>
      </c>
      <c r="E1239" t="inlineStr">
        <is>
          <t>Yes</t>
        </is>
      </c>
      <c r="F1239" s="2" t="n">
        <v>0.002</v>
      </c>
      <c r="G1239" s="6" t="n">
        <v>513481.82</v>
      </c>
      <c r="H1239" s="6">
        <f>F1239*G1239</f>
        <v/>
      </c>
      <c r="I1239">
        <f>_xlfn.XLOOKUP(A1239,MktTitle,MktCat,"n/a")</f>
        <v/>
      </c>
      <c r="J1239" s="3">
        <f>_xlfn.XLOOKUP(A1239,MktTitle,MktTotVol,0)</f>
        <v/>
      </c>
      <c r="K1239">
        <f>IF(H1239&gt;WhaleThreshold,"WHALE","")</f>
        <v/>
      </c>
    </row>
    <row r="1240">
      <c r="A1240" t="inlineStr">
        <is>
          <t>Will Paraguay win the 2026 FIFA World Cup?</t>
        </is>
      </c>
      <c r="B1240" s="4" t="n">
        <v>46206</v>
      </c>
      <c r="C1240" s="5" t="n">
        <v>46206.0324537037</v>
      </c>
      <c r="D1240" t="inlineStr">
        <is>
          <t>BUY</t>
        </is>
      </c>
      <c r="E1240" t="inlineStr">
        <is>
          <t>Yes</t>
        </is>
      </c>
      <c r="F1240" s="2" t="n">
        <v>0.002</v>
      </c>
      <c r="G1240" s="6" t="n">
        <v>1903071.02</v>
      </c>
      <c r="H1240" s="6">
        <f>F1240*G1240</f>
        <v/>
      </c>
      <c r="I1240">
        <f>_xlfn.XLOOKUP(A1240,MktTitle,MktCat,"n/a")</f>
        <v/>
      </c>
      <c r="J1240" s="3">
        <f>_xlfn.XLOOKUP(A1240,MktTitle,MktTotVol,0)</f>
        <v/>
      </c>
      <c r="K1240">
        <f>IF(H1240&gt;WhaleThreshold,"WHALE","")</f>
        <v/>
      </c>
    </row>
    <row r="1241">
      <c r="A1241" t="inlineStr">
        <is>
          <t>Will Paraguay win the 2026 FIFA World Cup?</t>
        </is>
      </c>
      <c r="B1241" s="4" t="n">
        <v>46206</v>
      </c>
      <c r="C1241" s="5" t="n">
        <v>46206.0324537037</v>
      </c>
      <c r="D1241" t="inlineStr">
        <is>
          <t>BUY</t>
        </is>
      </c>
      <c r="E1241" t="inlineStr">
        <is>
          <t>Yes</t>
        </is>
      </c>
      <c r="F1241" s="2" t="n">
        <v>0.002</v>
      </c>
      <c r="G1241" s="6" t="n">
        <v>637535.01</v>
      </c>
      <c r="H1241" s="6">
        <f>F1241*G1241</f>
        <v/>
      </c>
      <c r="I1241">
        <f>_xlfn.XLOOKUP(A1241,MktTitle,MktCat,"n/a")</f>
        <v/>
      </c>
      <c r="J1241" s="3">
        <f>_xlfn.XLOOKUP(A1241,MktTitle,MktTotVol,0)</f>
        <v/>
      </c>
      <c r="K1241">
        <f>IF(H1241&gt;WhaleThreshold,"WHALE","")</f>
        <v/>
      </c>
    </row>
    <row r="1242">
      <c r="A1242" t="inlineStr">
        <is>
          <t>Will Paraguay win the 2026 FIFA World Cup?</t>
        </is>
      </c>
      <c r="B1242" s="4" t="n">
        <v>46206</v>
      </c>
      <c r="C1242" s="5" t="n">
        <v>46206.0324537037</v>
      </c>
      <c r="D1242" t="inlineStr">
        <is>
          <t>BUY</t>
        </is>
      </c>
      <c r="E1242" t="inlineStr">
        <is>
          <t>Yes</t>
        </is>
      </c>
      <c r="F1242" s="2" t="n">
        <v>0.002</v>
      </c>
      <c r="G1242" s="6" t="n">
        <v>1345068.25</v>
      </c>
      <c r="H1242" s="6">
        <f>F1242*G1242</f>
        <v/>
      </c>
      <c r="I1242">
        <f>_xlfn.XLOOKUP(A1242,MktTitle,MktCat,"n/a")</f>
        <v/>
      </c>
      <c r="J1242" s="3">
        <f>_xlfn.XLOOKUP(A1242,MktTitle,MktTotVol,0)</f>
        <v/>
      </c>
      <c r="K1242">
        <f>IF(H1242&gt;WhaleThreshold,"WHALE","")</f>
        <v/>
      </c>
    </row>
    <row r="1243">
      <c r="A1243" t="inlineStr">
        <is>
          <t>Will Paraguay win the 2026 FIFA World Cup?</t>
        </is>
      </c>
      <c r="B1243" s="4" t="n">
        <v>46206</v>
      </c>
      <c r="C1243" s="5" t="n">
        <v>46206.03053240741</v>
      </c>
      <c r="D1243" t="inlineStr">
        <is>
          <t>SELL</t>
        </is>
      </c>
      <c r="E1243" t="inlineStr">
        <is>
          <t>No</t>
        </is>
      </c>
      <c r="F1243" s="2" t="n">
        <v>0.998</v>
      </c>
      <c r="G1243" s="6" t="n">
        <v>0.17</v>
      </c>
      <c r="H1243" s="6">
        <f>F1243*G1243</f>
        <v/>
      </c>
      <c r="I1243">
        <f>_xlfn.XLOOKUP(A1243,MktTitle,MktCat,"n/a")</f>
        <v/>
      </c>
      <c r="J1243" s="3">
        <f>_xlfn.XLOOKUP(A1243,MktTitle,MktTotVol,0)</f>
        <v/>
      </c>
      <c r="K1243">
        <f>IF(H1243&gt;WhaleThreshold,"WHALE","")</f>
        <v/>
      </c>
    </row>
    <row r="1244">
      <c r="A1244" t="inlineStr">
        <is>
          <t>Will Paraguay win the 2026 FIFA World Cup?</t>
        </is>
      </c>
      <c r="B1244" s="4" t="n">
        <v>46206</v>
      </c>
      <c r="C1244" s="5" t="n">
        <v>46206.03040509259</v>
      </c>
      <c r="D1244" t="inlineStr">
        <is>
          <t>SELL</t>
        </is>
      </c>
      <c r="E1244" t="inlineStr">
        <is>
          <t>No</t>
        </is>
      </c>
      <c r="F1244" s="2" t="n">
        <v>0.998</v>
      </c>
      <c r="G1244" s="6" t="n">
        <v>1.99</v>
      </c>
      <c r="H1244" s="6">
        <f>F1244*G1244</f>
        <v/>
      </c>
      <c r="I1244">
        <f>_xlfn.XLOOKUP(A1244,MktTitle,MktCat,"n/a")</f>
        <v/>
      </c>
      <c r="J1244" s="3">
        <f>_xlfn.XLOOKUP(A1244,MktTitle,MktTotVol,0)</f>
        <v/>
      </c>
      <c r="K1244">
        <f>IF(H1244&gt;WhaleThreshold,"WHALE","")</f>
        <v/>
      </c>
    </row>
    <row r="1245">
      <c r="A1245" t="inlineStr">
        <is>
          <t>Will Paraguay win the 2026 FIFA World Cup?</t>
        </is>
      </c>
      <c r="B1245" s="4" t="n">
        <v>46206</v>
      </c>
      <c r="C1245" s="5" t="n">
        <v>46206.02775462963</v>
      </c>
      <c r="D1245" t="inlineStr">
        <is>
          <t>BUY</t>
        </is>
      </c>
      <c r="E1245" t="inlineStr">
        <is>
          <t>Yes</t>
        </is>
      </c>
      <c r="F1245" s="2" t="n">
        <v>0.002</v>
      </c>
      <c r="G1245" s="6" t="n">
        <v>500</v>
      </c>
      <c r="H1245" s="6">
        <f>F1245*G1245</f>
        <v/>
      </c>
      <c r="I1245">
        <f>_xlfn.XLOOKUP(A1245,MktTitle,MktCat,"n/a")</f>
        <v/>
      </c>
      <c r="J1245" s="3">
        <f>_xlfn.XLOOKUP(A1245,MktTitle,MktTotVol,0)</f>
        <v/>
      </c>
      <c r="K1245">
        <f>IF(H1245&gt;WhaleThreshold,"WHALE","")</f>
        <v/>
      </c>
    </row>
    <row r="1246">
      <c r="A1246" t="inlineStr">
        <is>
          <t>Will Paraguay win the 2026 FIFA World Cup?</t>
        </is>
      </c>
      <c r="B1246" s="4" t="n">
        <v>46206</v>
      </c>
      <c r="C1246" s="5" t="n">
        <v>46206.02775462963</v>
      </c>
      <c r="D1246" t="inlineStr">
        <is>
          <t>SELL</t>
        </is>
      </c>
      <c r="E1246" t="inlineStr">
        <is>
          <t>Yes</t>
        </is>
      </c>
      <c r="F1246" s="2" t="n">
        <v>0.001</v>
      </c>
      <c r="G1246" s="6" t="n">
        <v>2.41</v>
      </c>
      <c r="H1246" s="6">
        <f>F1246*G1246</f>
        <v/>
      </c>
      <c r="I1246">
        <f>_xlfn.XLOOKUP(A1246,MktTitle,MktCat,"n/a")</f>
        <v/>
      </c>
      <c r="J1246" s="3">
        <f>_xlfn.XLOOKUP(A1246,MktTitle,MktTotVol,0)</f>
        <v/>
      </c>
      <c r="K1246">
        <f>IF(H1246&gt;WhaleThreshold,"WHALE","")</f>
        <v/>
      </c>
    </row>
    <row r="1247">
      <c r="A1247" t="inlineStr">
        <is>
          <t>Will Paraguay win the 2026 FIFA World Cup?</t>
        </is>
      </c>
      <c r="B1247" s="4" t="n">
        <v>46206</v>
      </c>
      <c r="C1247" s="5" t="n">
        <v>46206.0277199074</v>
      </c>
      <c r="D1247" t="inlineStr">
        <is>
          <t>SELL</t>
        </is>
      </c>
      <c r="E1247" t="inlineStr">
        <is>
          <t>Yes</t>
        </is>
      </c>
      <c r="F1247" s="2" t="n">
        <v>0.001</v>
      </c>
      <c r="G1247" s="6" t="n">
        <v>4.83</v>
      </c>
      <c r="H1247" s="6">
        <f>F1247*G1247</f>
        <v/>
      </c>
      <c r="I1247">
        <f>_xlfn.XLOOKUP(A1247,MktTitle,MktCat,"n/a")</f>
        <v/>
      </c>
      <c r="J1247" s="3">
        <f>_xlfn.XLOOKUP(A1247,MktTitle,MktTotVol,0)</f>
        <v/>
      </c>
      <c r="K1247">
        <f>IF(H1247&gt;WhaleThreshold,"WHALE","")</f>
        <v/>
      </c>
    </row>
    <row r="1248">
      <c r="A1248" t="inlineStr">
        <is>
          <t>Will Paraguay win the 2026 FIFA World Cup?</t>
        </is>
      </c>
      <c r="B1248" s="4" t="n">
        <v>46206</v>
      </c>
      <c r="C1248" s="5" t="n">
        <v>46206.02769675926</v>
      </c>
      <c r="D1248" t="inlineStr">
        <is>
          <t>BUY</t>
        </is>
      </c>
      <c r="E1248" t="inlineStr">
        <is>
          <t>Yes</t>
        </is>
      </c>
      <c r="F1248" s="2" t="n">
        <v>0.002</v>
      </c>
      <c r="G1248" s="6" t="n">
        <v>1000</v>
      </c>
      <c r="H1248" s="6">
        <f>F1248*G1248</f>
        <v/>
      </c>
      <c r="I1248">
        <f>_xlfn.XLOOKUP(A1248,MktTitle,MktCat,"n/a")</f>
        <v/>
      </c>
      <c r="J1248" s="3">
        <f>_xlfn.XLOOKUP(A1248,MktTitle,MktTotVol,0)</f>
        <v/>
      </c>
      <c r="K1248">
        <f>IF(H1248&gt;WhaleThreshold,"WHALE","")</f>
        <v/>
      </c>
    </row>
    <row r="1249">
      <c r="A1249" t="inlineStr">
        <is>
          <t>Will Paraguay win the 2026 FIFA World Cup?</t>
        </is>
      </c>
      <c r="B1249" s="4" t="n">
        <v>46206</v>
      </c>
      <c r="C1249" s="5" t="n">
        <v>46206.0233912037</v>
      </c>
      <c r="D1249" t="inlineStr">
        <is>
          <t>SELL</t>
        </is>
      </c>
      <c r="E1249" t="inlineStr">
        <is>
          <t>Yes</t>
        </is>
      </c>
      <c r="F1249" s="2" t="n">
        <v>0.001</v>
      </c>
      <c r="G1249" s="6" t="n">
        <v>4.83</v>
      </c>
      <c r="H1249" s="6">
        <f>F1249*G1249</f>
        <v/>
      </c>
      <c r="I1249">
        <f>_xlfn.XLOOKUP(A1249,MktTitle,MktCat,"n/a")</f>
        <v/>
      </c>
      <c r="J1249" s="3">
        <f>_xlfn.XLOOKUP(A1249,MktTitle,MktTotVol,0)</f>
        <v/>
      </c>
      <c r="K1249">
        <f>IF(H1249&gt;WhaleThreshold,"WHALE","")</f>
        <v/>
      </c>
    </row>
    <row r="1250">
      <c r="A1250" t="inlineStr">
        <is>
          <t>Will Paraguay win the 2026 FIFA World Cup?</t>
        </is>
      </c>
      <c r="B1250" s="4" t="n">
        <v>46206</v>
      </c>
      <c r="C1250" s="5" t="n">
        <v>46206.0233912037</v>
      </c>
      <c r="D1250" t="inlineStr">
        <is>
          <t>BUY</t>
        </is>
      </c>
      <c r="E1250" t="inlineStr">
        <is>
          <t>Yes</t>
        </is>
      </c>
      <c r="F1250" s="2" t="n">
        <v>0.002</v>
      </c>
      <c r="G1250" s="6" t="n">
        <v>1000</v>
      </c>
      <c r="H1250" s="6">
        <f>F1250*G1250</f>
        <v/>
      </c>
      <c r="I1250">
        <f>_xlfn.XLOOKUP(A1250,MktTitle,MktCat,"n/a")</f>
        <v/>
      </c>
      <c r="J1250" s="3">
        <f>_xlfn.XLOOKUP(A1250,MktTitle,MktTotVol,0)</f>
        <v/>
      </c>
      <c r="K1250">
        <f>IF(H1250&gt;WhaleThreshold,"WHALE","")</f>
        <v/>
      </c>
    </row>
    <row r="1251">
      <c r="A1251" t="inlineStr">
        <is>
          <t>Will Paraguay win the 2026 FIFA World Cup?</t>
        </is>
      </c>
      <c r="B1251" s="4" t="n">
        <v>46206</v>
      </c>
      <c r="C1251" s="5" t="n">
        <v>46206.02221064815</v>
      </c>
      <c r="D1251" t="inlineStr">
        <is>
          <t>SELL</t>
        </is>
      </c>
      <c r="E1251" t="inlineStr">
        <is>
          <t>Yes</t>
        </is>
      </c>
      <c r="F1251" s="2" t="n">
        <v>0.001</v>
      </c>
      <c r="G1251" s="6" t="n">
        <v>12.07</v>
      </c>
      <c r="H1251" s="6">
        <f>F1251*G1251</f>
        <v/>
      </c>
      <c r="I1251">
        <f>_xlfn.XLOOKUP(A1251,MktTitle,MktCat,"n/a")</f>
        <v/>
      </c>
      <c r="J1251" s="3">
        <f>_xlfn.XLOOKUP(A1251,MktTitle,MktTotVol,0)</f>
        <v/>
      </c>
      <c r="K1251">
        <f>IF(H1251&gt;WhaleThreshold,"WHALE","")</f>
        <v/>
      </c>
    </row>
    <row r="1252">
      <c r="A1252" t="inlineStr">
        <is>
          <t>Will Paraguay win the 2026 FIFA World Cup?</t>
        </is>
      </c>
      <c r="B1252" s="4" t="n">
        <v>46206</v>
      </c>
      <c r="C1252" s="5" t="n">
        <v>46206.02221064815</v>
      </c>
      <c r="D1252" t="inlineStr">
        <is>
          <t>BUY</t>
        </is>
      </c>
      <c r="E1252" t="inlineStr">
        <is>
          <t>Yes</t>
        </is>
      </c>
      <c r="F1252" s="2" t="n">
        <v>0.002</v>
      </c>
      <c r="G1252" s="6" t="n">
        <v>2500</v>
      </c>
      <c r="H1252" s="6">
        <f>F1252*G1252</f>
        <v/>
      </c>
      <c r="I1252">
        <f>_xlfn.XLOOKUP(A1252,MktTitle,MktCat,"n/a")</f>
        <v/>
      </c>
      <c r="J1252" s="3">
        <f>_xlfn.XLOOKUP(A1252,MktTitle,MktTotVol,0)</f>
        <v/>
      </c>
      <c r="K1252">
        <f>IF(H1252&gt;WhaleThreshold,"WHALE","")</f>
        <v/>
      </c>
    </row>
    <row r="1253">
      <c r="A1253" t="inlineStr">
        <is>
          <t>Will Paraguay win the 2026 FIFA World Cup?</t>
        </is>
      </c>
      <c r="B1253" s="4" t="n">
        <v>46206</v>
      </c>
      <c r="C1253" s="5" t="n">
        <v>46206.02202546296</v>
      </c>
      <c r="D1253" t="inlineStr">
        <is>
          <t>SELL</t>
        </is>
      </c>
      <c r="E1253" t="inlineStr">
        <is>
          <t>Yes</t>
        </is>
      </c>
      <c r="F1253" s="2" t="n">
        <v>0.001</v>
      </c>
      <c r="G1253" s="6" t="n">
        <v>500</v>
      </c>
      <c r="H1253" s="6">
        <f>F1253*G1253</f>
        <v/>
      </c>
      <c r="I1253">
        <f>_xlfn.XLOOKUP(A1253,MktTitle,MktCat,"n/a")</f>
        <v/>
      </c>
      <c r="J1253" s="3">
        <f>_xlfn.XLOOKUP(A1253,MktTitle,MktTotVol,0)</f>
        <v/>
      </c>
      <c r="K1253">
        <f>IF(H1253&gt;WhaleThreshold,"WHALE","")</f>
        <v/>
      </c>
    </row>
    <row r="1254">
      <c r="A1254" t="inlineStr">
        <is>
          <t>Will Paraguay win the 2026 FIFA World Cup?</t>
        </is>
      </c>
      <c r="B1254" s="4" t="n">
        <v>46206</v>
      </c>
      <c r="C1254" s="5" t="n">
        <v>46206.0194675926</v>
      </c>
      <c r="D1254" t="inlineStr">
        <is>
          <t>SELL</t>
        </is>
      </c>
      <c r="E1254" t="inlineStr">
        <is>
          <t>Yes</t>
        </is>
      </c>
      <c r="F1254" s="2" t="n">
        <v>0.001</v>
      </c>
      <c r="G1254" s="6" t="n">
        <v>4.83</v>
      </c>
      <c r="H1254" s="6">
        <f>F1254*G1254</f>
        <v/>
      </c>
      <c r="I1254">
        <f>_xlfn.XLOOKUP(A1254,MktTitle,MktCat,"n/a")</f>
        <v/>
      </c>
      <c r="J1254" s="3">
        <f>_xlfn.XLOOKUP(A1254,MktTitle,MktTotVol,0)</f>
        <v/>
      </c>
      <c r="K1254">
        <f>IF(H1254&gt;WhaleThreshold,"WHALE","")</f>
        <v/>
      </c>
    </row>
    <row r="1255">
      <c r="A1255" t="inlineStr">
        <is>
          <t>Will Paraguay win the 2026 FIFA World Cup?</t>
        </is>
      </c>
      <c r="B1255" s="4" t="n">
        <v>46206</v>
      </c>
      <c r="C1255" s="5" t="n">
        <v>46206.0194675926</v>
      </c>
      <c r="D1255" t="inlineStr">
        <is>
          <t>BUY</t>
        </is>
      </c>
      <c r="E1255" t="inlineStr">
        <is>
          <t>Yes</t>
        </is>
      </c>
      <c r="F1255" s="2" t="n">
        <v>0.002</v>
      </c>
      <c r="G1255" s="6" t="n">
        <v>1000</v>
      </c>
      <c r="H1255" s="6">
        <f>F1255*G1255</f>
        <v/>
      </c>
      <c r="I1255">
        <f>_xlfn.XLOOKUP(A1255,MktTitle,MktCat,"n/a")</f>
        <v/>
      </c>
      <c r="J1255" s="3">
        <f>_xlfn.XLOOKUP(A1255,MktTitle,MktTotVol,0)</f>
        <v/>
      </c>
      <c r="K1255">
        <f>IF(H1255&gt;WhaleThreshold,"WHALE","")</f>
        <v/>
      </c>
    </row>
    <row r="1256">
      <c r="A1256" t="inlineStr">
        <is>
          <t>Will Paraguay win the 2026 FIFA World Cup?</t>
        </is>
      </c>
      <c r="B1256" s="4" t="n">
        <v>46206</v>
      </c>
      <c r="C1256" s="5" t="n">
        <v>46206.0168287037</v>
      </c>
      <c r="D1256" t="inlineStr">
        <is>
          <t>BUY</t>
        </is>
      </c>
      <c r="E1256" t="inlineStr">
        <is>
          <t>No</t>
        </is>
      </c>
      <c r="F1256" s="2" t="n">
        <v>0.999</v>
      </c>
      <c r="G1256" s="6" t="n">
        <v>2.092</v>
      </c>
      <c r="H1256" s="6">
        <f>F1256*G1256</f>
        <v/>
      </c>
      <c r="I1256">
        <f>_xlfn.XLOOKUP(A1256,MktTitle,MktCat,"n/a")</f>
        <v/>
      </c>
      <c r="J1256" s="3">
        <f>_xlfn.XLOOKUP(A1256,MktTitle,MktTotVol,0)</f>
        <v/>
      </c>
      <c r="K1256">
        <f>IF(H1256&gt;WhaleThreshold,"WHALE","")</f>
        <v/>
      </c>
    </row>
    <row r="1257">
      <c r="A1257" t="inlineStr">
        <is>
          <t>Will Paraguay win the 2026 FIFA World Cup?</t>
        </is>
      </c>
      <c r="B1257" s="4" t="n">
        <v>46206</v>
      </c>
      <c r="C1257" s="5" t="n">
        <v>46206.01528935185</v>
      </c>
      <c r="D1257" t="inlineStr">
        <is>
          <t>SELL</t>
        </is>
      </c>
      <c r="E1257" t="inlineStr">
        <is>
          <t>Yes</t>
        </is>
      </c>
      <c r="F1257" s="2" t="n">
        <v>0.001</v>
      </c>
      <c r="G1257" s="6" t="n">
        <v>24.15</v>
      </c>
      <c r="H1257" s="6">
        <f>F1257*G1257</f>
        <v/>
      </c>
      <c r="I1257">
        <f>_xlfn.XLOOKUP(A1257,MktTitle,MktCat,"n/a")</f>
        <v/>
      </c>
      <c r="J1257" s="3">
        <f>_xlfn.XLOOKUP(A1257,MktTitle,MktTotVol,0)</f>
        <v/>
      </c>
      <c r="K1257">
        <f>IF(H1257&gt;WhaleThreshold,"WHALE","")</f>
        <v/>
      </c>
    </row>
    <row r="1258">
      <c r="A1258" t="inlineStr">
        <is>
          <t>Will Paraguay win the 2026 FIFA World Cup?</t>
        </is>
      </c>
      <c r="B1258" s="4" t="n">
        <v>46206</v>
      </c>
      <c r="C1258" s="5" t="n">
        <v>46206.01526620371</v>
      </c>
      <c r="D1258" t="inlineStr">
        <is>
          <t>BUY</t>
        </is>
      </c>
      <c r="E1258" t="inlineStr">
        <is>
          <t>Yes</t>
        </is>
      </c>
      <c r="F1258" s="2" t="n">
        <v>0.002</v>
      </c>
      <c r="G1258" s="6" t="n">
        <v>5000</v>
      </c>
      <c r="H1258" s="6">
        <f>F1258*G1258</f>
        <v/>
      </c>
      <c r="I1258">
        <f>_xlfn.XLOOKUP(A1258,MktTitle,MktCat,"n/a")</f>
        <v/>
      </c>
      <c r="J1258" s="3">
        <f>_xlfn.XLOOKUP(A1258,MktTitle,MktTotVol,0)</f>
        <v/>
      </c>
      <c r="K1258">
        <f>IF(H1258&gt;WhaleThreshold,"WHALE","")</f>
        <v/>
      </c>
    </row>
    <row r="1259">
      <c r="A1259" t="inlineStr">
        <is>
          <t>Will Paraguay win the 2026 FIFA World Cup?</t>
        </is>
      </c>
      <c r="B1259" s="4" t="n">
        <v>46206</v>
      </c>
      <c r="C1259" s="5" t="n">
        <v>46206.0117824074</v>
      </c>
      <c r="D1259" t="inlineStr">
        <is>
          <t>BUY</t>
        </is>
      </c>
      <c r="E1259" t="inlineStr">
        <is>
          <t>No</t>
        </is>
      </c>
      <c r="F1259" s="2" t="n">
        <v>0.999</v>
      </c>
      <c r="G1259" s="6" t="n">
        <v>5.905</v>
      </c>
      <c r="H1259" s="6">
        <f>F1259*G1259</f>
        <v/>
      </c>
      <c r="I1259">
        <f>_xlfn.XLOOKUP(A1259,MktTitle,MktCat,"n/a")</f>
        <v/>
      </c>
      <c r="J1259" s="3">
        <f>_xlfn.XLOOKUP(A1259,MktTitle,MktTotVol,0)</f>
        <v/>
      </c>
      <c r="K1259">
        <f>IF(H1259&gt;WhaleThreshold,"WHALE","")</f>
        <v/>
      </c>
    </row>
    <row r="1260">
      <c r="A1260" t="inlineStr">
        <is>
          <t>Will Paraguay win the 2026 FIFA World Cup?</t>
        </is>
      </c>
      <c r="B1260" s="4" t="n">
        <v>46205</v>
      </c>
      <c r="C1260" s="5" t="n">
        <v>46205.99758101852</v>
      </c>
      <c r="D1260" t="inlineStr">
        <is>
          <t>SELL</t>
        </is>
      </c>
      <c r="E1260" t="inlineStr">
        <is>
          <t>No</t>
        </is>
      </c>
      <c r="F1260" s="2" t="n">
        <v>0.998</v>
      </c>
      <c r="G1260" s="6" t="n">
        <v>0.54</v>
      </c>
      <c r="H1260" s="6">
        <f>F1260*G1260</f>
        <v/>
      </c>
      <c r="I1260">
        <f>_xlfn.XLOOKUP(A1260,MktTitle,MktCat,"n/a")</f>
        <v/>
      </c>
      <c r="J1260" s="3">
        <f>_xlfn.XLOOKUP(A1260,MktTitle,MktTotVol,0)</f>
        <v/>
      </c>
      <c r="K1260">
        <f>IF(H1260&gt;WhaleThreshold,"WHALE","")</f>
        <v/>
      </c>
    </row>
    <row r="1261">
      <c r="A1261" t="inlineStr">
        <is>
          <t>Will Paraguay win the 2026 FIFA World Cup?</t>
        </is>
      </c>
      <c r="B1261" s="4" t="n">
        <v>46205</v>
      </c>
      <c r="C1261" s="5" t="n">
        <v>46205.97877314815</v>
      </c>
      <c r="D1261" t="inlineStr">
        <is>
          <t>SELL</t>
        </is>
      </c>
      <c r="E1261" t="inlineStr">
        <is>
          <t>Yes</t>
        </is>
      </c>
      <c r="F1261" s="2" t="n">
        <v>0.001</v>
      </c>
      <c r="G1261" s="6" t="n">
        <v>23.42</v>
      </c>
      <c r="H1261" s="6">
        <f>F1261*G1261</f>
        <v/>
      </c>
      <c r="I1261">
        <f>_xlfn.XLOOKUP(A1261,MktTitle,MktCat,"n/a")</f>
        <v/>
      </c>
      <c r="J1261" s="3">
        <f>_xlfn.XLOOKUP(A1261,MktTitle,MktTotVol,0)</f>
        <v/>
      </c>
      <c r="K1261">
        <f>IF(H1261&gt;WhaleThreshold,"WHALE","")</f>
        <v/>
      </c>
    </row>
    <row r="1262">
      <c r="A1262" t="inlineStr">
        <is>
          <t>Will Paraguay win the 2026 FIFA World Cup?</t>
        </is>
      </c>
      <c r="B1262" s="4" t="n">
        <v>46205</v>
      </c>
      <c r="C1262" s="5" t="n">
        <v>46205.97876157407</v>
      </c>
      <c r="D1262" t="inlineStr">
        <is>
          <t>BUY</t>
        </is>
      </c>
      <c r="E1262" t="inlineStr">
        <is>
          <t>Yes</t>
        </is>
      </c>
      <c r="F1262" s="2" t="n">
        <v>0.002</v>
      </c>
      <c r="G1262" s="6" t="n">
        <v>4850</v>
      </c>
      <c r="H1262" s="6">
        <f>F1262*G1262</f>
        <v/>
      </c>
      <c r="I1262">
        <f>_xlfn.XLOOKUP(A1262,MktTitle,MktCat,"n/a")</f>
        <v/>
      </c>
      <c r="J1262" s="3">
        <f>_xlfn.XLOOKUP(A1262,MktTitle,MktTotVol,0)</f>
        <v/>
      </c>
      <c r="K1262">
        <f>IF(H1262&gt;WhaleThreshold,"WHALE","")</f>
        <v/>
      </c>
    </row>
    <row r="1263">
      <c r="A1263" t="inlineStr">
        <is>
          <t>Will Paraguay win the 2026 FIFA World Cup?</t>
        </is>
      </c>
      <c r="B1263" s="4" t="n">
        <v>46205</v>
      </c>
      <c r="C1263" s="5" t="n">
        <v>46205.97578703704</v>
      </c>
      <c r="D1263" t="inlineStr">
        <is>
          <t>BUY</t>
        </is>
      </c>
      <c r="E1263" t="inlineStr">
        <is>
          <t>No</t>
        </is>
      </c>
      <c r="F1263" s="2" t="n">
        <v>0.999</v>
      </c>
      <c r="G1263" s="6" t="n">
        <v>51.86</v>
      </c>
      <c r="H1263" s="6">
        <f>F1263*G1263</f>
        <v/>
      </c>
      <c r="I1263">
        <f>_xlfn.XLOOKUP(A1263,MktTitle,MktCat,"n/a")</f>
        <v/>
      </c>
      <c r="J1263" s="3">
        <f>_xlfn.XLOOKUP(A1263,MktTitle,MktTotVol,0)</f>
        <v/>
      </c>
      <c r="K1263">
        <f>IF(H1263&gt;WhaleThreshold,"WHALE","")</f>
        <v/>
      </c>
    </row>
    <row r="1264">
      <c r="A1264" t="inlineStr">
        <is>
          <t>Will Paraguay win the 2026 FIFA World Cup?</t>
        </is>
      </c>
      <c r="B1264" s="4" t="n">
        <v>46205</v>
      </c>
      <c r="C1264" s="5" t="n">
        <v>46205.97574074074</v>
      </c>
      <c r="D1264" t="inlineStr">
        <is>
          <t>BUY</t>
        </is>
      </c>
      <c r="E1264" t="inlineStr">
        <is>
          <t>No</t>
        </is>
      </c>
      <c r="F1264" s="2" t="n">
        <v>0.999</v>
      </c>
      <c r="G1264" s="6" t="n">
        <v>25.2</v>
      </c>
      <c r="H1264" s="6">
        <f>F1264*G1264</f>
        <v/>
      </c>
      <c r="I1264">
        <f>_xlfn.XLOOKUP(A1264,MktTitle,MktCat,"n/a")</f>
        <v/>
      </c>
      <c r="J1264" s="3">
        <f>_xlfn.XLOOKUP(A1264,MktTitle,MktTotVol,0)</f>
        <v/>
      </c>
      <c r="K1264">
        <f>IF(H1264&gt;WhaleThreshold,"WHALE","")</f>
        <v/>
      </c>
    </row>
    <row r="1265">
      <c r="A1265" t="inlineStr">
        <is>
          <t>Will Paraguay win the 2026 FIFA World Cup?</t>
        </is>
      </c>
      <c r="B1265" s="4" t="n">
        <v>46205</v>
      </c>
      <c r="C1265" s="5" t="n">
        <v>46205.97571759259</v>
      </c>
      <c r="D1265" t="inlineStr">
        <is>
          <t>BUY</t>
        </is>
      </c>
      <c r="E1265" t="inlineStr">
        <is>
          <t>No</t>
        </is>
      </c>
      <c r="F1265" s="2" t="n">
        <v>0.999</v>
      </c>
      <c r="G1265" s="6" t="n">
        <v>50.3</v>
      </c>
      <c r="H1265" s="6">
        <f>F1265*G1265</f>
        <v/>
      </c>
      <c r="I1265">
        <f>_xlfn.XLOOKUP(A1265,MktTitle,MktCat,"n/a")</f>
        <v/>
      </c>
      <c r="J1265" s="3">
        <f>_xlfn.XLOOKUP(A1265,MktTitle,MktTotVol,0)</f>
        <v/>
      </c>
      <c r="K1265">
        <f>IF(H1265&gt;WhaleThreshold,"WHALE","")</f>
        <v/>
      </c>
    </row>
    <row r="1266">
      <c r="A1266" t="inlineStr">
        <is>
          <t>Will Paraguay win the 2026 FIFA World Cup?</t>
        </is>
      </c>
      <c r="B1266" s="4" t="n">
        <v>46205</v>
      </c>
      <c r="C1266" s="5" t="n">
        <v>46205.97571759259</v>
      </c>
      <c r="D1266" t="inlineStr">
        <is>
          <t>BUY</t>
        </is>
      </c>
      <c r="E1266" t="inlineStr">
        <is>
          <t>No</t>
        </is>
      </c>
      <c r="F1266" s="2" t="n">
        <v>0.999</v>
      </c>
      <c r="G1266" s="6" t="n">
        <v>2.95</v>
      </c>
      <c r="H1266" s="6">
        <f>F1266*G1266</f>
        <v/>
      </c>
      <c r="I1266">
        <f>_xlfn.XLOOKUP(A1266,MktTitle,MktCat,"n/a")</f>
        <v/>
      </c>
      <c r="J1266" s="3">
        <f>_xlfn.XLOOKUP(A1266,MktTitle,MktTotVol,0)</f>
        <v/>
      </c>
      <c r="K1266">
        <f>IF(H1266&gt;WhaleThreshold,"WHALE","")</f>
        <v/>
      </c>
    </row>
    <row r="1267">
      <c r="A1267" t="inlineStr">
        <is>
          <t>Will Paraguay win the 2026 FIFA World Cup?</t>
        </is>
      </c>
      <c r="B1267" s="4" t="n">
        <v>46205</v>
      </c>
      <c r="C1267" s="5" t="n">
        <v>46205.97532407408</v>
      </c>
      <c r="D1267" t="inlineStr">
        <is>
          <t>BUY</t>
        </is>
      </c>
      <c r="E1267" t="inlineStr">
        <is>
          <t>No</t>
        </is>
      </c>
      <c r="F1267" s="2" t="n">
        <v>0.999</v>
      </c>
      <c r="G1267" s="6" t="n">
        <v>2.99</v>
      </c>
      <c r="H1267" s="6">
        <f>F1267*G1267</f>
        <v/>
      </c>
      <c r="I1267">
        <f>_xlfn.XLOOKUP(A1267,MktTitle,MktCat,"n/a")</f>
        <v/>
      </c>
      <c r="J1267" s="3">
        <f>_xlfn.XLOOKUP(A1267,MktTitle,MktTotVol,0)</f>
        <v/>
      </c>
      <c r="K1267">
        <f>IF(H1267&gt;WhaleThreshold,"WHALE","")</f>
        <v/>
      </c>
    </row>
    <row r="1268">
      <c r="A1268" t="inlineStr">
        <is>
          <t>Will Paraguay win the 2026 FIFA World Cup?</t>
        </is>
      </c>
      <c r="B1268" s="4" t="n">
        <v>46205</v>
      </c>
      <c r="C1268" s="5" t="n">
        <v>46205.97530092593</v>
      </c>
      <c r="D1268" t="inlineStr">
        <is>
          <t>BUY</t>
        </is>
      </c>
      <c r="E1268" t="inlineStr">
        <is>
          <t>No</t>
        </is>
      </c>
      <c r="F1268" s="2" t="n">
        <v>0.999</v>
      </c>
      <c r="G1268" s="6" t="n">
        <v>24.6</v>
      </c>
      <c r="H1268" s="6">
        <f>F1268*G1268</f>
        <v/>
      </c>
      <c r="I1268">
        <f>_xlfn.XLOOKUP(A1268,MktTitle,MktCat,"n/a")</f>
        <v/>
      </c>
      <c r="J1268" s="3">
        <f>_xlfn.XLOOKUP(A1268,MktTitle,MktTotVol,0)</f>
        <v/>
      </c>
      <c r="K1268">
        <f>IF(H1268&gt;WhaleThreshold,"WHALE","")</f>
        <v/>
      </c>
    </row>
    <row r="1269">
      <c r="A1269" t="inlineStr">
        <is>
          <t>Will Paraguay win the 2026 FIFA World Cup?</t>
        </is>
      </c>
      <c r="B1269" s="4" t="n">
        <v>46205</v>
      </c>
      <c r="C1269" s="5" t="n">
        <v>46205.97530092593</v>
      </c>
      <c r="D1269" t="inlineStr">
        <is>
          <t>BUY</t>
        </is>
      </c>
      <c r="E1269" t="inlineStr">
        <is>
          <t>No</t>
        </is>
      </c>
      <c r="F1269" s="2" t="n">
        <v>0.999</v>
      </c>
      <c r="G1269" s="6" t="n">
        <v>49.2</v>
      </c>
      <c r="H1269" s="6">
        <f>F1269*G1269</f>
        <v/>
      </c>
      <c r="I1269">
        <f>_xlfn.XLOOKUP(A1269,MktTitle,MktCat,"n/a")</f>
        <v/>
      </c>
      <c r="J1269" s="3">
        <f>_xlfn.XLOOKUP(A1269,MktTitle,MktTotVol,0)</f>
        <v/>
      </c>
      <c r="K1269">
        <f>IF(H1269&gt;WhaleThreshold,"WHALE","")</f>
        <v/>
      </c>
    </row>
    <row r="1270">
      <c r="A1270" t="inlineStr">
        <is>
          <t>Will Paraguay win the 2026 FIFA World Cup?</t>
        </is>
      </c>
      <c r="B1270" s="4" t="n">
        <v>46205</v>
      </c>
      <c r="C1270" s="5" t="n">
        <v>46205.97525462963</v>
      </c>
      <c r="D1270" t="inlineStr">
        <is>
          <t>BUY</t>
        </is>
      </c>
      <c r="E1270" t="inlineStr">
        <is>
          <t>No</t>
        </is>
      </c>
      <c r="F1270" s="2" t="n">
        <v>0.999</v>
      </c>
      <c r="G1270" s="6" t="n">
        <v>55.02</v>
      </c>
      <c r="H1270" s="6">
        <f>F1270*G1270</f>
        <v/>
      </c>
      <c r="I1270">
        <f>_xlfn.XLOOKUP(A1270,MktTitle,MktCat,"n/a")</f>
        <v/>
      </c>
      <c r="J1270" s="3">
        <f>_xlfn.XLOOKUP(A1270,MktTitle,MktTotVol,0)</f>
        <v/>
      </c>
      <c r="K1270">
        <f>IF(H1270&gt;WhaleThreshold,"WHALE","")</f>
        <v/>
      </c>
    </row>
    <row r="1271">
      <c r="A1271" t="inlineStr">
        <is>
          <t>Will Paraguay win the 2026 FIFA World Cup?</t>
        </is>
      </c>
      <c r="B1271" s="4" t="n">
        <v>46205</v>
      </c>
      <c r="C1271" s="5" t="n">
        <v>46205.97518518518</v>
      </c>
      <c r="D1271" t="inlineStr">
        <is>
          <t>BUY</t>
        </is>
      </c>
      <c r="E1271" t="inlineStr">
        <is>
          <t>No</t>
        </is>
      </c>
      <c r="F1271" s="2" t="n">
        <v>0.999</v>
      </c>
      <c r="G1271" s="6" t="n">
        <v>10</v>
      </c>
      <c r="H1271" s="6">
        <f>F1271*G1271</f>
        <v/>
      </c>
      <c r="I1271">
        <f>_xlfn.XLOOKUP(A1271,MktTitle,MktCat,"n/a")</f>
        <v/>
      </c>
      <c r="J1271" s="3">
        <f>_xlfn.XLOOKUP(A1271,MktTitle,MktTotVol,0)</f>
        <v/>
      </c>
      <c r="K1271">
        <f>IF(H1271&gt;WhaleThreshold,"WHALE","")</f>
        <v/>
      </c>
    </row>
    <row r="1272">
      <c r="A1272" t="inlineStr">
        <is>
          <t>Will Paraguay win the 2026 FIFA World Cup?</t>
        </is>
      </c>
      <c r="B1272" s="4" t="n">
        <v>46205</v>
      </c>
      <c r="C1272" s="5" t="n">
        <v>46205.97518518518</v>
      </c>
      <c r="D1272" t="inlineStr">
        <is>
          <t>BUY</t>
        </is>
      </c>
      <c r="E1272" t="inlineStr">
        <is>
          <t>No</t>
        </is>
      </c>
      <c r="F1272" s="2" t="n">
        <v>0.999</v>
      </c>
      <c r="G1272" s="6" t="n">
        <v>3.15</v>
      </c>
      <c r="H1272" s="6">
        <f>F1272*G1272</f>
        <v/>
      </c>
      <c r="I1272">
        <f>_xlfn.XLOOKUP(A1272,MktTitle,MktCat,"n/a")</f>
        <v/>
      </c>
      <c r="J1272" s="3">
        <f>_xlfn.XLOOKUP(A1272,MktTitle,MktTotVol,0)</f>
        <v/>
      </c>
      <c r="K1272">
        <f>IF(H1272&gt;WhaleThreshold,"WHALE","")</f>
        <v/>
      </c>
    </row>
    <row r="1273">
      <c r="A1273" t="inlineStr">
        <is>
          <t>Will Paraguay win the 2026 FIFA World Cup?</t>
        </is>
      </c>
      <c r="B1273" s="4" t="n">
        <v>46205</v>
      </c>
      <c r="C1273" s="5" t="n">
        <v>46205.97515046296</v>
      </c>
      <c r="D1273" t="inlineStr">
        <is>
          <t>BUY</t>
        </is>
      </c>
      <c r="E1273" t="inlineStr">
        <is>
          <t>No</t>
        </is>
      </c>
      <c r="F1273" s="2" t="n">
        <v>0.999</v>
      </c>
      <c r="G1273" s="6" t="n">
        <v>90</v>
      </c>
      <c r="H1273" s="6">
        <f>F1273*G1273</f>
        <v/>
      </c>
      <c r="I1273">
        <f>_xlfn.XLOOKUP(A1273,MktTitle,MktCat,"n/a")</f>
        <v/>
      </c>
      <c r="J1273" s="3">
        <f>_xlfn.XLOOKUP(A1273,MktTitle,MktTotVol,0)</f>
        <v/>
      </c>
      <c r="K1273">
        <f>IF(H1273&gt;WhaleThreshold,"WHALE","")</f>
        <v/>
      </c>
    </row>
    <row r="1274">
      <c r="A1274" t="inlineStr">
        <is>
          <t>Will Paraguay win the 2026 FIFA World Cup?</t>
        </is>
      </c>
      <c r="B1274" s="4" t="n">
        <v>46205</v>
      </c>
      <c r="C1274" s="5" t="n">
        <v>46205.97512731481</v>
      </c>
      <c r="D1274" t="inlineStr">
        <is>
          <t>BUY</t>
        </is>
      </c>
      <c r="E1274" t="inlineStr">
        <is>
          <t>No</t>
        </is>
      </c>
      <c r="F1274" s="2" t="n">
        <v>0.999</v>
      </c>
      <c r="G1274" s="6" t="n">
        <v>110</v>
      </c>
      <c r="H1274" s="6">
        <f>F1274*G1274</f>
        <v/>
      </c>
      <c r="I1274">
        <f>_xlfn.XLOOKUP(A1274,MktTitle,MktCat,"n/a")</f>
        <v/>
      </c>
      <c r="J1274" s="3">
        <f>_xlfn.XLOOKUP(A1274,MktTitle,MktTotVol,0)</f>
        <v/>
      </c>
      <c r="K1274">
        <f>IF(H1274&gt;WhaleThreshold,"WHALE","")</f>
        <v/>
      </c>
    </row>
    <row r="1275">
      <c r="A1275" t="inlineStr">
        <is>
          <t>Will Paraguay win the 2026 FIFA World Cup?</t>
        </is>
      </c>
      <c r="B1275" s="4" t="n">
        <v>46205</v>
      </c>
      <c r="C1275" s="5" t="n">
        <v>46205.97512731481</v>
      </c>
      <c r="D1275" t="inlineStr">
        <is>
          <t>BUY</t>
        </is>
      </c>
      <c r="E1275" t="inlineStr">
        <is>
          <t>No</t>
        </is>
      </c>
      <c r="F1275" s="2" t="n">
        <v>0.999</v>
      </c>
      <c r="G1275" s="6" t="n">
        <v>24.9</v>
      </c>
      <c r="H1275" s="6">
        <f>F1275*G1275</f>
        <v/>
      </c>
      <c r="I1275">
        <f>_xlfn.XLOOKUP(A1275,MktTitle,MktCat,"n/a")</f>
        <v/>
      </c>
      <c r="J1275" s="3">
        <f>_xlfn.XLOOKUP(A1275,MktTitle,MktTotVol,0)</f>
        <v/>
      </c>
      <c r="K1275">
        <f>IF(H1275&gt;WhaleThreshold,"WHALE","")</f>
        <v/>
      </c>
    </row>
    <row r="1276">
      <c r="A1276" t="inlineStr">
        <is>
          <t>Will Paraguay win the 2026 FIFA World Cup?</t>
        </is>
      </c>
      <c r="B1276" s="4" t="n">
        <v>46205</v>
      </c>
      <c r="C1276" s="5" t="n">
        <v>46205.97511574074</v>
      </c>
      <c r="D1276" t="inlineStr">
        <is>
          <t>BUY</t>
        </is>
      </c>
      <c r="E1276" t="inlineStr">
        <is>
          <t>No</t>
        </is>
      </c>
      <c r="F1276" s="2" t="n">
        <v>0.999</v>
      </c>
      <c r="G1276" s="6" t="n">
        <v>110</v>
      </c>
      <c r="H1276" s="6">
        <f>F1276*G1276</f>
        <v/>
      </c>
      <c r="I1276">
        <f>_xlfn.XLOOKUP(A1276,MktTitle,MktCat,"n/a")</f>
        <v/>
      </c>
      <c r="J1276" s="3">
        <f>_xlfn.XLOOKUP(A1276,MktTitle,MktTotVol,0)</f>
        <v/>
      </c>
      <c r="K1276">
        <f>IF(H1276&gt;WhaleThreshold,"WHALE","")</f>
        <v/>
      </c>
    </row>
    <row r="1277">
      <c r="A1277" t="inlineStr">
        <is>
          <t>Will Paraguay win the 2026 FIFA World Cup?</t>
        </is>
      </c>
      <c r="B1277" s="4" t="n">
        <v>46205</v>
      </c>
      <c r="C1277" s="5" t="n">
        <v>46205.97511574074</v>
      </c>
      <c r="D1277" t="inlineStr">
        <is>
          <t>BUY</t>
        </is>
      </c>
      <c r="E1277" t="inlineStr">
        <is>
          <t>No</t>
        </is>
      </c>
      <c r="F1277" s="2" t="n">
        <v>0.999</v>
      </c>
      <c r="G1277" s="6" t="n">
        <v>49.8</v>
      </c>
      <c r="H1277" s="6">
        <f>F1277*G1277</f>
        <v/>
      </c>
      <c r="I1277">
        <f>_xlfn.XLOOKUP(A1277,MktTitle,MktCat,"n/a")</f>
        <v/>
      </c>
      <c r="J1277" s="3">
        <f>_xlfn.XLOOKUP(A1277,MktTitle,MktTotVol,0)</f>
        <v/>
      </c>
      <c r="K1277">
        <f>IF(H1277&gt;WhaleThreshold,"WHALE","")</f>
        <v/>
      </c>
    </row>
    <row r="1278">
      <c r="A1278" t="inlineStr">
        <is>
          <t>Will Paraguay win the 2026 FIFA World Cup?</t>
        </is>
      </c>
      <c r="B1278" s="4" t="n">
        <v>46205</v>
      </c>
      <c r="C1278" s="5" t="n">
        <v>46205.97511574074</v>
      </c>
      <c r="D1278" t="inlineStr">
        <is>
          <t>BUY</t>
        </is>
      </c>
      <c r="E1278" t="inlineStr">
        <is>
          <t>No</t>
        </is>
      </c>
      <c r="F1278" s="2" t="n">
        <v>0.999</v>
      </c>
      <c r="G1278" s="6" t="n">
        <v>110</v>
      </c>
      <c r="H1278" s="6">
        <f>F1278*G1278</f>
        <v/>
      </c>
      <c r="I1278">
        <f>_xlfn.XLOOKUP(A1278,MktTitle,MktCat,"n/a")</f>
        <v/>
      </c>
      <c r="J1278" s="3">
        <f>_xlfn.XLOOKUP(A1278,MktTitle,MktTotVol,0)</f>
        <v/>
      </c>
      <c r="K1278">
        <f>IF(H1278&gt;WhaleThreshold,"WHALE","")</f>
        <v/>
      </c>
    </row>
    <row r="1279">
      <c r="A1279" t="inlineStr">
        <is>
          <t>Will Paraguay win the 2026 FIFA World Cup?</t>
        </is>
      </c>
      <c r="B1279" s="4" t="n">
        <v>46205</v>
      </c>
      <c r="C1279" s="5" t="n">
        <v>46205.97511574074</v>
      </c>
      <c r="D1279" t="inlineStr">
        <is>
          <t>BUY</t>
        </is>
      </c>
      <c r="E1279" t="inlineStr">
        <is>
          <t>No</t>
        </is>
      </c>
      <c r="F1279" s="2" t="n">
        <v>0.999</v>
      </c>
      <c r="G1279" s="6" t="n">
        <v>58.02</v>
      </c>
      <c r="H1279" s="6">
        <f>F1279*G1279</f>
        <v/>
      </c>
      <c r="I1279">
        <f>_xlfn.XLOOKUP(A1279,MktTitle,MktCat,"n/a")</f>
        <v/>
      </c>
      <c r="J1279" s="3">
        <f>_xlfn.XLOOKUP(A1279,MktTitle,MktTotVol,0)</f>
        <v/>
      </c>
      <c r="K1279">
        <f>IF(H1279&gt;WhaleThreshold,"WHALE","")</f>
        <v/>
      </c>
    </row>
    <row r="1280">
      <c r="A1280" t="inlineStr">
        <is>
          <t>Will Paraguay win the 2026 FIFA World Cup?</t>
        </is>
      </c>
      <c r="B1280" s="4" t="n">
        <v>46205</v>
      </c>
      <c r="C1280" s="5" t="n">
        <v>46205.97511574074</v>
      </c>
      <c r="D1280" t="inlineStr">
        <is>
          <t>BUY</t>
        </is>
      </c>
      <c r="E1280" t="inlineStr">
        <is>
          <t>No</t>
        </is>
      </c>
      <c r="F1280" s="2" t="n">
        <v>0.999</v>
      </c>
      <c r="G1280" s="6" t="n">
        <v>110</v>
      </c>
      <c r="H1280" s="6">
        <f>F1280*G1280</f>
        <v/>
      </c>
      <c r="I1280">
        <f>_xlfn.XLOOKUP(A1280,MktTitle,MktCat,"n/a")</f>
        <v/>
      </c>
      <c r="J1280" s="3">
        <f>_xlfn.XLOOKUP(A1280,MktTitle,MktTotVol,0)</f>
        <v/>
      </c>
      <c r="K1280">
        <f>IF(H1280&gt;WhaleThreshold,"WHALE","")</f>
        <v/>
      </c>
    </row>
    <row r="1281">
      <c r="A1281" t="inlineStr">
        <is>
          <t>Will Paraguay win the 2026 FIFA World Cup?</t>
        </is>
      </c>
      <c r="B1281" s="4" t="n">
        <v>46205</v>
      </c>
      <c r="C1281" s="5" t="n">
        <v>46205.97497685185</v>
      </c>
      <c r="D1281" t="inlineStr">
        <is>
          <t>BUY</t>
        </is>
      </c>
      <c r="E1281" t="inlineStr">
        <is>
          <t>No</t>
        </is>
      </c>
      <c r="F1281" s="2" t="n">
        <v>0.999</v>
      </c>
      <c r="G1281" s="6" t="n">
        <v>73.59999999999999</v>
      </c>
      <c r="H1281" s="6">
        <f>F1281*G1281</f>
        <v/>
      </c>
      <c r="I1281">
        <f>_xlfn.XLOOKUP(A1281,MktTitle,MktCat,"n/a")</f>
        <v/>
      </c>
      <c r="J1281" s="3">
        <f>_xlfn.XLOOKUP(A1281,MktTitle,MktTotVol,0)</f>
        <v/>
      </c>
      <c r="K1281">
        <f>IF(H1281&gt;WhaleThreshold,"WHALE","")</f>
        <v/>
      </c>
    </row>
    <row r="1282">
      <c r="A1282" t="inlineStr">
        <is>
          <t>Will Paraguay win the 2026 FIFA World Cup?</t>
        </is>
      </c>
      <c r="B1282" s="4" t="n">
        <v>46205</v>
      </c>
      <c r="C1282" s="5" t="n">
        <v>46205.97497685185</v>
      </c>
      <c r="D1282" t="inlineStr">
        <is>
          <t>BUY</t>
        </is>
      </c>
      <c r="E1282" t="inlineStr">
        <is>
          <t>No</t>
        </is>
      </c>
      <c r="F1282" s="2" t="n">
        <v>0.999</v>
      </c>
      <c r="G1282" s="6" t="n">
        <v>107</v>
      </c>
      <c r="H1282" s="6">
        <f>F1282*G1282</f>
        <v/>
      </c>
      <c r="I1282">
        <f>_xlfn.XLOOKUP(A1282,MktTitle,MktCat,"n/a")</f>
        <v/>
      </c>
      <c r="J1282" s="3">
        <f>_xlfn.XLOOKUP(A1282,MktTitle,MktTotVol,0)</f>
        <v/>
      </c>
      <c r="K1282">
        <f>IF(H1282&gt;WhaleThreshold,"WHALE","")</f>
        <v/>
      </c>
    </row>
    <row r="1283">
      <c r="A1283" t="inlineStr">
        <is>
          <t>Will Paraguay win the 2026 FIFA World Cup?</t>
        </is>
      </c>
      <c r="B1283" s="4" t="n">
        <v>46205</v>
      </c>
      <c r="C1283" s="5" t="n">
        <v>46205.97495370371</v>
      </c>
      <c r="D1283" t="inlineStr">
        <is>
          <t>BUY</t>
        </is>
      </c>
      <c r="E1283" t="inlineStr">
        <is>
          <t>No</t>
        </is>
      </c>
      <c r="F1283" s="2" t="n">
        <v>0.999</v>
      </c>
      <c r="G1283" s="6" t="n">
        <v>9</v>
      </c>
      <c r="H1283" s="6">
        <f>F1283*G1283</f>
        <v/>
      </c>
      <c r="I1283">
        <f>_xlfn.XLOOKUP(A1283,MktTitle,MktCat,"n/a")</f>
        <v/>
      </c>
      <c r="J1283" s="3">
        <f>_xlfn.XLOOKUP(A1283,MktTitle,MktTotVol,0)</f>
        <v/>
      </c>
      <c r="K1283">
        <f>IF(H1283&gt;WhaleThreshold,"WHALE","")</f>
        <v/>
      </c>
    </row>
    <row r="1284">
      <c r="A1284" t="inlineStr">
        <is>
          <t>Will Paraguay win the 2026 FIFA World Cup?</t>
        </is>
      </c>
      <c r="B1284" s="4" t="n">
        <v>46205</v>
      </c>
      <c r="C1284" s="5" t="n">
        <v>46205.97456018518</v>
      </c>
      <c r="D1284" t="inlineStr">
        <is>
          <t>BUY</t>
        </is>
      </c>
      <c r="E1284" t="inlineStr">
        <is>
          <t>No</t>
        </is>
      </c>
      <c r="F1284" s="2" t="n">
        <v>0.999</v>
      </c>
      <c r="G1284" s="6" t="n">
        <v>10</v>
      </c>
      <c r="H1284" s="6">
        <f>F1284*G1284</f>
        <v/>
      </c>
      <c r="I1284">
        <f>_xlfn.XLOOKUP(A1284,MktTitle,MktCat,"n/a")</f>
        <v/>
      </c>
      <c r="J1284" s="3">
        <f>_xlfn.XLOOKUP(A1284,MktTitle,MktTotVol,0)</f>
        <v/>
      </c>
      <c r="K1284">
        <f>IF(H1284&gt;WhaleThreshold,"WHALE","")</f>
        <v/>
      </c>
    </row>
    <row r="1285">
      <c r="A1285" t="inlineStr">
        <is>
          <t>Will Paraguay win the 2026 FIFA World Cup?</t>
        </is>
      </c>
      <c r="B1285" s="4" t="n">
        <v>46205</v>
      </c>
      <c r="C1285" s="5" t="n">
        <v>46205.97453703704</v>
      </c>
      <c r="D1285" t="inlineStr">
        <is>
          <t>BUY</t>
        </is>
      </c>
      <c r="E1285" t="inlineStr">
        <is>
          <t>No</t>
        </is>
      </c>
      <c r="F1285" s="2" t="n">
        <v>0.999</v>
      </c>
      <c r="G1285" s="6" t="n">
        <v>15</v>
      </c>
      <c r="H1285" s="6">
        <f>F1285*G1285</f>
        <v/>
      </c>
      <c r="I1285">
        <f>_xlfn.XLOOKUP(A1285,MktTitle,MktCat,"n/a")</f>
        <v/>
      </c>
      <c r="J1285" s="3">
        <f>_xlfn.XLOOKUP(A1285,MktTitle,MktTotVol,0)</f>
        <v/>
      </c>
      <c r="K1285">
        <f>IF(H1285&gt;WhaleThreshold,"WHALE","")</f>
        <v/>
      </c>
    </row>
    <row r="1286">
      <c r="A1286" t="inlineStr">
        <is>
          <t>Will Paraguay win the 2026 FIFA World Cup?</t>
        </is>
      </c>
      <c r="B1286" s="4" t="n">
        <v>46205</v>
      </c>
      <c r="C1286" s="5" t="n">
        <v>46205.97275462963</v>
      </c>
      <c r="D1286" t="inlineStr">
        <is>
          <t>BUY</t>
        </is>
      </c>
      <c r="E1286" t="inlineStr">
        <is>
          <t>No</t>
        </is>
      </c>
      <c r="F1286" s="2" t="n">
        <v>0.999</v>
      </c>
      <c r="G1286" s="6" t="n">
        <v>20</v>
      </c>
      <c r="H1286" s="6">
        <f>F1286*G1286</f>
        <v/>
      </c>
      <c r="I1286">
        <f>_xlfn.XLOOKUP(A1286,MktTitle,MktCat,"n/a")</f>
        <v/>
      </c>
      <c r="J1286" s="3">
        <f>_xlfn.XLOOKUP(A1286,MktTitle,MktTotVol,0)</f>
        <v/>
      </c>
      <c r="K1286">
        <f>IF(H1286&gt;WhaleThreshold,"WHALE","")</f>
        <v/>
      </c>
    </row>
    <row r="1287">
      <c r="A1287" t="inlineStr">
        <is>
          <t>Will Paraguay win the 2026 FIFA World Cup?</t>
        </is>
      </c>
      <c r="B1287" s="4" t="n">
        <v>46205</v>
      </c>
      <c r="C1287" s="5" t="n">
        <v>46205.97252314815</v>
      </c>
      <c r="D1287" t="inlineStr">
        <is>
          <t>BUY</t>
        </is>
      </c>
      <c r="E1287" t="inlineStr">
        <is>
          <t>No</t>
        </is>
      </c>
      <c r="F1287" s="2" t="n">
        <v>0.999</v>
      </c>
      <c r="G1287" s="6" t="n">
        <v>10</v>
      </c>
      <c r="H1287" s="6">
        <f>F1287*G1287</f>
        <v/>
      </c>
      <c r="I1287">
        <f>_xlfn.XLOOKUP(A1287,MktTitle,MktCat,"n/a")</f>
        <v/>
      </c>
      <c r="J1287" s="3">
        <f>_xlfn.XLOOKUP(A1287,MktTitle,MktTotVol,0)</f>
        <v/>
      </c>
      <c r="K1287">
        <f>IF(H1287&gt;WhaleThreshold,"WHALE","")</f>
        <v/>
      </c>
    </row>
    <row r="1288">
      <c r="A1288" t="inlineStr">
        <is>
          <t>Will Paraguay win the 2026 FIFA World Cup?</t>
        </is>
      </c>
      <c r="B1288" s="4" t="n">
        <v>46205</v>
      </c>
      <c r="C1288" s="5" t="n">
        <v>46205.97251157407</v>
      </c>
      <c r="D1288" t="inlineStr">
        <is>
          <t>BUY</t>
        </is>
      </c>
      <c r="E1288" t="inlineStr">
        <is>
          <t>No</t>
        </is>
      </c>
      <c r="F1288" s="2" t="n">
        <v>0.999</v>
      </c>
      <c r="G1288" s="6" t="n">
        <v>18</v>
      </c>
      <c r="H1288" s="6">
        <f>F1288*G1288</f>
        <v/>
      </c>
      <c r="I1288">
        <f>_xlfn.XLOOKUP(A1288,MktTitle,MktCat,"n/a")</f>
        <v/>
      </c>
      <c r="J1288" s="3">
        <f>_xlfn.XLOOKUP(A1288,MktTitle,MktTotVol,0)</f>
        <v/>
      </c>
      <c r="K1288">
        <f>IF(H1288&gt;WhaleThreshold,"WHALE","")</f>
        <v/>
      </c>
    </row>
    <row r="1289">
      <c r="A1289" t="inlineStr">
        <is>
          <t>Will Paraguay win the 2026 FIFA World Cup?</t>
        </is>
      </c>
      <c r="B1289" s="4" t="n">
        <v>46205</v>
      </c>
      <c r="C1289" s="5" t="n">
        <v>46205.9716087963</v>
      </c>
      <c r="D1289" t="inlineStr">
        <is>
          <t>SELL</t>
        </is>
      </c>
      <c r="E1289" t="inlineStr">
        <is>
          <t>No</t>
        </is>
      </c>
      <c r="F1289" s="2" t="n">
        <v>0.998</v>
      </c>
      <c r="G1289" s="6" t="n">
        <v>10.9</v>
      </c>
      <c r="H1289" s="6">
        <f>F1289*G1289</f>
        <v/>
      </c>
      <c r="I1289">
        <f>_xlfn.XLOOKUP(A1289,MktTitle,MktCat,"n/a")</f>
        <v/>
      </c>
      <c r="J1289" s="3">
        <f>_xlfn.XLOOKUP(A1289,MktTitle,MktTotVol,0)</f>
        <v/>
      </c>
      <c r="K1289">
        <f>IF(H1289&gt;WhaleThreshold,"WHALE","")</f>
        <v/>
      </c>
    </row>
    <row r="1290">
      <c r="A1290" t="inlineStr">
        <is>
          <t>Will Paraguay win the 2026 FIFA World Cup?</t>
        </is>
      </c>
      <c r="B1290" s="4" t="n">
        <v>46205</v>
      </c>
      <c r="C1290" s="5" t="n">
        <v>46205.97158564815</v>
      </c>
      <c r="D1290" t="inlineStr">
        <is>
          <t>SELL</t>
        </is>
      </c>
      <c r="E1290" t="inlineStr">
        <is>
          <t>Yes</t>
        </is>
      </c>
      <c r="F1290" s="2" t="n">
        <v>0.001</v>
      </c>
      <c r="G1290" s="6" t="n">
        <v>0.05</v>
      </c>
      <c r="H1290" s="6">
        <f>F1290*G1290</f>
        <v/>
      </c>
      <c r="I1290">
        <f>_xlfn.XLOOKUP(A1290,MktTitle,MktCat,"n/a")</f>
        <v/>
      </c>
      <c r="J1290" s="3">
        <f>_xlfn.XLOOKUP(A1290,MktTitle,MktTotVol,0)</f>
        <v/>
      </c>
      <c r="K1290">
        <f>IF(H1290&gt;WhaleThreshold,"WHALE","")</f>
        <v/>
      </c>
    </row>
    <row r="1291">
      <c r="A1291" t="inlineStr">
        <is>
          <t>Will Paraguay win the 2026 FIFA World Cup?</t>
        </is>
      </c>
      <c r="B1291" s="4" t="n">
        <v>46205</v>
      </c>
      <c r="C1291" s="5" t="n">
        <v>46205.97158564815</v>
      </c>
      <c r="D1291" t="inlineStr">
        <is>
          <t>SELL</t>
        </is>
      </c>
      <c r="E1291" t="inlineStr">
        <is>
          <t>Yes</t>
        </is>
      </c>
      <c r="F1291" s="2" t="n">
        <v>0.001</v>
      </c>
      <c r="G1291" s="6" t="n">
        <v>0.05</v>
      </c>
      <c r="H1291" s="6">
        <f>F1291*G1291</f>
        <v/>
      </c>
      <c r="I1291">
        <f>_xlfn.XLOOKUP(A1291,MktTitle,MktCat,"n/a")</f>
        <v/>
      </c>
      <c r="J1291" s="3">
        <f>_xlfn.XLOOKUP(A1291,MktTitle,MktTotVol,0)</f>
        <v/>
      </c>
      <c r="K1291">
        <f>IF(H1291&gt;WhaleThreshold,"WHALE","")</f>
        <v/>
      </c>
    </row>
    <row r="1292">
      <c r="A1292" t="inlineStr">
        <is>
          <t>Will Paraguay win the 2026 FIFA World Cup?</t>
        </is>
      </c>
      <c r="B1292" s="4" t="n">
        <v>46205</v>
      </c>
      <c r="C1292" s="5" t="n">
        <v>46205.97158564815</v>
      </c>
      <c r="D1292" t="inlineStr">
        <is>
          <t>SELL</t>
        </is>
      </c>
      <c r="E1292" t="inlineStr">
        <is>
          <t>No</t>
        </is>
      </c>
      <c r="F1292" s="2" t="n">
        <v>0.998</v>
      </c>
      <c r="G1292" s="6" t="n">
        <v>10.9</v>
      </c>
      <c r="H1292" s="6">
        <f>F1292*G1292</f>
        <v/>
      </c>
      <c r="I1292">
        <f>_xlfn.XLOOKUP(A1292,MktTitle,MktCat,"n/a")</f>
        <v/>
      </c>
      <c r="J1292" s="3">
        <f>_xlfn.XLOOKUP(A1292,MktTitle,MktTotVol,0)</f>
        <v/>
      </c>
      <c r="K1292">
        <f>IF(H1292&gt;WhaleThreshold,"WHALE","")</f>
        <v/>
      </c>
    </row>
    <row r="1293">
      <c r="A1293" t="inlineStr">
        <is>
          <t>Will Paraguay win the 2026 FIFA World Cup?</t>
        </is>
      </c>
      <c r="B1293" s="4" t="n">
        <v>46205</v>
      </c>
      <c r="C1293" s="5" t="n">
        <v>46205.97157407407</v>
      </c>
      <c r="D1293" t="inlineStr">
        <is>
          <t>SELL</t>
        </is>
      </c>
      <c r="E1293" t="inlineStr">
        <is>
          <t>No</t>
        </is>
      </c>
      <c r="F1293" s="2" t="n">
        <v>0.998</v>
      </c>
      <c r="G1293" s="6" t="n">
        <v>10.9</v>
      </c>
      <c r="H1293" s="6">
        <f>F1293*G1293</f>
        <v/>
      </c>
      <c r="I1293">
        <f>_xlfn.XLOOKUP(A1293,MktTitle,MktCat,"n/a")</f>
        <v/>
      </c>
      <c r="J1293" s="3">
        <f>_xlfn.XLOOKUP(A1293,MktTitle,MktTotVol,0)</f>
        <v/>
      </c>
      <c r="K1293">
        <f>IF(H1293&gt;WhaleThreshold,"WHALE","")</f>
        <v/>
      </c>
    </row>
    <row r="1294">
      <c r="A1294" t="inlineStr">
        <is>
          <t>Will Paraguay win the 2026 FIFA World Cup?</t>
        </is>
      </c>
      <c r="B1294" s="4" t="n">
        <v>46205</v>
      </c>
      <c r="C1294" s="5" t="n">
        <v>46205.97157407407</v>
      </c>
      <c r="D1294" t="inlineStr">
        <is>
          <t>SELL</t>
        </is>
      </c>
      <c r="E1294" t="inlineStr">
        <is>
          <t>Yes</t>
        </is>
      </c>
      <c r="F1294" s="2" t="n">
        <v>0.001</v>
      </c>
      <c r="G1294" s="6" t="n">
        <v>0.05</v>
      </c>
      <c r="H1294" s="6">
        <f>F1294*G1294</f>
        <v/>
      </c>
      <c r="I1294">
        <f>_xlfn.XLOOKUP(A1294,MktTitle,MktCat,"n/a")</f>
        <v/>
      </c>
      <c r="J1294" s="3">
        <f>_xlfn.XLOOKUP(A1294,MktTitle,MktTotVol,0)</f>
        <v/>
      </c>
      <c r="K1294">
        <f>IF(H1294&gt;WhaleThreshold,"WHALE","")</f>
        <v/>
      </c>
    </row>
    <row r="1295">
      <c r="A1295" t="inlineStr">
        <is>
          <t>Will Paraguay win the 2026 FIFA World Cup?</t>
        </is>
      </c>
      <c r="B1295" s="4" t="n">
        <v>46205</v>
      </c>
      <c r="C1295" s="5" t="n">
        <v>46205.97113425926</v>
      </c>
      <c r="D1295" t="inlineStr">
        <is>
          <t>BUY</t>
        </is>
      </c>
      <c r="E1295" t="inlineStr">
        <is>
          <t>No</t>
        </is>
      </c>
      <c r="F1295" s="2" t="n">
        <v>0.999</v>
      </c>
      <c r="G1295" s="6" t="n">
        <v>10.9</v>
      </c>
      <c r="H1295" s="6">
        <f>F1295*G1295</f>
        <v/>
      </c>
      <c r="I1295">
        <f>_xlfn.XLOOKUP(A1295,MktTitle,MktCat,"n/a")</f>
        <v/>
      </c>
      <c r="J1295" s="3">
        <f>_xlfn.XLOOKUP(A1295,MktTitle,MktTotVol,0)</f>
        <v/>
      </c>
      <c r="K1295">
        <f>IF(H1295&gt;WhaleThreshold,"WHALE","")</f>
        <v/>
      </c>
    </row>
    <row r="1296">
      <c r="A1296" t="inlineStr">
        <is>
          <t>Will Paraguay win the 2026 FIFA World Cup?</t>
        </is>
      </c>
      <c r="B1296" s="4" t="n">
        <v>46205</v>
      </c>
      <c r="C1296" s="5" t="n">
        <v>46205.97113425926</v>
      </c>
      <c r="D1296" t="inlineStr">
        <is>
          <t>BUY</t>
        </is>
      </c>
      <c r="E1296" t="inlineStr">
        <is>
          <t>No</t>
        </is>
      </c>
      <c r="F1296" s="2" t="n">
        <v>0.999</v>
      </c>
      <c r="G1296" s="6" t="n">
        <v>10.9</v>
      </c>
      <c r="H1296" s="6">
        <f>F1296*G1296</f>
        <v/>
      </c>
      <c r="I1296">
        <f>_xlfn.XLOOKUP(A1296,MktTitle,MktCat,"n/a")</f>
        <v/>
      </c>
      <c r="J1296" s="3">
        <f>_xlfn.XLOOKUP(A1296,MktTitle,MktTotVol,0)</f>
        <v/>
      </c>
      <c r="K1296">
        <f>IF(H1296&gt;WhaleThreshold,"WHALE","")</f>
        <v/>
      </c>
    </row>
    <row r="1297">
      <c r="A1297" t="inlineStr">
        <is>
          <t>Will Paraguay win the 2026 FIFA World Cup?</t>
        </is>
      </c>
      <c r="B1297" s="4" t="n">
        <v>46205</v>
      </c>
      <c r="C1297" s="5" t="n">
        <v>46205.97113425926</v>
      </c>
      <c r="D1297" t="inlineStr">
        <is>
          <t>BUY</t>
        </is>
      </c>
      <c r="E1297" t="inlineStr">
        <is>
          <t>No</t>
        </is>
      </c>
      <c r="F1297" s="2" t="n">
        <v>0.999</v>
      </c>
      <c r="G1297" s="6" t="n">
        <v>10.9</v>
      </c>
      <c r="H1297" s="6">
        <f>F1297*G1297</f>
        <v/>
      </c>
      <c r="I1297">
        <f>_xlfn.XLOOKUP(A1297,MktTitle,MktCat,"n/a")</f>
        <v/>
      </c>
      <c r="J1297" s="3">
        <f>_xlfn.XLOOKUP(A1297,MktTitle,MktTotVol,0)</f>
        <v/>
      </c>
      <c r="K1297">
        <f>IF(H1297&gt;WhaleThreshold,"WHALE","")</f>
        <v/>
      </c>
    </row>
    <row r="1298">
      <c r="A1298" t="inlineStr">
        <is>
          <t>Will Paraguay win the 2026 FIFA World Cup?</t>
        </is>
      </c>
      <c r="B1298" s="4" t="n">
        <v>46205</v>
      </c>
      <c r="C1298" s="5" t="n">
        <v>46205.97015046296</v>
      </c>
      <c r="D1298" t="inlineStr">
        <is>
          <t>BUY</t>
        </is>
      </c>
      <c r="E1298" t="inlineStr">
        <is>
          <t>No</t>
        </is>
      </c>
      <c r="F1298" s="2" t="n">
        <v>0.999</v>
      </c>
      <c r="G1298" s="6" t="n">
        <v>40</v>
      </c>
      <c r="H1298" s="6">
        <f>F1298*G1298</f>
        <v/>
      </c>
      <c r="I1298">
        <f>_xlfn.XLOOKUP(A1298,MktTitle,MktCat,"n/a")</f>
        <v/>
      </c>
      <c r="J1298" s="3">
        <f>_xlfn.XLOOKUP(A1298,MktTitle,MktTotVol,0)</f>
        <v/>
      </c>
      <c r="K1298">
        <f>IF(H1298&gt;WhaleThreshold,"WHALE","")</f>
        <v/>
      </c>
    </row>
    <row r="1299">
      <c r="A1299" t="inlineStr">
        <is>
          <t>Will Paraguay win the 2026 FIFA World Cup?</t>
        </is>
      </c>
      <c r="B1299" s="4" t="n">
        <v>46205</v>
      </c>
      <c r="C1299" s="5" t="n">
        <v>46205.97012731482</v>
      </c>
      <c r="D1299" t="inlineStr">
        <is>
          <t>BUY</t>
        </is>
      </c>
      <c r="E1299" t="inlineStr">
        <is>
          <t>No</t>
        </is>
      </c>
      <c r="F1299" s="2" t="n">
        <v>0.999</v>
      </c>
      <c r="G1299" s="6" t="n">
        <v>5</v>
      </c>
      <c r="H1299" s="6">
        <f>F1299*G1299</f>
        <v/>
      </c>
      <c r="I1299">
        <f>_xlfn.XLOOKUP(A1299,MktTitle,MktCat,"n/a")</f>
        <v/>
      </c>
      <c r="J1299" s="3">
        <f>_xlfn.XLOOKUP(A1299,MktTitle,MktTotVol,0)</f>
        <v/>
      </c>
      <c r="K1299">
        <f>IF(H1299&gt;WhaleThreshold,"WHALE","")</f>
        <v/>
      </c>
    </row>
    <row r="1300">
      <c r="A1300" t="inlineStr">
        <is>
          <t>Will Paraguay win the 2026 FIFA World Cup?</t>
        </is>
      </c>
      <c r="B1300" s="4" t="n">
        <v>46205</v>
      </c>
      <c r="C1300" s="5" t="n">
        <v>46205.97011574074</v>
      </c>
      <c r="D1300" t="inlineStr">
        <is>
          <t>BUY</t>
        </is>
      </c>
      <c r="E1300" t="inlineStr">
        <is>
          <t>No</t>
        </is>
      </c>
      <c r="F1300" s="2" t="n">
        <v>0.999</v>
      </c>
      <c r="G1300" s="6" t="n">
        <v>20</v>
      </c>
      <c r="H1300" s="6">
        <f>F1300*G1300</f>
        <v/>
      </c>
      <c r="I1300">
        <f>_xlfn.XLOOKUP(A1300,MktTitle,MktCat,"n/a")</f>
        <v/>
      </c>
      <c r="J1300" s="3">
        <f>_xlfn.XLOOKUP(A1300,MktTitle,MktTotVol,0)</f>
        <v/>
      </c>
      <c r="K1300">
        <f>IF(H1300&gt;WhaleThreshold,"WHALE","")</f>
        <v/>
      </c>
    </row>
    <row r="1301">
      <c r="A1301" t="inlineStr">
        <is>
          <t>Will Paraguay win the 2026 FIFA World Cup?</t>
        </is>
      </c>
      <c r="B1301" s="4" t="n">
        <v>46205</v>
      </c>
      <c r="C1301" s="5" t="n">
        <v>46205.97009259259</v>
      </c>
      <c r="D1301" t="inlineStr">
        <is>
          <t>BUY</t>
        </is>
      </c>
      <c r="E1301" t="inlineStr">
        <is>
          <t>No</t>
        </is>
      </c>
      <c r="F1301" s="2" t="n">
        <v>0.999</v>
      </c>
      <c r="G1301" s="6" t="n">
        <v>25.3</v>
      </c>
      <c r="H1301" s="6">
        <f>F1301*G1301</f>
        <v/>
      </c>
      <c r="I1301">
        <f>_xlfn.XLOOKUP(A1301,MktTitle,MktCat,"n/a")</f>
        <v/>
      </c>
      <c r="J1301" s="3">
        <f>_xlfn.XLOOKUP(A1301,MktTitle,MktTotVol,0)</f>
        <v/>
      </c>
      <c r="K1301">
        <f>IF(H1301&gt;WhaleThreshold,"WHALE","")</f>
        <v/>
      </c>
    </row>
    <row r="1302">
      <c r="A1302" t="inlineStr">
        <is>
          <t>Will Paraguay win the 2026 FIFA World Cup?</t>
        </is>
      </c>
      <c r="B1302" s="4" t="n">
        <v>46205</v>
      </c>
      <c r="C1302" s="5" t="n">
        <v>46205.97009259259</v>
      </c>
      <c r="D1302" t="inlineStr">
        <is>
          <t>BUY</t>
        </is>
      </c>
      <c r="E1302" t="inlineStr">
        <is>
          <t>No</t>
        </is>
      </c>
      <c r="F1302" s="2" t="n">
        <v>0.999</v>
      </c>
      <c r="G1302" s="6" t="n">
        <v>10</v>
      </c>
      <c r="H1302" s="6">
        <f>F1302*G1302</f>
        <v/>
      </c>
      <c r="I1302">
        <f>_xlfn.XLOOKUP(A1302,MktTitle,MktCat,"n/a")</f>
        <v/>
      </c>
      <c r="J1302" s="3">
        <f>_xlfn.XLOOKUP(A1302,MktTitle,MktTotVol,0)</f>
        <v/>
      </c>
      <c r="K1302">
        <f>IF(H1302&gt;WhaleThreshold,"WHALE","")</f>
        <v/>
      </c>
    </row>
    <row r="1303">
      <c r="A1303" t="inlineStr">
        <is>
          <t>Will Paraguay win the 2026 FIFA World Cup?</t>
        </is>
      </c>
      <c r="B1303" s="4" t="n">
        <v>46205</v>
      </c>
      <c r="C1303" s="5" t="n">
        <v>46205.97008101852</v>
      </c>
      <c r="D1303" t="inlineStr">
        <is>
          <t>BUY</t>
        </is>
      </c>
      <c r="E1303" t="inlineStr">
        <is>
          <t>No</t>
        </is>
      </c>
      <c r="F1303" s="2" t="n">
        <v>0.999</v>
      </c>
      <c r="G1303" s="6" t="n">
        <v>60</v>
      </c>
      <c r="H1303" s="6">
        <f>F1303*G1303</f>
        <v/>
      </c>
      <c r="I1303">
        <f>_xlfn.XLOOKUP(A1303,MktTitle,MktCat,"n/a")</f>
        <v/>
      </c>
      <c r="J1303" s="3">
        <f>_xlfn.XLOOKUP(A1303,MktTitle,MktTotVol,0)</f>
        <v/>
      </c>
      <c r="K1303">
        <f>IF(H1303&gt;WhaleThreshold,"WHALE","")</f>
        <v/>
      </c>
    </row>
    <row r="1304">
      <c r="A1304" t="inlineStr">
        <is>
          <t>Will Paraguay win the 2026 FIFA World Cup?</t>
        </is>
      </c>
      <c r="B1304" s="4" t="n">
        <v>46205</v>
      </c>
      <c r="C1304" s="5" t="n">
        <v>46205.97005787037</v>
      </c>
      <c r="D1304" t="inlineStr">
        <is>
          <t>BUY</t>
        </is>
      </c>
      <c r="E1304" t="inlineStr">
        <is>
          <t>No</t>
        </is>
      </c>
      <c r="F1304" s="2" t="n">
        <v>0.999</v>
      </c>
      <c r="G1304" s="6" t="n">
        <v>50.7</v>
      </c>
      <c r="H1304" s="6">
        <f>F1304*G1304</f>
        <v/>
      </c>
      <c r="I1304">
        <f>_xlfn.XLOOKUP(A1304,MktTitle,MktCat,"n/a")</f>
        <v/>
      </c>
      <c r="J1304" s="3">
        <f>_xlfn.XLOOKUP(A1304,MktTitle,MktTotVol,0)</f>
        <v/>
      </c>
      <c r="K1304">
        <f>IF(H1304&gt;WhaleThreshold,"WHALE","")</f>
        <v/>
      </c>
    </row>
    <row r="1305">
      <c r="A1305" t="inlineStr">
        <is>
          <t>Will Paraguay win the 2026 FIFA World Cup?</t>
        </is>
      </c>
      <c r="B1305" s="4" t="n">
        <v>46205</v>
      </c>
      <c r="C1305" s="5" t="n">
        <v>46205.97005787037</v>
      </c>
      <c r="D1305" t="inlineStr">
        <is>
          <t>BUY</t>
        </is>
      </c>
      <c r="E1305" t="inlineStr">
        <is>
          <t>No</t>
        </is>
      </c>
      <c r="F1305" s="2" t="n">
        <v>0.999</v>
      </c>
      <c r="G1305" s="6" t="n">
        <v>5</v>
      </c>
      <c r="H1305" s="6">
        <f>F1305*G1305</f>
        <v/>
      </c>
      <c r="I1305">
        <f>_xlfn.XLOOKUP(A1305,MktTitle,MktCat,"n/a")</f>
        <v/>
      </c>
      <c r="J1305" s="3">
        <f>_xlfn.XLOOKUP(A1305,MktTitle,MktTotVol,0)</f>
        <v/>
      </c>
      <c r="K1305">
        <f>IF(H1305&gt;WhaleThreshold,"WHALE","")</f>
        <v/>
      </c>
    </row>
    <row r="1306">
      <c r="A1306" t="inlineStr">
        <is>
          <t>Will Paraguay win the 2026 FIFA World Cup?</t>
        </is>
      </c>
      <c r="B1306" s="4" t="n">
        <v>46205</v>
      </c>
      <c r="C1306" s="5" t="n">
        <v>46205.97004629629</v>
      </c>
      <c r="D1306" t="inlineStr">
        <is>
          <t>BUY</t>
        </is>
      </c>
      <c r="E1306" t="inlineStr">
        <is>
          <t>No</t>
        </is>
      </c>
      <c r="F1306" s="2" t="n">
        <v>0.999</v>
      </c>
      <c r="G1306" s="6" t="n">
        <v>5</v>
      </c>
      <c r="H1306" s="6">
        <f>F1306*G1306</f>
        <v/>
      </c>
      <c r="I1306">
        <f>_xlfn.XLOOKUP(A1306,MktTitle,MktCat,"n/a")</f>
        <v/>
      </c>
      <c r="J1306" s="3">
        <f>_xlfn.XLOOKUP(A1306,MktTitle,MktTotVol,0)</f>
        <v/>
      </c>
      <c r="K1306">
        <f>IF(H1306&gt;WhaleThreshold,"WHALE","")</f>
        <v/>
      </c>
    </row>
    <row r="1307">
      <c r="A1307" t="inlineStr">
        <is>
          <t>Will Paraguay win the 2026 FIFA World Cup?</t>
        </is>
      </c>
      <c r="B1307" s="4" t="n">
        <v>46205</v>
      </c>
      <c r="C1307" s="5" t="n">
        <v>46205.97004629629</v>
      </c>
      <c r="D1307" t="inlineStr">
        <is>
          <t>BUY</t>
        </is>
      </c>
      <c r="E1307" t="inlineStr">
        <is>
          <t>No</t>
        </is>
      </c>
      <c r="F1307" s="2" t="n">
        <v>0.999</v>
      </c>
      <c r="G1307" s="6" t="n">
        <v>10</v>
      </c>
      <c r="H1307" s="6">
        <f>F1307*G1307</f>
        <v/>
      </c>
      <c r="I1307">
        <f>_xlfn.XLOOKUP(A1307,MktTitle,MktCat,"n/a")</f>
        <v/>
      </c>
      <c r="J1307" s="3">
        <f>_xlfn.XLOOKUP(A1307,MktTitle,MktTotVol,0)</f>
        <v/>
      </c>
      <c r="K1307">
        <f>IF(H1307&gt;WhaleThreshold,"WHALE","")</f>
        <v/>
      </c>
    </row>
    <row r="1308">
      <c r="A1308" t="inlineStr">
        <is>
          <t>Will Paraguay win the 2026 FIFA World Cup?</t>
        </is>
      </c>
      <c r="B1308" s="4" t="n">
        <v>46205</v>
      </c>
      <c r="C1308" s="5" t="n">
        <v>46205.96988425926</v>
      </c>
      <c r="D1308" t="inlineStr">
        <is>
          <t>BUY</t>
        </is>
      </c>
      <c r="E1308" t="inlineStr">
        <is>
          <t>No</t>
        </is>
      </c>
      <c r="F1308" s="2" t="n">
        <v>0.999</v>
      </c>
      <c r="G1308" s="6" t="n">
        <v>100</v>
      </c>
      <c r="H1308" s="6">
        <f>F1308*G1308</f>
        <v/>
      </c>
      <c r="I1308">
        <f>_xlfn.XLOOKUP(A1308,MktTitle,MktCat,"n/a")</f>
        <v/>
      </c>
      <c r="J1308" s="3">
        <f>_xlfn.XLOOKUP(A1308,MktTitle,MktTotVol,0)</f>
        <v/>
      </c>
      <c r="K1308">
        <f>IF(H1308&gt;WhaleThreshold,"WHALE","")</f>
        <v/>
      </c>
    </row>
    <row r="1309">
      <c r="A1309" t="inlineStr">
        <is>
          <t>Will Paraguay win the 2026 FIFA World Cup?</t>
        </is>
      </c>
      <c r="B1309" s="4" t="n">
        <v>46205</v>
      </c>
      <c r="C1309" s="5" t="n">
        <v>46205.96987268519</v>
      </c>
      <c r="D1309" t="inlineStr">
        <is>
          <t>BUY</t>
        </is>
      </c>
      <c r="E1309" t="inlineStr">
        <is>
          <t>No</t>
        </is>
      </c>
      <c r="F1309" s="2" t="n">
        <v>0.999</v>
      </c>
      <c r="G1309" s="6" t="n">
        <v>73.59999999999999</v>
      </c>
      <c r="H1309" s="6">
        <f>F1309*G1309</f>
        <v/>
      </c>
      <c r="I1309">
        <f>_xlfn.XLOOKUP(A1309,MktTitle,MktCat,"n/a")</f>
        <v/>
      </c>
      <c r="J1309" s="3">
        <f>_xlfn.XLOOKUP(A1309,MktTitle,MktTotVol,0)</f>
        <v/>
      </c>
      <c r="K1309">
        <f>IF(H1309&gt;WhaleThreshold,"WHALE","")</f>
        <v/>
      </c>
    </row>
    <row r="1310">
      <c r="A1310" t="inlineStr">
        <is>
          <t>Will Paraguay win the 2026 FIFA World Cup?</t>
        </is>
      </c>
      <c r="B1310" s="4" t="n">
        <v>46205</v>
      </c>
      <c r="C1310" s="5" t="n">
        <v>46205.96987268519</v>
      </c>
      <c r="D1310" t="inlineStr">
        <is>
          <t>BUY</t>
        </is>
      </c>
      <c r="E1310" t="inlineStr">
        <is>
          <t>No</t>
        </is>
      </c>
      <c r="F1310" s="2" t="n">
        <v>0.999</v>
      </c>
      <c r="G1310" s="6" t="n">
        <v>80</v>
      </c>
      <c r="H1310" s="6">
        <f>F1310*G1310</f>
        <v/>
      </c>
      <c r="I1310">
        <f>_xlfn.XLOOKUP(A1310,MktTitle,MktCat,"n/a")</f>
        <v/>
      </c>
      <c r="J1310" s="3">
        <f>_xlfn.XLOOKUP(A1310,MktTitle,MktTotVol,0)</f>
        <v/>
      </c>
      <c r="K1310">
        <f>IF(H1310&gt;WhaleThreshold,"WHALE","")</f>
        <v/>
      </c>
    </row>
    <row r="1311">
      <c r="A1311" t="inlineStr">
        <is>
          <t>Will Paraguay win the 2026 FIFA World Cup?</t>
        </is>
      </c>
      <c r="B1311" s="4" t="n">
        <v>46205</v>
      </c>
      <c r="C1311" s="5" t="n">
        <v>46205.96987268519</v>
      </c>
      <c r="D1311" t="inlineStr">
        <is>
          <t>BUY</t>
        </is>
      </c>
      <c r="E1311" t="inlineStr">
        <is>
          <t>No</t>
        </is>
      </c>
      <c r="F1311" s="2" t="n">
        <v>0.999</v>
      </c>
      <c r="G1311" s="6" t="n">
        <v>86</v>
      </c>
      <c r="H1311" s="6">
        <f>F1311*G1311</f>
        <v/>
      </c>
      <c r="I1311">
        <f>_xlfn.XLOOKUP(A1311,MktTitle,MktCat,"n/a")</f>
        <v/>
      </c>
      <c r="J1311" s="3">
        <f>_xlfn.XLOOKUP(A1311,MktTitle,MktTotVol,0)</f>
        <v/>
      </c>
      <c r="K1311">
        <f>IF(H1311&gt;WhaleThreshold,"WHALE","")</f>
        <v/>
      </c>
    </row>
    <row r="1312">
      <c r="A1312" t="inlineStr">
        <is>
          <t>Will Paraguay win the 2026 FIFA World Cup?</t>
        </is>
      </c>
      <c r="B1312" s="4" t="n">
        <v>46205</v>
      </c>
      <c r="C1312" s="5" t="n">
        <v>46205.96980324074</v>
      </c>
      <c r="D1312" t="inlineStr">
        <is>
          <t>BUY</t>
        </is>
      </c>
      <c r="E1312" t="inlineStr">
        <is>
          <t>No</t>
        </is>
      </c>
      <c r="F1312" s="2" t="n">
        <v>0.999</v>
      </c>
      <c r="G1312" s="6" t="n">
        <v>80</v>
      </c>
      <c r="H1312" s="6">
        <f>F1312*G1312</f>
        <v/>
      </c>
      <c r="I1312">
        <f>_xlfn.XLOOKUP(A1312,MktTitle,MktCat,"n/a")</f>
        <v/>
      </c>
      <c r="J1312" s="3">
        <f>_xlfn.XLOOKUP(A1312,MktTitle,MktTotVol,0)</f>
        <v/>
      </c>
      <c r="K1312">
        <f>IF(H1312&gt;WhaleThreshold,"WHALE","")</f>
        <v/>
      </c>
    </row>
    <row r="1313">
      <c r="A1313" t="inlineStr">
        <is>
          <t>Will Paraguay win the 2026 FIFA World Cup?</t>
        </is>
      </c>
      <c r="B1313" s="4" t="n">
        <v>46205</v>
      </c>
      <c r="C1313" s="5" t="n">
        <v>46205.9696412037</v>
      </c>
      <c r="D1313" t="inlineStr">
        <is>
          <t>BUY</t>
        </is>
      </c>
      <c r="E1313" t="inlineStr">
        <is>
          <t>No</t>
        </is>
      </c>
      <c r="F1313" s="2" t="n">
        <v>0.999</v>
      </c>
      <c r="G1313" s="6" t="n">
        <v>10</v>
      </c>
      <c r="H1313" s="6">
        <f>F1313*G1313</f>
        <v/>
      </c>
      <c r="I1313">
        <f>_xlfn.XLOOKUP(A1313,MktTitle,MktCat,"n/a")</f>
        <v/>
      </c>
      <c r="J1313" s="3">
        <f>_xlfn.XLOOKUP(A1313,MktTitle,MktTotVol,0)</f>
        <v/>
      </c>
      <c r="K1313">
        <f>IF(H1313&gt;WhaleThreshold,"WHALE","")</f>
        <v/>
      </c>
    </row>
    <row r="1314">
      <c r="A1314" t="inlineStr">
        <is>
          <t>Will Paraguay win the 2026 FIFA World Cup?</t>
        </is>
      </c>
      <c r="B1314" s="4" t="n">
        <v>46205</v>
      </c>
      <c r="C1314" s="5" t="n">
        <v>46205.96910879629</v>
      </c>
      <c r="D1314" t="inlineStr">
        <is>
          <t>SELL</t>
        </is>
      </c>
      <c r="E1314" t="inlineStr">
        <is>
          <t>Yes</t>
        </is>
      </c>
      <c r="F1314" s="2" t="n">
        <v>0.001</v>
      </c>
      <c r="G1314" s="6" t="n">
        <v>98.54000000000001</v>
      </c>
      <c r="H1314" s="6">
        <f>F1314*G1314</f>
        <v/>
      </c>
      <c r="I1314">
        <f>_xlfn.XLOOKUP(A1314,MktTitle,MktCat,"n/a")</f>
        <v/>
      </c>
      <c r="J1314" s="3">
        <f>_xlfn.XLOOKUP(A1314,MktTitle,MktTotVol,0)</f>
        <v/>
      </c>
      <c r="K1314">
        <f>IF(H1314&gt;WhaleThreshold,"WHALE","")</f>
        <v/>
      </c>
    </row>
    <row r="1315">
      <c r="A1315" t="inlineStr">
        <is>
          <t>Will Paraguay win the 2026 FIFA World Cup?</t>
        </is>
      </c>
      <c r="B1315" s="4" t="n">
        <v>46205</v>
      </c>
      <c r="C1315" s="5" t="n">
        <v>46205.96835648148</v>
      </c>
      <c r="D1315" t="inlineStr">
        <is>
          <t>SELL</t>
        </is>
      </c>
      <c r="E1315" t="inlineStr">
        <is>
          <t>No</t>
        </is>
      </c>
      <c r="F1315" s="2" t="n">
        <v>0.998</v>
      </c>
      <c r="G1315" s="6" t="n">
        <v>10.64</v>
      </c>
      <c r="H1315" s="6">
        <f>F1315*G1315</f>
        <v/>
      </c>
      <c r="I1315">
        <f>_xlfn.XLOOKUP(A1315,MktTitle,MktCat,"n/a")</f>
        <v/>
      </c>
      <c r="J1315" s="3">
        <f>_xlfn.XLOOKUP(A1315,MktTitle,MktTotVol,0)</f>
        <v/>
      </c>
      <c r="K1315">
        <f>IF(H1315&gt;WhaleThreshold,"WHALE","")</f>
        <v/>
      </c>
    </row>
    <row r="1316">
      <c r="A1316" t="inlineStr">
        <is>
          <t>Will Paraguay win the 2026 FIFA World Cup?</t>
        </is>
      </c>
      <c r="B1316" s="4" t="n">
        <v>46205</v>
      </c>
      <c r="C1316" s="5" t="n">
        <v>46205.96835648148</v>
      </c>
      <c r="D1316" t="inlineStr">
        <is>
          <t>SELL</t>
        </is>
      </c>
      <c r="E1316" t="inlineStr">
        <is>
          <t>Yes</t>
        </is>
      </c>
      <c r="F1316" s="2" t="n">
        <v>0.001</v>
      </c>
      <c r="G1316" s="6" t="n">
        <v>0.05</v>
      </c>
      <c r="H1316" s="6">
        <f>F1316*G1316</f>
        <v/>
      </c>
      <c r="I1316">
        <f>_xlfn.XLOOKUP(A1316,MktTitle,MktCat,"n/a")</f>
        <v/>
      </c>
      <c r="J1316" s="3">
        <f>_xlfn.XLOOKUP(A1316,MktTitle,MktTotVol,0)</f>
        <v/>
      </c>
      <c r="K1316">
        <f>IF(H1316&gt;WhaleThreshold,"WHALE","")</f>
        <v/>
      </c>
    </row>
    <row r="1317">
      <c r="A1317" t="inlineStr">
        <is>
          <t>Will Paraguay win the 2026 FIFA World Cup?</t>
        </is>
      </c>
      <c r="B1317" s="4" t="n">
        <v>46205</v>
      </c>
      <c r="C1317" s="5" t="n">
        <v>46205.96835648148</v>
      </c>
      <c r="D1317" t="inlineStr">
        <is>
          <t>SELL</t>
        </is>
      </c>
      <c r="E1317" t="inlineStr">
        <is>
          <t>Yes</t>
        </is>
      </c>
      <c r="F1317" s="2" t="n">
        <v>0.001</v>
      </c>
      <c r="G1317" s="6" t="n">
        <v>0.05</v>
      </c>
      <c r="H1317" s="6">
        <f>F1317*G1317</f>
        <v/>
      </c>
      <c r="I1317">
        <f>_xlfn.XLOOKUP(A1317,MktTitle,MktCat,"n/a")</f>
        <v/>
      </c>
      <c r="J1317" s="3">
        <f>_xlfn.XLOOKUP(A1317,MktTitle,MktTotVol,0)</f>
        <v/>
      </c>
      <c r="K1317">
        <f>IF(H1317&gt;WhaleThreshold,"WHALE","")</f>
        <v/>
      </c>
    </row>
    <row r="1318">
      <c r="A1318" t="inlineStr">
        <is>
          <t>Will Paraguay win the 2026 FIFA World Cup?</t>
        </is>
      </c>
      <c r="B1318" s="4" t="n">
        <v>46205</v>
      </c>
      <c r="C1318" s="5" t="n">
        <v>46205.96834490741</v>
      </c>
      <c r="D1318" t="inlineStr">
        <is>
          <t>SELL</t>
        </is>
      </c>
      <c r="E1318" t="inlineStr">
        <is>
          <t>No</t>
        </is>
      </c>
      <c r="F1318" s="2" t="n">
        <v>0.998</v>
      </c>
      <c r="G1318" s="6" t="n">
        <v>10.67</v>
      </c>
      <c r="H1318" s="6">
        <f>F1318*G1318</f>
        <v/>
      </c>
      <c r="I1318">
        <f>_xlfn.XLOOKUP(A1318,MktTitle,MktCat,"n/a")</f>
        <v/>
      </c>
      <c r="J1318" s="3">
        <f>_xlfn.XLOOKUP(A1318,MktTitle,MktTotVol,0)</f>
        <v/>
      </c>
      <c r="K1318">
        <f>IF(H1318&gt;WhaleThreshold,"WHALE","")</f>
        <v/>
      </c>
    </row>
    <row r="1319">
      <c r="A1319" t="inlineStr">
        <is>
          <t>Will Paraguay win the 2026 FIFA World Cup?</t>
        </is>
      </c>
      <c r="B1319" s="4" t="n">
        <v>46205</v>
      </c>
      <c r="C1319" s="5" t="n">
        <v>46205.96832175926</v>
      </c>
      <c r="D1319" t="inlineStr">
        <is>
          <t>SELL</t>
        </is>
      </c>
      <c r="E1319" t="inlineStr">
        <is>
          <t>Yes</t>
        </is>
      </c>
      <c r="F1319" s="2" t="n">
        <v>0.001</v>
      </c>
      <c r="G1319" s="6" t="n">
        <v>0.05</v>
      </c>
      <c r="H1319" s="6">
        <f>F1319*G1319</f>
        <v/>
      </c>
      <c r="I1319">
        <f>_xlfn.XLOOKUP(A1319,MktTitle,MktCat,"n/a")</f>
        <v/>
      </c>
      <c r="J1319" s="3">
        <f>_xlfn.XLOOKUP(A1319,MktTitle,MktTotVol,0)</f>
        <v/>
      </c>
      <c r="K1319">
        <f>IF(H1319&gt;WhaleThreshold,"WHALE","")</f>
        <v/>
      </c>
    </row>
    <row r="1320">
      <c r="A1320" t="inlineStr">
        <is>
          <t>Will Paraguay win the 2026 FIFA World Cup?</t>
        </is>
      </c>
      <c r="B1320" s="4" t="n">
        <v>46205</v>
      </c>
      <c r="C1320" s="5" t="n">
        <v>46205.96832175926</v>
      </c>
      <c r="D1320" t="inlineStr">
        <is>
          <t>SELL</t>
        </is>
      </c>
      <c r="E1320" t="inlineStr">
        <is>
          <t>No</t>
        </is>
      </c>
      <c r="F1320" s="2" t="n">
        <v>0.998</v>
      </c>
      <c r="G1320" s="6" t="n">
        <v>10.75</v>
      </c>
      <c r="H1320" s="6">
        <f>F1320*G1320</f>
        <v/>
      </c>
      <c r="I1320">
        <f>_xlfn.XLOOKUP(A1320,MktTitle,MktCat,"n/a")</f>
        <v/>
      </c>
      <c r="J1320" s="3">
        <f>_xlfn.XLOOKUP(A1320,MktTitle,MktTotVol,0)</f>
        <v/>
      </c>
      <c r="K1320">
        <f>IF(H1320&gt;WhaleThreshold,"WHALE","")</f>
        <v/>
      </c>
    </row>
    <row r="1321">
      <c r="A1321" t="inlineStr">
        <is>
          <t>Will Paraguay win the 2026 FIFA World Cup?</t>
        </is>
      </c>
      <c r="B1321" s="4" t="n">
        <v>46205</v>
      </c>
      <c r="C1321" s="5" t="n">
        <v>46205.96832175926</v>
      </c>
      <c r="D1321" t="inlineStr">
        <is>
          <t>SELL</t>
        </is>
      </c>
      <c r="E1321" t="inlineStr">
        <is>
          <t>Yes</t>
        </is>
      </c>
      <c r="F1321" s="2" t="n">
        <v>0.001</v>
      </c>
      <c r="G1321" s="6" t="n">
        <v>0.05</v>
      </c>
      <c r="H1321" s="6">
        <f>F1321*G1321</f>
        <v/>
      </c>
      <c r="I1321">
        <f>_xlfn.XLOOKUP(A1321,MktTitle,MktCat,"n/a")</f>
        <v/>
      </c>
      <c r="J1321" s="3">
        <f>_xlfn.XLOOKUP(A1321,MktTitle,MktTotVol,0)</f>
        <v/>
      </c>
      <c r="K1321">
        <f>IF(H1321&gt;WhaleThreshold,"WHALE","")</f>
        <v/>
      </c>
    </row>
    <row r="1322">
      <c r="A1322" t="inlineStr">
        <is>
          <t>Will Paraguay win the 2026 FIFA World Cup?</t>
        </is>
      </c>
      <c r="B1322" s="4" t="n">
        <v>46205</v>
      </c>
      <c r="C1322" s="5" t="n">
        <v>46205.96832175926</v>
      </c>
      <c r="D1322" t="inlineStr">
        <is>
          <t>SELL</t>
        </is>
      </c>
      <c r="E1322" t="inlineStr">
        <is>
          <t>No</t>
        </is>
      </c>
      <c r="F1322" s="2" t="n">
        <v>0.998</v>
      </c>
      <c r="G1322" s="6" t="n">
        <v>10.89</v>
      </c>
      <c r="H1322" s="6">
        <f>F1322*G1322</f>
        <v/>
      </c>
      <c r="I1322">
        <f>_xlfn.XLOOKUP(A1322,MktTitle,MktCat,"n/a")</f>
        <v/>
      </c>
      <c r="J1322" s="3">
        <f>_xlfn.XLOOKUP(A1322,MktTitle,MktTotVol,0)</f>
        <v/>
      </c>
      <c r="K1322">
        <f>IF(H1322&gt;WhaleThreshold,"WHALE","")</f>
        <v/>
      </c>
    </row>
    <row r="1323">
      <c r="A1323" t="inlineStr">
        <is>
          <t>Will Paraguay win the 2026 FIFA World Cup?</t>
        </is>
      </c>
      <c r="B1323" s="4" t="n">
        <v>46205</v>
      </c>
      <c r="C1323" s="5" t="n">
        <v>46205.96730324074</v>
      </c>
      <c r="D1323" t="inlineStr">
        <is>
          <t>BUY</t>
        </is>
      </c>
      <c r="E1323" t="inlineStr">
        <is>
          <t>No</t>
        </is>
      </c>
      <c r="F1323" s="2" t="n">
        <v>0.999</v>
      </c>
      <c r="G1323" s="6" t="n">
        <v>1.1</v>
      </c>
      <c r="H1323" s="6">
        <f>F1323*G1323</f>
        <v/>
      </c>
      <c r="I1323">
        <f>_xlfn.XLOOKUP(A1323,MktTitle,MktCat,"n/a")</f>
        <v/>
      </c>
      <c r="J1323" s="3">
        <f>_xlfn.XLOOKUP(A1323,MktTitle,MktTotVol,0)</f>
        <v/>
      </c>
      <c r="K1323">
        <f>IF(H1323&gt;WhaleThreshold,"WHALE","")</f>
        <v/>
      </c>
    </row>
    <row r="1324">
      <c r="A1324" t="inlineStr">
        <is>
          <t>Will Paraguay win the 2026 FIFA World Cup?</t>
        </is>
      </c>
      <c r="B1324" s="4" t="n">
        <v>46205</v>
      </c>
      <c r="C1324" s="5" t="n">
        <v>46205.9672337963</v>
      </c>
      <c r="D1324" t="inlineStr">
        <is>
          <t>BUY</t>
        </is>
      </c>
      <c r="E1324" t="inlineStr">
        <is>
          <t>No</t>
        </is>
      </c>
      <c r="F1324" s="2" t="n">
        <v>0.999</v>
      </c>
      <c r="G1324" s="6" t="n">
        <v>32.4</v>
      </c>
      <c r="H1324" s="6">
        <f>F1324*G1324</f>
        <v/>
      </c>
      <c r="I1324">
        <f>_xlfn.XLOOKUP(A1324,MktTitle,MktCat,"n/a")</f>
        <v/>
      </c>
      <c r="J1324" s="3">
        <f>_xlfn.XLOOKUP(A1324,MktTitle,MktTotVol,0)</f>
        <v/>
      </c>
      <c r="K1324">
        <f>IF(H1324&gt;WhaleThreshold,"WHALE","")</f>
        <v/>
      </c>
    </row>
    <row r="1325">
      <c r="A1325" t="inlineStr">
        <is>
          <t>Will Paraguay win the 2026 FIFA World Cup?</t>
        </is>
      </c>
      <c r="B1325" s="4" t="n">
        <v>46205</v>
      </c>
      <c r="C1325" s="5" t="n">
        <v>46205.96717592593</v>
      </c>
      <c r="D1325" t="inlineStr">
        <is>
          <t>BUY</t>
        </is>
      </c>
      <c r="E1325" t="inlineStr">
        <is>
          <t>No</t>
        </is>
      </c>
      <c r="F1325" s="2" t="n">
        <v>0.999</v>
      </c>
      <c r="G1325" s="6" t="n">
        <v>110</v>
      </c>
      <c r="H1325" s="6">
        <f>F1325*G1325</f>
        <v/>
      </c>
      <c r="I1325">
        <f>_xlfn.XLOOKUP(A1325,MktTitle,MktCat,"n/a")</f>
        <v/>
      </c>
      <c r="J1325" s="3">
        <f>_xlfn.XLOOKUP(A1325,MktTitle,MktTotVol,0)</f>
        <v/>
      </c>
      <c r="K1325">
        <f>IF(H1325&gt;WhaleThreshold,"WHALE","")</f>
        <v/>
      </c>
    </row>
    <row r="1326">
      <c r="A1326" t="inlineStr">
        <is>
          <t>Will Paraguay win the 2026 FIFA World Cup?</t>
        </is>
      </c>
      <c r="B1326" s="4" t="n">
        <v>46205</v>
      </c>
      <c r="C1326" s="5" t="n">
        <v>46205.96716435185</v>
      </c>
      <c r="D1326" t="inlineStr">
        <is>
          <t>BUY</t>
        </is>
      </c>
      <c r="E1326" t="inlineStr">
        <is>
          <t>No</t>
        </is>
      </c>
      <c r="F1326" s="2" t="n">
        <v>0.999</v>
      </c>
      <c r="G1326" s="6" t="n">
        <v>5</v>
      </c>
      <c r="H1326" s="6">
        <f>F1326*G1326</f>
        <v/>
      </c>
      <c r="I1326">
        <f>_xlfn.XLOOKUP(A1326,MktTitle,MktCat,"n/a")</f>
        <v/>
      </c>
      <c r="J1326" s="3">
        <f>_xlfn.XLOOKUP(A1326,MktTitle,MktTotVol,0)</f>
        <v/>
      </c>
      <c r="K1326">
        <f>IF(H1326&gt;WhaleThreshold,"WHALE","")</f>
        <v/>
      </c>
    </row>
    <row r="1327">
      <c r="A1327" t="inlineStr">
        <is>
          <t>Will Paraguay win the 2026 FIFA World Cup?</t>
        </is>
      </c>
      <c r="B1327" s="4" t="n">
        <v>46205</v>
      </c>
      <c r="C1327" s="5" t="n">
        <v>46205.96714120371</v>
      </c>
      <c r="D1327" t="inlineStr">
        <is>
          <t>BUY</t>
        </is>
      </c>
      <c r="E1327" t="inlineStr">
        <is>
          <t>No</t>
        </is>
      </c>
      <c r="F1327" s="2" t="n">
        <v>0.999</v>
      </c>
      <c r="G1327" s="6" t="n">
        <v>40</v>
      </c>
      <c r="H1327" s="6">
        <f>F1327*G1327</f>
        <v/>
      </c>
      <c r="I1327">
        <f>_xlfn.XLOOKUP(A1327,MktTitle,MktCat,"n/a")</f>
        <v/>
      </c>
      <c r="J1327" s="3">
        <f>_xlfn.XLOOKUP(A1327,MktTitle,MktTotVol,0)</f>
        <v/>
      </c>
      <c r="K1327">
        <f>IF(H1327&gt;WhaleThreshold,"WHALE","")</f>
        <v/>
      </c>
    </row>
    <row r="1328">
      <c r="A1328" t="inlineStr">
        <is>
          <t>Will Paraguay win the 2026 FIFA World Cup?</t>
        </is>
      </c>
      <c r="B1328" s="4" t="n">
        <v>46205</v>
      </c>
      <c r="C1328" s="5" t="n">
        <v>46205.96712962963</v>
      </c>
      <c r="D1328" t="inlineStr">
        <is>
          <t>BUY</t>
        </is>
      </c>
      <c r="E1328" t="inlineStr">
        <is>
          <t>No</t>
        </is>
      </c>
      <c r="F1328" s="2" t="n">
        <v>0.999</v>
      </c>
      <c r="G1328" s="6" t="n">
        <v>22.8</v>
      </c>
      <c r="H1328" s="6">
        <f>F1328*G1328</f>
        <v/>
      </c>
      <c r="I1328">
        <f>_xlfn.XLOOKUP(A1328,MktTitle,MktCat,"n/a")</f>
        <v/>
      </c>
      <c r="J1328" s="3">
        <f>_xlfn.XLOOKUP(A1328,MktTitle,MktTotVol,0)</f>
        <v/>
      </c>
      <c r="K1328">
        <f>IF(H1328&gt;WhaleThreshold,"WHALE","")</f>
        <v/>
      </c>
    </row>
    <row r="1329">
      <c r="A1329" t="inlineStr">
        <is>
          <t>Will Paraguay win the 2026 FIFA World Cup?</t>
        </is>
      </c>
      <c r="B1329" s="4" t="n">
        <v>46205</v>
      </c>
      <c r="C1329" s="5" t="n">
        <v>46205.96712962963</v>
      </c>
      <c r="D1329" t="inlineStr">
        <is>
          <t>BUY</t>
        </is>
      </c>
      <c r="E1329" t="inlineStr">
        <is>
          <t>No</t>
        </is>
      </c>
      <c r="F1329" s="2" t="n">
        <v>0.999</v>
      </c>
      <c r="G1329" s="6" t="n">
        <v>30</v>
      </c>
      <c r="H1329" s="6">
        <f>F1329*G1329</f>
        <v/>
      </c>
      <c r="I1329">
        <f>_xlfn.XLOOKUP(A1329,MktTitle,MktCat,"n/a")</f>
        <v/>
      </c>
      <c r="J1329" s="3">
        <f>_xlfn.XLOOKUP(A1329,MktTitle,MktTotVol,0)</f>
        <v/>
      </c>
      <c r="K1329">
        <f>IF(H1329&gt;WhaleThreshold,"WHALE","")</f>
        <v/>
      </c>
    </row>
    <row r="1330">
      <c r="A1330" t="inlineStr">
        <is>
          <t>Will Paraguay win the 2026 FIFA World Cup?</t>
        </is>
      </c>
      <c r="B1330" s="4" t="n">
        <v>46205</v>
      </c>
      <c r="C1330" s="5" t="n">
        <v>46205.96712962963</v>
      </c>
      <c r="D1330" t="inlineStr">
        <is>
          <t>BUY</t>
        </is>
      </c>
      <c r="E1330" t="inlineStr">
        <is>
          <t>No</t>
        </is>
      </c>
      <c r="F1330" s="2" t="n">
        <v>0.999</v>
      </c>
      <c r="G1330" s="6" t="n">
        <v>45.6</v>
      </c>
      <c r="H1330" s="6">
        <f>F1330*G1330</f>
        <v/>
      </c>
      <c r="I1330">
        <f>_xlfn.XLOOKUP(A1330,MktTitle,MktCat,"n/a")</f>
        <v/>
      </c>
      <c r="J1330" s="3">
        <f>_xlfn.XLOOKUP(A1330,MktTitle,MktTotVol,0)</f>
        <v/>
      </c>
      <c r="K1330">
        <f>IF(H1330&gt;WhaleThreshold,"WHALE","")</f>
        <v/>
      </c>
    </row>
    <row r="1331">
      <c r="A1331" t="inlineStr">
        <is>
          <t>Will Paraguay win the 2026 FIFA World Cup?</t>
        </is>
      </c>
      <c r="B1331" s="4" t="n">
        <v>46205</v>
      </c>
      <c r="C1331" s="5" t="n">
        <v>46205.96710648148</v>
      </c>
      <c r="D1331" t="inlineStr">
        <is>
          <t>BUY</t>
        </is>
      </c>
      <c r="E1331" t="inlineStr">
        <is>
          <t>No</t>
        </is>
      </c>
      <c r="F1331" s="2" t="n">
        <v>0.999</v>
      </c>
      <c r="G1331" s="6" t="n">
        <v>90</v>
      </c>
      <c r="H1331" s="6">
        <f>F1331*G1331</f>
        <v/>
      </c>
      <c r="I1331">
        <f>_xlfn.XLOOKUP(A1331,MktTitle,MktCat,"n/a")</f>
        <v/>
      </c>
      <c r="J1331" s="3">
        <f>_xlfn.XLOOKUP(A1331,MktTitle,MktTotVol,0)</f>
        <v/>
      </c>
      <c r="K1331">
        <f>IF(H1331&gt;WhaleThreshold,"WHALE","")</f>
        <v/>
      </c>
    </row>
    <row r="1332">
      <c r="A1332" t="inlineStr">
        <is>
          <t>Will Paraguay win the 2026 FIFA World Cup?</t>
        </is>
      </c>
      <c r="B1332" s="4" t="n">
        <v>46205</v>
      </c>
      <c r="C1332" s="5" t="n">
        <v>46205.96685185185</v>
      </c>
      <c r="D1332" t="inlineStr">
        <is>
          <t>BUY</t>
        </is>
      </c>
      <c r="E1332" t="inlineStr">
        <is>
          <t>No</t>
        </is>
      </c>
      <c r="F1332" s="2" t="n">
        <v>0.999</v>
      </c>
      <c r="G1332" s="6" t="n">
        <v>116</v>
      </c>
      <c r="H1332" s="6">
        <f>F1332*G1332</f>
        <v/>
      </c>
      <c r="I1332">
        <f>_xlfn.XLOOKUP(A1332,MktTitle,MktCat,"n/a")</f>
        <v/>
      </c>
      <c r="J1332" s="3">
        <f>_xlfn.XLOOKUP(A1332,MktTitle,MktTotVol,0)</f>
        <v/>
      </c>
      <c r="K1332">
        <f>IF(H1332&gt;WhaleThreshold,"WHALE","")</f>
        <v/>
      </c>
    </row>
    <row r="1333">
      <c r="A1333" t="inlineStr">
        <is>
          <t>Will Paraguay win the 2026 FIFA World Cup?</t>
        </is>
      </c>
      <c r="B1333" s="4" t="n">
        <v>46205</v>
      </c>
      <c r="C1333" s="5" t="n">
        <v>46205.96682870371</v>
      </c>
      <c r="D1333" t="inlineStr">
        <is>
          <t>BUY</t>
        </is>
      </c>
      <c r="E1333" t="inlineStr">
        <is>
          <t>No</t>
        </is>
      </c>
      <c r="F1333" s="2" t="n">
        <v>0.999</v>
      </c>
      <c r="G1333" s="6" t="n">
        <v>8.4</v>
      </c>
      <c r="H1333" s="6">
        <f>F1333*G1333</f>
        <v/>
      </c>
      <c r="I1333">
        <f>_xlfn.XLOOKUP(A1333,MktTitle,MktCat,"n/a")</f>
        <v/>
      </c>
      <c r="J1333" s="3">
        <f>_xlfn.XLOOKUP(A1333,MktTitle,MktTotVol,0)</f>
        <v/>
      </c>
      <c r="K1333">
        <f>IF(H1333&gt;WhaleThreshold,"WHALE","")</f>
        <v/>
      </c>
    </row>
    <row r="1334">
      <c r="A1334" t="inlineStr">
        <is>
          <t>Will Paraguay win the 2026 FIFA World Cup?</t>
        </is>
      </c>
      <c r="B1334" s="4" t="n">
        <v>46205</v>
      </c>
      <c r="C1334" s="5" t="n">
        <v>46205.96682870371</v>
      </c>
      <c r="D1334" t="inlineStr">
        <is>
          <t>BUY</t>
        </is>
      </c>
      <c r="E1334" t="inlineStr">
        <is>
          <t>No</t>
        </is>
      </c>
      <c r="F1334" s="2" t="n">
        <v>0.999</v>
      </c>
      <c r="G1334" s="6" t="n">
        <v>40</v>
      </c>
      <c r="H1334" s="6">
        <f>F1334*G1334</f>
        <v/>
      </c>
      <c r="I1334">
        <f>_xlfn.XLOOKUP(A1334,MktTitle,MktCat,"n/a")</f>
        <v/>
      </c>
      <c r="J1334" s="3">
        <f>_xlfn.XLOOKUP(A1334,MktTitle,MktTotVol,0)</f>
        <v/>
      </c>
      <c r="K1334">
        <f>IF(H1334&gt;WhaleThreshold,"WHALE","")</f>
        <v/>
      </c>
    </row>
    <row r="1335">
      <c r="A1335" t="inlineStr">
        <is>
          <t>Will Paraguay win the 2026 FIFA World Cup?</t>
        </is>
      </c>
      <c r="B1335" s="4" t="n">
        <v>46205</v>
      </c>
      <c r="C1335" s="5" t="n">
        <v>46205.96681712963</v>
      </c>
      <c r="D1335" t="inlineStr">
        <is>
          <t>BUY</t>
        </is>
      </c>
      <c r="E1335" t="inlineStr">
        <is>
          <t>No</t>
        </is>
      </c>
      <c r="F1335" s="2" t="n">
        <v>0.999</v>
      </c>
      <c r="G1335" s="6" t="n">
        <v>73.59999999999999</v>
      </c>
      <c r="H1335" s="6">
        <f>F1335*G1335</f>
        <v/>
      </c>
      <c r="I1335">
        <f>_xlfn.XLOOKUP(A1335,MktTitle,MktCat,"n/a")</f>
        <v/>
      </c>
      <c r="J1335" s="3">
        <f>_xlfn.XLOOKUP(A1335,MktTitle,MktTotVol,0)</f>
        <v/>
      </c>
      <c r="K1335">
        <f>IF(H1335&gt;WhaleThreshold,"WHALE","")</f>
        <v/>
      </c>
    </row>
    <row r="1336">
      <c r="A1336" t="inlineStr">
        <is>
          <t>Will Paraguay win the 2026 FIFA World Cup?</t>
        </is>
      </c>
      <c r="B1336" s="4" t="n">
        <v>46205</v>
      </c>
      <c r="C1336" s="5" t="n">
        <v>46205.96681712963</v>
      </c>
      <c r="D1336" t="inlineStr">
        <is>
          <t>BUY</t>
        </is>
      </c>
      <c r="E1336" t="inlineStr">
        <is>
          <t>No</t>
        </is>
      </c>
      <c r="F1336" s="2" t="n">
        <v>0.999</v>
      </c>
      <c r="G1336" s="6" t="n">
        <v>100</v>
      </c>
      <c r="H1336" s="6">
        <f>F1336*G1336</f>
        <v/>
      </c>
      <c r="I1336">
        <f>_xlfn.XLOOKUP(A1336,MktTitle,MktCat,"n/a")</f>
        <v/>
      </c>
      <c r="J1336" s="3">
        <f>_xlfn.XLOOKUP(A1336,MktTitle,MktTotVol,0)</f>
        <v/>
      </c>
      <c r="K1336">
        <f>IF(H1336&gt;WhaleThreshold,"WHALE","")</f>
        <v/>
      </c>
    </row>
    <row r="1337">
      <c r="A1337" t="inlineStr">
        <is>
          <t>Will Paraguay win the 2026 FIFA World Cup?</t>
        </is>
      </c>
      <c r="B1337" s="4" t="n">
        <v>46205</v>
      </c>
      <c r="C1337" s="5" t="n">
        <v>46205.96679398148</v>
      </c>
      <c r="D1337" t="inlineStr">
        <is>
          <t>BUY</t>
        </is>
      </c>
      <c r="E1337" t="inlineStr">
        <is>
          <t>No</t>
        </is>
      </c>
      <c r="F1337" s="2" t="n">
        <v>0.999</v>
      </c>
      <c r="G1337" s="6" t="n">
        <v>10</v>
      </c>
      <c r="H1337" s="6">
        <f>F1337*G1337</f>
        <v/>
      </c>
      <c r="I1337">
        <f>_xlfn.XLOOKUP(A1337,MktTitle,MktCat,"n/a")</f>
        <v/>
      </c>
      <c r="J1337" s="3">
        <f>_xlfn.XLOOKUP(A1337,MktTitle,MktTotVol,0)</f>
        <v/>
      </c>
      <c r="K1337">
        <f>IF(H1337&gt;WhaleThreshold,"WHALE","")</f>
        <v/>
      </c>
    </row>
    <row r="1338">
      <c r="A1338" t="inlineStr">
        <is>
          <t>Will Paraguay win the 2026 FIFA World Cup?</t>
        </is>
      </c>
      <c r="B1338" s="4" t="n">
        <v>46205</v>
      </c>
      <c r="C1338" s="5" t="n">
        <v>46205.96678240741</v>
      </c>
      <c r="D1338" t="inlineStr">
        <is>
          <t>BUY</t>
        </is>
      </c>
      <c r="E1338" t="inlineStr">
        <is>
          <t>No</t>
        </is>
      </c>
      <c r="F1338" s="2" t="n">
        <v>0.999</v>
      </c>
      <c r="G1338" s="6" t="n">
        <v>15</v>
      </c>
      <c r="H1338" s="6">
        <f>F1338*G1338</f>
        <v/>
      </c>
      <c r="I1338">
        <f>_xlfn.XLOOKUP(A1338,MktTitle,MktCat,"n/a")</f>
        <v/>
      </c>
      <c r="J1338" s="3">
        <f>_xlfn.XLOOKUP(A1338,MktTitle,MktTotVol,0)</f>
        <v/>
      </c>
      <c r="K1338">
        <f>IF(H1338&gt;WhaleThreshold,"WHALE","")</f>
        <v/>
      </c>
    </row>
    <row r="1339">
      <c r="A1339" t="inlineStr">
        <is>
          <t>Will Paraguay win the 2026 FIFA World Cup?</t>
        </is>
      </c>
      <c r="B1339" s="4" t="n">
        <v>46205</v>
      </c>
      <c r="C1339" s="5" t="n">
        <v>46205.96655092593</v>
      </c>
      <c r="D1339" t="inlineStr">
        <is>
          <t>BUY</t>
        </is>
      </c>
      <c r="E1339" t="inlineStr">
        <is>
          <t>No</t>
        </is>
      </c>
      <c r="F1339" s="2" t="n">
        <v>0.999</v>
      </c>
      <c r="G1339" s="6" t="n">
        <v>5</v>
      </c>
      <c r="H1339" s="6">
        <f>F1339*G1339</f>
        <v/>
      </c>
      <c r="I1339">
        <f>_xlfn.XLOOKUP(A1339,MktTitle,MktCat,"n/a")</f>
        <v/>
      </c>
      <c r="J1339" s="3">
        <f>_xlfn.XLOOKUP(A1339,MktTitle,MktTotVol,0)</f>
        <v/>
      </c>
      <c r="K1339">
        <f>IF(H1339&gt;WhaleThreshold,"WHALE","")</f>
        <v/>
      </c>
    </row>
    <row r="1340">
      <c r="A1340" t="inlineStr">
        <is>
          <t>Will Paraguay win the 2026 FIFA World Cup?</t>
        </is>
      </c>
      <c r="B1340" s="4" t="n">
        <v>46205</v>
      </c>
      <c r="C1340" s="5" t="n">
        <v>46205.96653935185</v>
      </c>
      <c r="D1340" t="inlineStr">
        <is>
          <t>BUY</t>
        </is>
      </c>
      <c r="E1340" t="inlineStr">
        <is>
          <t>No</t>
        </is>
      </c>
      <c r="F1340" s="2" t="n">
        <v>0.999</v>
      </c>
      <c r="G1340" s="6" t="n">
        <v>115</v>
      </c>
      <c r="H1340" s="6">
        <f>F1340*G1340</f>
        <v/>
      </c>
      <c r="I1340">
        <f>_xlfn.XLOOKUP(A1340,MktTitle,MktCat,"n/a")</f>
        <v/>
      </c>
      <c r="J1340" s="3">
        <f>_xlfn.XLOOKUP(A1340,MktTitle,MktTotVol,0)</f>
        <v/>
      </c>
      <c r="K1340">
        <f>IF(H1340&gt;WhaleThreshold,"WHALE","")</f>
        <v/>
      </c>
    </row>
    <row r="1341">
      <c r="A1341" t="inlineStr">
        <is>
          <t>Will Paraguay win the 2026 FIFA World Cup?</t>
        </is>
      </c>
      <c r="B1341" s="4" t="n">
        <v>46205</v>
      </c>
      <c r="C1341" s="5" t="n">
        <v>46205.96653935185</v>
      </c>
      <c r="D1341" t="inlineStr">
        <is>
          <t>BUY</t>
        </is>
      </c>
      <c r="E1341" t="inlineStr">
        <is>
          <t>No</t>
        </is>
      </c>
      <c r="F1341" s="2" t="n">
        <v>0.999</v>
      </c>
      <c r="G1341" s="6" t="n">
        <v>115</v>
      </c>
      <c r="H1341" s="6">
        <f>F1341*G1341</f>
        <v/>
      </c>
      <c r="I1341">
        <f>_xlfn.XLOOKUP(A1341,MktTitle,MktCat,"n/a")</f>
        <v/>
      </c>
      <c r="J1341" s="3">
        <f>_xlfn.XLOOKUP(A1341,MktTitle,MktTotVol,0)</f>
        <v/>
      </c>
      <c r="K1341">
        <f>IF(H1341&gt;WhaleThreshold,"WHALE","")</f>
        <v/>
      </c>
    </row>
    <row r="1342">
      <c r="A1342" t="inlineStr">
        <is>
          <t>Will Paraguay win the 2026 FIFA World Cup?</t>
        </is>
      </c>
      <c r="B1342" s="4" t="n">
        <v>46205</v>
      </c>
      <c r="C1342" s="5" t="n">
        <v>46205.96653935185</v>
      </c>
      <c r="D1342" t="inlineStr">
        <is>
          <t>BUY</t>
        </is>
      </c>
      <c r="E1342" t="inlineStr">
        <is>
          <t>No</t>
        </is>
      </c>
      <c r="F1342" s="2" t="n">
        <v>0.999</v>
      </c>
      <c r="G1342" s="6" t="n">
        <v>73.59999999999999</v>
      </c>
      <c r="H1342" s="6">
        <f>F1342*G1342</f>
        <v/>
      </c>
      <c r="I1342">
        <f>_xlfn.XLOOKUP(A1342,MktTitle,MktCat,"n/a")</f>
        <v/>
      </c>
      <c r="J1342" s="3">
        <f>_xlfn.XLOOKUP(A1342,MktTitle,MktTotVol,0)</f>
        <v/>
      </c>
      <c r="K1342">
        <f>IF(H1342&gt;WhaleThreshold,"WHALE","")</f>
        <v/>
      </c>
    </row>
    <row r="1343">
      <c r="A1343" t="inlineStr">
        <is>
          <t>Will Paraguay win the 2026 FIFA World Cup?</t>
        </is>
      </c>
      <c r="B1343" s="4" t="n">
        <v>46205</v>
      </c>
      <c r="C1343" s="5" t="n">
        <v>46205.96623842593</v>
      </c>
      <c r="D1343" t="inlineStr">
        <is>
          <t>BUY</t>
        </is>
      </c>
      <c r="E1343" t="inlineStr">
        <is>
          <t>No</t>
        </is>
      </c>
      <c r="F1343" s="2" t="n">
        <v>0.999</v>
      </c>
      <c r="G1343" s="6" t="n">
        <v>10.64</v>
      </c>
      <c r="H1343" s="6">
        <f>F1343*G1343</f>
        <v/>
      </c>
      <c r="I1343">
        <f>_xlfn.XLOOKUP(A1343,MktTitle,MktCat,"n/a")</f>
        <v/>
      </c>
      <c r="J1343" s="3">
        <f>_xlfn.XLOOKUP(A1343,MktTitle,MktTotVol,0)</f>
        <v/>
      </c>
      <c r="K1343">
        <f>IF(H1343&gt;WhaleThreshold,"WHALE","")</f>
        <v/>
      </c>
    </row>
    <row r="1344">
      <c r="A1344" t="inlineStr">
        <is>
          <t>Will Paraguay win the 2026 FIFA World Cup?</t>
        </is>
      </c>
      <c r="B1344" s="4" t="n">
        <v>46205</v>
      </c>
      <c r="C1344" s="5" t="n">
        <v>46205.96623842593</v>
      </c>
      <c r="D1344" t="inlineStr">
        <is>
          <t>BUY</t>
        </is>
      </c>
      <c r="E1344" t="inlineStr">
        <is>
          <t>No</t>
        </is>
      </c>
      <c r="F1344" s="2" t="n">
        <v>0.999</v>
      </c>
      <c r="G1344" s="6" t="n">
        <v>10.89</v>
      </c>
      <c r="H1344" s="6">
        <f>F1344*G1344</f>
        <v/>
      </c>
      <c r="I1344">
        <f>_xlfn.XLOOKUP(A1344,MktTitle,MktCat,"n/a")</f>
        <v/>
      </c>
      <c r="J1344" s="3">
        <f>_xlfn.XLOOKUP(A1344,MktTitle,MktTotVol,0)</f>
        <v/>
      </c>
      <c r="K1344">
        <f>IF(H1344&gt;WhaleThreshold,"WHALE","")</f>
        <v/>
      </c>
    </row>
    <row r="1345">
      <c r="A1345" t="inlineStr">
        <is>
          <t>Will Paraguay win the 2026 FIFA World Cup?</t>
        </is>
      </c>
      <c r="B1345" s="4" t="n">
        <v>46205</v>
      </c>
      <c r="C1345" s="5" t="n">
        <v>46205.96623842593</v>
      </c>
      <c r="D1345" t="inlineStr">
        <is>
          <t>BUY</t>
        </is>
      </c>
      <c r="E1345" t="inlineStr">
        <is>
          <t>No</t>
        </is>
      </c>
      <c r="F1345" s="2" t="n">
        <v>0.999</v>
      </c>
      <c r="G1345" s="6" t="n">
        <v>10.75</v>
      </c>
      <c r="H1345" s="6">
        <f>F1345*G1345</f>
        <v/>
      </c>
      <c r="I1345">
        <f>_xlfn.XLOOKUP(A1345,MktTitle,MktCat,"n/a")</f>
        <v/>
      </c>
      <c r="J1345" s="3">
        <f>_xlfn.XLOOKUP(A1345,MktTitle,MktTotVol,0)</f>
        <v/>
      </c>
      <c r="K1345">
        <f>IF(H1345&gt;WhaleThreshold,"WHALE","")</f>
        <v/>
      </c>
    </row>
    <row r="1346">
      <c r="A1346" t="inlineStr">
        <is>
          <t>Will Paraguay win the 2026 FIFA World Cup?</t>
        </is>
      </c>
      <c r="B1346" s="4" t="n">
        <v>46205</v>
      </c>
      <c r="C1346" s="5" t="n">
        <v>46205.96623842593</v>
      </c>
      <c r="D1346" t="inlineStr">
        <is>
          <t>BUY</t>
        </is>
      </c>
      <c r="E1346" t="inlineStr">
        <is>
          <t>No</t>
        </is>
      </c>
      <c r="F1346" s="2" t="n">
        <v>0.999</v>
      </c>
      <c r="G1346" s="6" t="n">
        <v>10.67</v>
      </c>
      <c r="H1346" s="6">
        <f>F1346*G1346</f>
        <v/>
      </c>
      <c r="I1346">
        <f>_xlfn.XLOOKUP(A1346,MktTitle,MktCat,"n/a")</f>
        <v/>
      </c>
      <c r="J1346" s="3">
        <f>_xlfn.XLOOKUP(A1346,MktTitle,MktTotVol,0)</f>
        <v/>
      </c>
      <c r="K1346">
        <f>IF(H1346&gt;WhaleThreshold,"WHALE","")</f>
        <v/>
      </c>
    </row>
    <row r="1347">
      <c r="A1347" t="inlineStr">
        <is>
          <t>Will Paraguay win the 2026 FIFA World Cup?</t>
        </is>
      </c>
      <c r="B1347" s="4" t="n">
        <v>46205</v>
      </c>
      <c r="C1347" s="5" t="n">
        <v>46205.96622685185</v>
      </c>
      <c r="D1347" t="inlineStr">
        <is>
          <t>BUY</t>
        </is>
      </c>
      <c r="E1347" t="inlineStr">
        <is>
          <t>No</t>
        </is>
      </c>
      <c r="F1347" s="2" t="n">
        <v>0.999</v>
      </c>
      <c r="G1347" s="6" t="n">
        <v>10</v>
      </c>
      <c r="H1347" s="6">
        <f>F1347*G1347</f>
        <v/>
      </c>
      <c r="I1347">
        <f>_xlfn.XLOOKUP(A1347,MktTitle,MktCat,"n/a")</f>
        <v/>
      </c>
      <c r="J1347" s="3">
        <f>_xlfn.XLOOKUP(A1347,MktTitle,MktTotVol,0)</f>
        <v/>
      </c>
      <c r="K1347">
        <f>IF(H1347&gt;WhaleThreshold,"WHALE","")</f>
        <v/>
      </c>
    </row>
    <row r="1348">
      <c r="A1348" t="inlineStr">
        <is>
          <t>Will Paraguay win the 2026 FIFA World Cup?</t>
        </is>
      </c>
      <c r="B1348" s="4" t="n">
        <v>46205</v>
      </c>
      <c r="C1348" s="5" t="n">
        <v>46205.96622685185</v>
      </c>
      <c r="D1348" t="inlineStr">
        <is>
          <t>BUY</t>
        </is>
      </c>
      <c r="E1348" t="inlineStr">
        <is>
          <t>No</t>
        </is>
      </c>
      <c r="F1348" s="2" t="n">
        <v>0.999</v>
      </c>
      <c r="G1348" s="6" t="n">
        <v>54</v>
      </c>
      <c r="H1348" s="6">
        <f>F1348*G1348</f>
        <v/>
      </c>
      <c r="I1348">
        <f>_xlfn.XLOOKUP(A1348,MktTitle,MktCat,"n/a")</f>
        <v/>
      </c>
      <c r="J1348" s="3">
        <f>_xlfn.XLOOKUP(A1348,MktTitle,MktTotVol,0)</f>
        <v/>
      </c>
      <c r="K1348">
        <f>IF(H1348&gt;WhaleThreshold,"WHALE","")</f>
        <v/>
      </c>
    </row>
    <row r="1349">
      <c r="A1349" t="inlineStr">
        <is>
          <t>Will Paraguay win the 2026 FIFA World Cup?</t>
        </is>
      </c>
      <c r="B1349" s="4" t="n">
        <v>46205</v>
      </c>
      <c r="C1349" s="5" t="n">
        <v>46205.96594907407</v>
      </c>
      <c r="D1349" t="inlineStr">
        <is>
          <t>BUY</t>
        </is>
      </c>
      <c r="E1349" t="inlineStr">
        <is>
          <t>No</t>
        </is>
      </c>
      <c r="F1349" s="2" t="n">
        <v>0.999</v>
      </c>
      <c r="G1349" s="6" t="n">
        <v>10</v>
      </c>
      <c r="H1349" s="6">
        <f>F1349*G1349</f>
        <v/>
      </c>
      <c r="I1349">
        <f>_xlfn.XLOOKUP(A1349,MktTitle,MktCat,"n/a")</f>
        <v/>
      </c>
      <c r="J1349" s="3">
        <f>_xlfn.XLOOKUP(A1349,MktTitle,MktTotVol,0)</f>
        <v/>
      </c>
      <c r="K1349">
        <f>IF(H1349&gt;WhaleThreshold,"WHALE","")</f>
        <v/>
      </c>
    </row>
    <row r="1350">
      <c r="A1350" t="inlineStr">
        <is>
          <t>Will Paraguay win the 2026 FIFA World Cup?</t>
        </is>
      </c>
      <c r="B1350" s="4" t="n">
        <v>46205</v>
      </c>
      <c r="C1350" s="5" t="n">
        <v>46205.96592592593</v>
      </c>
      <c r="D1350" t="inlineStr">
        <is>
          <t>BUY</t>
        </is>
      </c>
      <c r="E1350" t="inlineStr">
        <is>
          <t>No</t>
        </is>
      </c>
      <c r="F1350" s="2" t="n">
        <v>0.999</v>
      </c>
      <c r="G1350" s="6" t="n">
        <v>28</v>
      </c>
      <c r="H1350" s="6">
        <f>F1350*G1350</f>
        <v/>
      </c>
      <c r="I1350">
        <f>_xlfn.XLOOKUP(A1350,MktTitle,MktCat,"n/a")</f>
        <v/>
      </c>
      <c r="J1350" s="3">
        <f>_xlfn.XLOOKUP(A1350,MktTitle,MktTotVol,0)</f>
        <v/>
      </c>
      <c r="K1350">
        <f>IF(H1350&gt;WhaleThreshold,"WHALE","")</f>
        <v/>
      </c>
    </row>
    <row r="1351">
      <c r="A1351" t="inlineStr">
        <is>
          <t>Will Paraguay win the 2026 FIFA World Cup?</t>
        </is>
      </c>
      <c r="B1351" s="4" t="n">
        <v>46205</v>
      </c>
      <c r="C1351" s="5" t="n">
        <v>46205.96582175926</v>
      </c>
      <c r="D1351" t="inlineStr">
        <is>
          <t>BUY</t>
        </is>
      </c>
      <c r="E1351" t="inlineStr">
        <is>
          <t>No</t>
        </is>
      </c>
      <c r="F1351" s="2" t="n">
        <v>0.999</v>
      </c>
      <c r="G1351" s="6" t="n">
        <v>5</v>
      </c>
      <c r="H1351" s="6">
        <f>F1351*G1351</f>
        <v/>
      </c>
      <c r="I1351">
        <f>_xlfn.XLOOKUP(A1351,MktTitle,MktCat,"n/a")</f>
        <v/>
      </c>
      <c r="J1351" s="3">
        <f>_xlfn.XLOOKUP(A1351,MktTitle,MktTotVol,0)</f>
        <v/>
      </c>
      <c r="K1351">
        <f>IF(H1351&gt;WhaleThreshold,"WHALE","")</f>
        <v/>
      </c>
    </row>
    <row r="1352">
      <c r="A1352" t="inlineStr">
        <is>
          <t>Will Paraguay win the 2026 FIFA World Cup?</t>
        </is>
      </c>
      <c r="B1352" s="4" t="n">
        <v>46205</v>
      </c>
      <c r="C1352" s="5" t="n">
        <v>46205.96581018518</v>
      </c>
      <c r="D1352" t="inlineStr">
        <is>
          <t>BUY</t>
        </is>
      </c>
      <c r="E1352" t="inlineStr">
        <is>
          <t>No</t>
        </is>
      </c>
      <c r="F1352" s="2" t="n">
        <v>0.999</v>
      </c>
      <c r="G1352" s="6" t="n">
        <v>115</v>
      </c>
      <c r="H1352" s="6">
        <f>F1352*G1352</f>
        <v/>
      </c>
      <c r="I1352">
        <f>_xlfn.XLOOKUP(A1352,MktTitle,MktCat,"n/a")</f>
        <v/>
      </c>
      <c r="J1352" s="3">
        <f>_xlfn.XLOOKUP(A1352,MktTitle,MktTotVol,0)</f>
        <v/>
      </c>
      <c r="K1352">
        <f>IF(H1352&gt;WhaleThreshold,"WHALE","")</f>
        <v/>
      </c>
    </row>
    <row r="1353">
      <c r="A1353" t="inlineStr">
        <is>
          <t>Will Paraguay win the 2026 FIFA World Cup?</t>
        </is>
      </c>
      <c r="B1353" s="4" t="n">
        <v>46205</v>
      </c>
      <c r="C1353" s="5" t="n">
        <v>46205.96578703704</v>
      </c>
      <c r="D1353" t="inlineStr">
        <is>
          <t>BUY</t>
        </is>
      </c>
      <c r="E1353" t="inlineStr">
        <is>
          <t>No</t>
        </is>
      </c>
      <c r="F1353" s="2" t="n">
        <v>0.999</v>
      </c>
      <c r="G1353" s="6" t="n">
        <v>37.4</v>
      </c>
      <c r="H1353" s="6">
        <f>F1353*G1353</f>
        <v/>
      </c>
      <c r="I1353">
        <f>_xlfn.XLOOKUP(A1353,MktTitle,MktCat,"n/a")</f>
        <v/>
      </c>
      <c r="J1353" s="3">
        <f>_xlfn.XLOOKUP(A1353,MktTitle,MktTotVol,0)</f>
        <v/>
      </c>
      <c r="K1353">
        <f>IF(H1353&gt;WhaleThreshold,"WHALE","")</f>
        <v/>
      </c>
    </row>
    <row r="1354">
      <c r="A1354" t="inlineStr">
        <is>
          <t>Will Paraguay win the 2026 FIFA World Cup?</t>
        </is>
      </c>
      <c r="B1354" s="4" t="n">
        <v>46205</v>
      </c>
      <c r="C1354" s="5" t="n">
        <v>46205.9641550926</v>
      </c>
      <c r="D1354" t="inlineStr">
        <is>
          <t>BUY</t>
        </is>
      </c>
      <c r="E1354" t="inlineStr">
        <is>
          <t>No</t>
        </is>
      </c>
      <c r="F1354" s="2" t="n">
        <v>0.999</v>
      </c>
      <c r="G1354" s="6" t="n">
        <v>15</v>
      </c>
      <c r="H1354" s="6">
        <f>F1354*G1354</f>
        <v/>
      </c>
      <c r="I1354">
        <f>_xlfn.XLOOKUP(A1354,MktTitle,MktCat,"n/a")</f>
        <v/>
      </c>
      <c r="J1354" s="3">
        <f>_xlfn.XLOOKUP(A1354,MktTitle,MktTotVol,0)</f>
        <v/>
      </c>
      <c r="K1354">
        <f>IF(H1354&gt;WhaleThreshold,"WHALE","")</f>
        <v/>
      </c>
    </row>
    <row r="1355">
      <c r="A1355" t="inlineStr">
        <is>
          <t>Will Paraguay win the 2026 FIFA World Cup?</t>
        </is>
      </c>
      <c r="B1355" s="4" t="n">
        <v>46205</v>
      </c>
      <c r="C1355" s="5" t="n">
        <v>46205.9641550926</v>
      </c>
      <c r="D1355" t="inlineStr">
        <is>
          <t>BUY</t>
        </is>
      </c>
      <c r="E1355" t="inlineStr">
        <is>
          <t>No</t>
        </is>
      </c>
      <c r="F1355" s="2" t="n">
        <v>0.999</v>
      </c>
      <c r="G1355" s="6" t="n">
        <v>39</v>
      </c>
      <c r="H1355" s="6">
        <f>F1355*G1355</f>
        <v/>
      </c>
      <c r="I1355">
        <f>_xlfn.XLOOKUP(A1355,MktTitle,MktCat,"n/a")</f>
        <v/>
      </c>
      <c r="J1355" s="3">
        <f>_xlfn.XLOOKUP(A1355,MktTitle,MktTotVol,0)</f>
        <v/>
      </c>
      <c r="K1355">
        <f>IF(H1355&gt;WhaleThreshold,"WHALE","")</f>
        <v/>
      </c>
    </row>
    <row r="1356">
      <c r="A1356" t="inlineStr">
        <is>
          <t>Will Paraguay win the 2026 FIFA World Cup?</t>
        </is>
      </c>
      <c r="B1356" s="4" t="n">
        <v>46205</v>
      </c>
      <c r="C1356" s="5" t="n">
        <v>46205.96414351852</v>
      </c>
      <c r="D1356" t="inlineStr">
        <is>
          <t>BUY</t>
        </is>
      </c>
      <c r="E1356" t="inlineStr">
        <is>
          <t>No</t>
        </is>
      </c>
      <c r="F1356" s="2" t="n">
        <v>0.999</v>
      </c>
      <c r="G1356" s="6" t="n">
        <v>116</v>
      </c>
      <c r="H1356" s="6">
        <f>F1356*G1356</f>
        <v/>
      </c>
      <c r="I1356">
        <f>_xlfn.XLOOKUP(A1356,MktTitle,MktCat,"n/a")</f>
        <v/>
      </c>
      <c r="J1356" s="3">
        <f>_xlfn.XLOOKUP(A1356,MktTitle,MktTotVol,0)</f>
        <v/>
      </c>
      <c r="K1356">
        <f>IF(H1356&gt;WhaleThreshold,"WHALE","")</f>
        <v/>
      </c>
    </row>
    <row r="1357">
      <c r="A1357" t="inlineStr">
        <is>
          <t>Will Paraguay win the 2026 FIFA World Cup?</t>
        </is>
      </c>
      <c r="B1357" s="4" t="n">
        <v>46205</v>
      </c>
      <c r="C1357" s="5" t="n">
        <v>46205.96412037037</v>
      </c>
      <c r="D1357" t="inlineStr">
        <is>
          <t>BUY</t>
        </is>
      </c>
      <c r="E1357" t="inlineStr">
        <is>
          <t>No</t>
        </is>
      </c>
      <c r="F1357" s="2" t="n">
        <v>0.999</v>
      </c>
      <c r="G1357" s="6" t="n">
        <v>62</v>
      </c>
      <c r="H1357" s="6">
        <f>F1357*G1357</f>
        <v/>
      </c>
      <c r="I1357">
        <f>_xlfn.XLOOKUP(A1357,MktTitle,MktCat,"n/a")</f>
        <v/>
      </c>
      <c r="J1357" s="3">
        <f>_xlfn.XLOOKUP(A1357,MktTitle,MktTotVol,0)</f>
        <v/>
      </c>
      <c r="K1357">
        <f>IF(H1357&gt;WhaleThreshold,"WHALE","")</f>
        <v/>
      </c>
    </row>
    <row r="1358">
      <c r="A1358" t="inlineStr">
        <is>
          <t>Will Paraguay win the 2026 FIFA World Cup?</t>
        </is>
      </c>
      <c r="B1358" s="4" t="n">
        <v>46205</v>
      </c>
      <c r="C1358" s="5" t="n">
        <v>46205.9641087963</v>
      </c>
      <c r="D1358" t="inlineStr">
        <is>
          <t>BUY</t>
        </is>
      </c>
      <c r="E1358" t="inlineStr">
        <is>
          <t>No</t>
        </is>
      </c>
      <c r="F1358" s="2" t="n">
        <v>0.999</v>
      </c>
      <c r="G1358" s="6" t="n">
        <v>110</v>
      </c>
      <c r="H1358" s="6">
        <f>F1358*G1358</f>
        <v/>
      </c>
      <c r="I1358">
        <f>_xlfn.XLOOKUP(A1358,MktTitle,MktCat,"n/a")</f>
        <v/>
      </c>
      <c r="J1358" s="3">
        <f>_xlfn.XLOOKUP(A1358,MktTitle,MktTotVol,0)</f>
        <v/>
      </c>
      <c r="K1358">
        <f>IF(H1358&gt;WhaleThreshold,"WHALE","")</f>
        <v/>
      </c>
    </row>
    <row r="1359">
      <c r="A1359" t="inlineStr">
        <is>
          <t>Will Paraguay win the 2026 FIFA World Cup?</t>
        </is>
      </c>
      <c r="B1359" s="4" t="n">
        <v>46205</v>
      </c>
      <c r="C1359" s="5" t="n">
        <v>46205.9641087963</v>
      </c>
      <c r="D1359" t="inlineStr">
        <is>
          <t>BUY</t>
        </is>
      </c>
      <c r="E1359" t="inlineStr">
        <is>
          <t>No</t>
        </is>
      </c>
      <c r="F1359" s="2" t="n">
        <v>0.999</v>
      </c>
      <c r="G1359" s="6" t="n">
        <v>10</v>
      </c>
      <c r="H1359" s="6">
        <f>F1359*G1359</f>
        <v/>
      </c>
      <c r="I1359">
        <f>_xlfn.XLOOKUP(A1359,MktTitle,MktCat,"n/a")</f>
        <v/>
      </c>
      <c r="J1359" s="3">
        <f>_xlfn.XLOOKUP(A1359,MktTitle,MktTotVol,0)</f>
        <v/>
      </c>
      <c r="K1359">
        <f>IF(H1359&gt;WhaleThreshold,"WHALE","")</f>
        <v/>
      </c>
    </row>
    <row r="1360">
      <c r="A1360" t="inlineStr">
        <is>
          <t>Will Paraguay win the 2026 FIFA World Cup?</t>
        </is>
      </c>
      <c r="B1360" s="4" t="n">
        <v>46205</v>
      </c>
      <c r="C1360" s="5" t="n">
        <v>46205.96408564815</v>
      </c>
      <c r="D1360" t="inlineStr">
        <is>
          <t>BUY</t>
        </is>
      </c>
      <c r="E1360" t="inlineStr">
        <is>
          <t>No</t>
        </is>
      </c>
      <c r="F1360" s="2" t="n">
        <v>0.999</v>
      </c>
      <c r="G1360" s="6" t="n">
        <v>110</v>
      </c>
      <c r="H1360" s="6">
        <f>F1360*G1360</f>
        <v/>
      </c>
      <c r="I1360">
        <f>_xlfn.XLOOKUP(A1360,MktTitle,MktCat,"n/a")</f>
        <v/>
      </c>
      <c r="J1360" s="3">
        <f>_xlfn.XLOOKUP(A1360,MktTitle,MktTotVol,0)</f>
        <v/>
      </c>
      <c r="K1360">
        <f>IF(H1360&gt;WhaleThreshold,"WHALE","")</f>
        <v/>
      </c>
    </row>
    <row r="1361">
      <c r="A1361" t="inlineStr">
        <is>
          <t>Will Paraguay win the 2026 FIFA World Cup?</t>
        </is>
      </c>
      <c r="B1361" s="4" t="n">
        <v>46205</v>
      </c>
      <c r="C1361" s="5" t="n">
        <v>46205.96408564815</v>
      </c>
      <c r="D1361" t="inlineStr">
        <is>
          <t>BUY</t>
        </is>
      </c>
      <c r="E1361" t="inlineStr">
        <is>
          <t>No</t>
        </is>
      </c>
      <c r="F1361" s="2" t="n">
        <v>0.999</v>
      </c>
      <c r="G1361" s="6" t="n">
        <v>110</v>
      </c>
      <c r="H1361" s="6">
        <f>F1361*G1361</f>
        <v/>
      </c>
      <c r="I1361">
        <f>_xlfn.XLOOKUP(A1361,MktTitle,MktCat,"n/a")</f>
        <v/>
      </c>
      <c r="J1361" s="3">
        <f>_xlfn.XLOOKUP(A1361,MktTitle,MktTotVol,0)</f>
        <v/>
      </c>
      <c r="K1361">
        <f>IF(H1361&gt;WhaleThreshold,"WHALE","")</f>
        <v/>
      </c>
    </row>
    <row r="1362">
      <c r="A1362" t="inlineStr">
        <is>
          <t>Will Paraguay win the 2026 FIFA World Cup?</t>
        </is>
      </c>
      <c r="B1362" s="4" t="n">
        <v>46205</v>
      </c>
      <c r="C1362" s="5" t="n">
        <v>46205.96408564815</v>
      </c>
      <c r="D1362" t="inlineStr">
        <is>
          <t>BUY</t>
        </is>
      </c>
      <c r="E1362" t="inlineStr">
        <is>
          <t>No</t>
        </is>
      </c>
      <c r="F1362" s="2" t="n">
        <v>0.999</v>
      </c>
      <c r="G1362" s="6" t="n">
        <v>51.1</v>
      </c>
      <c r="H1362" s="6">
        <f>F1362*G1362</f>
        <v/>
      </c>
      <c r="I1362">
        <f>_xlfn.XLOOKUP(A1362,MktTitle,MktCat,"n/a")</f>
        <v/>
      </c>
      <c r="J1362" s="3">
        <f>_xlfn.XLOOKUP(A1362,MktTitle,MktTotVol,0)</f>
        <v/>
      </c>
      <c r="K1362">
        <f>IF(H1362&gt;WhaleThreshold,"WHALE","")</f>
        <v/>
      </c>
    </row>
    <row r="1363">
      <c r="A1363" t="inlineStr">
        <is>
          <t>Will Paraguay win the 2026 FIFA World Cup?</t>
        </is>
      </c>
      <c r="B1363" s="4" t="n">
        <v>46205</v>
      </c>
      <c r="C1363" s="5" t="n">
        <v>46205.96408564815</v>
      </c>
      <c r="D1363" t="inlineStr">
        <is>
          <t>BUY</t>
        </is>
      </c>
      <c r="E1363" t="inlineStr">
        <is>
          <t>No</t>
        </is>
      </c>
      <c r="F1363" s="2" t="n">
        <v>0.999</v>
      </c>
      <c r="G1363" s="6" t="n">
        <v>25.5</v>
      </c>
      <c r="H1363" s="6">
        <f>F1363*G1363</f>
        <v/>
      </c>
      <c r="I1363">
        <f>_xlfn.XLOOKUP(A1363,MktTitle,MktCat,"n/a")</f>
        <v/>
      </c>
      <c r="J1363" s="3">
        <f>_xlfn.XLOOKUP(A1363,MktTitle,MktTotVol,0)</f>
        <v/>
      </c>
      <c r="K1363">
        <f>IF(H1363&gt;WhaleThreshold,"WHALE","")</f>
        <v/>
      </c>
    </row>
    <row r="1364">
      <c r="A1364" t="inlineStr">
        <is>
          <t>Will Paraguay win the 2026 FIFA World Cup?</t>
        </is>
      </c>
      <c r="B1364" s="4" t="n">
        <v>46205</v>
      </c>
      <c r="C1364" s="5" t="n">
        <v>46205.96407407407</v>
      </c>
      <c r="D1364" t="inlineStr">
        <is>
          <t>BUY</t>
        </is>
      </c>
      <c r="E1364" t="inlineStr">
        <is>
          <t>No</t>
        </is>
      </c>
      <c r="F1364" s="2" t="n">
        <v>0.999</v>
      </c>
      <c r="G1364" s="6" t="n">
        <v>73.59999999999999</v>
      </c>
      <c r="H1364" s="6">
        <f>F1364*G1364</f>
        <v/>
      </c>
      <c r="I1364">
        <f>_xlfn.XLOOKUP(A1364,MktTitle,MktCat,"n/a")</f>
        <v/>
      </c>
      <c r="J1364" s="3">
        <f>_xlfn.XLOOKUP(A1364,MktTitle,MktTotVol,0)</f>
        <v/>
      </c>
      <c r="K1364">
        <f>IF(H1364&gt;WhaleThreshold,"WHALE","")</f>
        <v/>
      </c>
    </row>
    <row r="1365">
      <c r="A1365" t="inlineStr">
        <is>
          <t>Will Paraguay win the 2026 FIFA World Cup?</t>
        </is>
      </c>
      <c r="B1365" s="4" t="n">
        <v>46205</v>
      </c>
      <c r="C1365" s="5" t="n">
        <v>46205.96407407407</v>
      </c>
      <c r="D1365" t="inlineStr">
        <is>
          <t>BUY</t>
        </is>
      </c>
      <c r="E1365" t="inlineStr">
        <is>
          <t>No</t>
        </is>
      </c>
      <c r="F1365" s="2" t="n">
        <v>0.999</v>
      </c>
      <c r="G1365" s="6" t="n">
        <v>5</v>
      </c>
      <c r="H1365" s="6">
        <f>F1365*G1365</f>
        <v/>
      </c>
      <c r="I1365">
        <f>_xlfn.XLOOKUP(A1365,MktTitle,MktCat,"n/a")</f>
        <v/>
      </c>
      <c r="J1365" s="3">
        <f>_xlfn.XLOOKUP(A1365,MktTitle,MktTotVol,0)</f>
        <v/>
      </c>
      <c r="K1365">
        <f>IF(H1365&gt;WhaleThreshold,"WHALE","")</f>
        <v/>
      </c>
    </row>
    <row r="1366">
      <c r="A1366" t="inlineStr">
        <is>
          <t>Will Paraguay win the 2026 FIFA World Cup?</t>
        </is>
      </c>
      <c r="B1366" s="4" t="n">
        <v>46205</v>
      </c>
      <c r="C1366" s="5" t="n">
        <v>46205.96403935185</v>
      </c>
      <c r="D1366" t="inlineStr">
        <is>
          <t>BUY</t>
        </is>
      </c>
      <c r="E1366" t="inlineStr">
        <is>
          <t>No</t>
        </is>
      </c>
      <c r="F1366" s="2" t="n">
        <v>0.999</v>
      </c>
      <c r="G1366" s="6" t="n">
        <v>115</v>
      </c>
      <c r="H1366" s="6">
        <f>F1366*G1366</f>
        <v/>
      </c>
      <c r="I1366">
        <f>_xlfn.XLOOKUP(A1366,MktTitle,MktCat,"n/a")</f>
        <v/>
      </c>
      <c r="J1366" s="3">
        <f>_xlfn.XLOOKUP(A1366,MktTitle,MktTotVol,0)</f>
        <v/>
      </c>
      <c r="K1366">
        <f>IF(H1366&gt;WhaleThreshold,"WHALE","")</f>
        <v/>
      </c>
    </row>
    <row r="1367">
      <c r="A1367" t="inlineStr">
        <is>
          <t>Will Paraguay win the 2026 FIFA World Cup?</t>
        </is>
      </c>
      <c r="B1367" s="4" t="n">
        <v>46205</v>
      </c>
      <c r="C1367" s="5" t="n">
        <v>46205.96390046296</v>
      </c>
      <c r="D1367" t="inlineStr">
        <is>
          <t>SELL</t>
        </is>
      </c>
      <c r="E1367" t="inlineStr">
        <is>
          <t>No</t>
        </is>
      </c>
      <c r="F1367" s="2" t="n">
        <v>0.998</v>
      </c>
      <c r="G1367" s="6" t="n">
        <v>0.41</v>
      </c>
      <c r="H1367" s="6">
        <f>F1367*G1367</f>
        <v/>
      </c>
      <c r="I1367">
        <f>_xlfn.XLOOKUP(A1367,MktTitle,MktCat,"n/a")</f>
        <v/>
      </c>
      <c r="J1367" s="3">
        <f>_xlfn.XLOOKUP(A1367,MktTitle,MktTotVol,0)</f>
        <v/>
      </c>
      <c r="K1367">
        <f>IF(H1367&gt;WhaleThreshold,"WHALE","")</f>
        <v/>
      </c>
    </row>
    <row r="1368">
      <c r="A1368" t="inlineStr">
        <is>
          <t>Will Paraguay win the 2026 FIFA World Cup?</t>
        </is>
      </c>
      <c r="B1368" s="4" t="n">
        <v>46205</v>
      </c>
      <c r="C1368" s="5" t="n">
        <v>46205.96327546296</v>
      </c>
      <c r="D1368" t="inlineStr">
        <is>
          <t>BUY</t>
        </is>
      </c>
      <c r="E1368" t="inlineStr">
        <is>
          <t>No</t>
        </is>
      </c>
      <c r="F1368" s="2" t="n">
        <v>0.999</v>
      </c>
      <c r="G1368" s="6" t="n">
        <v>20</v>
      </c>
      <c r="H1368" s="6">
        <f>F1368*G1368</f>
        <v/>
      </c>
      <c r="I1368">
        <f>_xlfn.XLOOKUP(A1368,MktTitle,MktCat,"n/a")</f>
        <v/>
      </c>
      <c r="J1368" s="3">
        <f>_xlfn.XLOOKUP(A1368,MktTitle,MktTotVol,0)</f>
        <v/>
      </c>
      <c r="K1368">
        <f>IF(H1368&gt;WhaleThreshold,"WHALE","")</f>
        <v/>
      </c>
    </row>
    <row r="1369">
      <c r="A1369" t="inlineStr">
        <is>
          <t>Will Paraguay win the 2026 FIFA World Cup?</t>
        </is>
      </c>
      <c r="B1369" s="4" t="n">
        <v>46205</v>
      </c>
      <c r="C1369" s="5" t="n">
        <v>46205.96325231482</v>
      </c>
      <c r="D1369" t="inlineStr">
        <is>
          <t>BUY</t>
        </is>
      </c>
      <c r="E1369" t="inlineStr">
        <is>
          <t>No</t>
        </is>
      </c>
      <c r="F1369" s="2" t="n">
        <v>0.999</v>
      </c>
      <c r="G1369" s="6" t="n">
        <v>16</v>
      </c>
      <c r="H1369" s="6">
        <f>F1369*G1369</f>
        <v/>
      </c>
      <c r="I1369">
        <f>_xlfn.XLOOKUP(A1369,MktTitle,MktCat,"n/a")</f>
        <v/>
      </c>
      <c r="J1369" s="3">
        <f>_xlfn.XLOOKUP(A1369,MktTitle,MktTotVol,0)</f>
        <v/>
      </c>
      <c r="K1369">
        <f>IF(H1369&gt;WhaleThreshold,"WHALE","")</f>
        <v/>
      </c>
    </row>
    <row r="1370">
      <c r="A1370" t="inlineStr">
        <is>
          <t>Will Paraguay win the 2026 FIFA World Cup?</t>
        </is>
      </c>
      <c r="B1370" s="4" t="n">
        <v>46205</v>
      </c>
      <c r="C1370" s="5" t="n">
        <v>46205.96321759259</v>
      </c>
      <c r="D1370" t="inlineStr">
        <is>
          <t>BUY</t>
        </is>
      </c>
      <c r="E1370" t="inlineStr">
        <is>
          <t>No</t>
        </is>
      </c>
      <c r="F1370" s="2" t="n">
        <v>0.999</v>
      </c>
      <c r="G1370" s="6" t="n">
        <v>2.1</v>
      </c>
      <c r="H1370" s="6">
        <f>F1370*G1370</f>
        <v/>
      </c>
      <c r="I1370">
        <f>_xlfn.XLOOKUP(A1370,MktTitle,MktCat,"n/a")</f>
        <v/>
      </c>
      <c r="J1370" s="3">
        <f>_xlfn.XLOOKUP(A1370,MktTitle,MktTotVol,0)</f>
        <v/>
      </c>
      <c r="K1370">
        <f>IF(H1370&gt;WhaleThreshold,"WHALE","")</f>
        <v/>
      </c>
    </row>
    <row r="1371">
      <c r="A1371" t="inlineStr">
        <is>
          <t>Will Paraguay win the 2026 FIFA World Cup?</t>
        </is>
      </c>
      <c r="B1371" s="4" t="n">
        <v>46205</v>
      </c>
      <c r="C1371" s="5" t="n">
        <v>46205.96318287037</v>
      </c>
      <c r="D1371" t="inlineStr">
        <is>
          <t>SELL</t>
        </is>
      </c>
      <c r="E1371" t="inlineStr">
        <is>
          <t>Yes</t>
        </is>
      </c>
      <c r="F1371" s="2" t="n">
        <v>0.001</v>
      </c>
      <c r="G1371" s="6" t="n">
        <v>0.05</v>
      </c>
      <c r="H1371" s="6">
        <f>F1371*G1371</f>
        <v/>
      </c>
      <c r="I1371">
        <f>_xlfn.XLOOKUP(A1371,MktTitle,MktCat,"n/a")</f>
        <v/>
      </c>
      <c r="J1371" s="3">
        <f>_xlfn.XLOOKUP(A1371,MktTitle,MktTotVol,0)</f>
        <v/>
      </c>
      <c r="K1371">
        <f>IF(H1371&gt;WhaleThreshold,"WHALE","")</f>
        <v/>
      </c>
    </row>
    <row r="1372">
      <c r="A1372" t="inlineStr">
        <is>
          <t>Will Paraguay win the 2026 FIFA World Cup?</t>
        </is>
      </c>
      <c r="B1372" s="4" t="n">
        <v>46205</v>
      </c>
      <c r="C1372" s="5" t="n">
        <v>46205.96318287037</v>
      </c>
      <c r="D1372" t="inlineStr">
        <is>
          <t>SELL</t>
        </is>
      </c>
      <c r="E1372" t="inlineStr">
        <is>
          <t>No</t>
        </is>
      </c>
      <c r="F1372" s="2" t="n">
        <v>0.998</v>
      </c>
      <c r="G1372" s="6" t="n">
        <v>10.75</v>
      </c>
      <c r="H1372" s="6">
        <f>F1372*G1372</f>
        <v/>
      </c>
      <c r="I1372">
        <f>_xlfn.XLOOKUP(A1372,MktTitle,MktCat,"n/a")</f>
        <v/>
      </c>
      <c r="J1372" s="3">
        <f>_xlfn.XLOOKUP(A1372,MktTitle,MktTotVol,0)</f>
        <v/>
      </c>
      <c r="K1372">
        <f>IF(H1372&gt;WhaleThreshold,"WHALE","")</f>
        <v/>
      </c>
    </row>
    <row r="1373">
      <c r="A1373" t="inlineStr">
        <is>
          <t>Will Paraguay win the 2026 FIFA World Cup?</t>
        </is>
      </c>
      <c r="B1373" s="4" t="n">
        <v>46205</v>
      </c>
      <c r="C1373" s="5" t="n">
        <v>46205.96300925926</v>
      </c>
      <c r="D1373" t="inlineStr">
        <is>
          <t>BUY</t>
        </is>
      </c>
      <c r="E1373" t="inlineStr">
        <is>
          <t>No</t>
        </is>
      </c>
      <c r="F1373" s="2" t="n">
        <v>0.999</v>
      </c>
      <c r="G1373" s="6" t="n">
        <v>10</v>
      </c>
      <c r="H1373" s="6">
        <f>F1373*G1373</f>
        <v/>
      </c>
      <c r="I1373">
        <f>_xlfn.XLOOKUP(A1373,MktTitle,MktCat,"n/a")</f>
        <v/>
      </c>
      <c r="J1373" s="3">
        <f>_xlfn.XLOOKUP(A1373,MktTitle,MktTotVol,0)</f>
        <v/>
      </c>
      <c r="K1373">
        <f>IF(H1373&gt;WhaleThreshold,"WHALE","")</f>
        <v/>
      </c>
    </row>
    <row r="1374">
      <c r="A1374" t="inlineStr">
        <is>
          <t>Will Paraguay win the 2026 FIFA World Cup?</t>
        </is>
      </c>
      <c r="B1374" s="4" t="n">
        <v>46205</v>
      </c>
      <c r="C1374" s="5" t="n">
        <v>46205.96278935186</v>
      </c>
      <c r="D1374" t="inlineStr">
        <is>
          <t>BUY</t>
        </is>
      </c>
      <c r="E1374" t="inlineStr">
        <is>
          <t>No</t>
        </is>
      </c>
      <c r="F1374" s="2" t="n">
        <v>0.999</v>
      </c>
      <c r="G1374" s="6" t="n">
        <v>10.75</v>
      </c>
      <c r="H1374" s="6">
        <f>F1374*G1374</f>
        <v/>
      </c>
      <c r="I1374">
        <f>_xlfn.XLOOKUP(A1374,MktTitle,MktCat,"n/a")</f>
        <v/>
      </c>
      <c r="J1374" s="3">
        <f>_xlfn.XLOOKUP(A1374,MktTitle,MktTotVol,0)</f>
        <v/>
      </c>
      <c r="K1374">
        <f>IF(H1374&gt;WhaleThreshold,"WHALE","")</f>
        <v/>
      </c>
    </row>
    <row r="1375">
      <c r="A1375" t="inlineStr">
        <is>
          <t>Will Paraguay win the 2026 FIFA World Cup?</t>
        </is>
      </c>
      <c r="B1375" s="4" t="n">
        <v>46205</v>
      </c>
      <c r="C1375" s="5" t="n">
        <v>46205.96273148148</v>
      </c>
      <c r="D1375" t="inlineStr">
        <is>
          <t>BUY</t>
        </is>
      </c>
      <c r="E1375" t="inlineStr">
        <is>
          <t>No</t>
        </is>
      </c>
      <c r="F1375" s="2" t="n">
        <v>0.999</v>
      </c>
      <c r="G1375" s="6" t="n">
        <v>50</v>
      </c>
      <c r="H1375" s="6">
        <f>F1375*G1375</f>
        <v/>
      </c>
      <c r="I1375">
        <f>_xlfn.XLOOKUP(A1375,MktTitle,MktCat,"n/a")</f>
        <v/>
      </c>
      <c r="J1375" s="3">
        <f>_xlfn.XLOOKUP(A1375,MktTitle,MktTotVol,0)</f>
        <v/>
      </c>
      <c r="K1375">
        <f>IF(H1375&gt;WhaleThreshold,"WHALE","")</f>
        <v/>
      </c>
    </row>
    <row r="1376">
      <c r="A1376" t="inlineStr">
        <is>
          <t>Will Paraguay win the 2026 FIFA World Cup?</t>
        </is>
      </c>
      <c r="B1376" s="4" t="n">
        <v>46205</v>
      </c>
      <c r="C1376" s="5" t="n">
        <v>46205.96268518519</v>
      </c>
      <c r="D1376" t="inlineStr">
        <is>
          <t>BUY</t>
        </is>
      </c>
      <c r="E1376" t="inlineStr">
        <is>
          <t>No</t>
        </is>
      </c>
      <c r="F1376" s="2" t="n">
        <v>0.999</v>
      </c>
      <c r="G1376" s="6" t="n">
        <v>115</v>
      </c>
      <c r="H1376" s="6">
        <f>F1376*G1376</f>
        <v/>
      </c>
      <c r="I1376">
        <f>_xlfn.XLOOKUP(A1376,MktTitle,MktCat,"n/a")</f>
        <v/>
      </c>
      <c r="J1376" s="3">
        <f>_xlfn.XLOOKUP(A1376,MktTitle,MktTotVol,0)</f>
        <v/>
      </c>
      <c r="K1376">
        <f>IF(H1376&gt;WhaleThreshold,"WHALE","")</f>
        <v/>
      </c>
    </row>
    <row r="1377">
      <c r="A1377" t="inlineStr">
        <is>
          <t>Will Paraguay win the 2026 FIFA World Cup?</t>
        </is>
      </c>
      <c r="B1377" s="4" t="n">
        <v>46205</v>
      </c>
      <c r="C1377" s="5" t="n">
        <v>46205.96266203704</v>
      </c>
      <c r="D1377" t="inlineStr">
        <is>
          <t>BUY</t>
        </is>
      </c>
      <c r="E1377" t="inlineStr">
        <is>
          <t>No</t>
        </is>
      </c>
      <c r="F1377" s="2" t="n">
        <v>0.999</v>
      </c>
      <c r="G1377" s="6" t="n">
        <v>38.3</v>
      </c>
      <c r="H1377" s="6">
        <f>F1377*G1377</f>
        <v/>
      </c>
      <c r="I1377">
        <f>_xlfn.XLOOKUP(A1377,MktTitle,MktCat,"n/a")</f>
        <v/>
      </c>
      <c r="J1377" s="3">
        <f>_xlfn.XLOOKUP(A1377,MktTitle,MktTotVol,0)</f>
        <v/>
      </c>
      <c r="K1377">
        <f>IF(H1377&gt;WhaleThreshold,"WHALE","")</f>
        <v/>
      </c>
    </row>
    <row r="1378">
      <c r="A1378" t="inlineStr">
        <is>
          <t>Will Paraguay win the 2026 FIFA World Cup?</t>
        </is>
      </c>
      <c r="B1378" s="4" t="n">
        <v>46205</v>
      </c>
      <c r="C1378" s="5" t="n">
        <v>46205.96266203704</v>
      </c>
      <c r="D1378" t="inlineStr">
        <is>
          <t>BUY</t>
        </is>
      </c>
      <c r="E1378" t="inlineStr">
        <is>
          <t>No</t>
        </is>
      </c>
      <c r="F1378" s="2" t="n">
        <v>0.999</v>
      </c>
      <c r="G1378" s="6" t="n">
        <v>10</v>
      </c>
      <c r="H1378" s="6">
        <f>F1378*G1378</f>
        <v/>
      </c>
      <c r="I1378">
        <f>_xlfn.XLOOKUP(A1378,MktTitle,MktCat,"n/a")</f>
        <v/>
      </c>
      <c r="J1378" s="3">
        <f>_xlfn.XLOOKUP(A1378,MktTitle,MktTotVol,0)</f>
        <v/>
      </c>
      <c r="K1378">
        <f>IF(H1378&gt;WhaleThreshold,"WHALE","")</f>
        <v/>
      </c>
    </row>
    <row r="1379">
      <c r="A1379" t="inlineStr">
        <is>
          <t>Will Paraguay win the 2026 FIFA World Cup?</t>
        </is>
      </c>
      <c r="B1379" s="4" t="n">
        <v>46205</v>
      </c>
      <c r="C1379" s="5" t="n">
        <v>46205.96266203704</v>
      </c>
      <c r="D1379" t="inlineStr">
        <is>
          <t>BUY</t>
        </is>
      </c>
      <c r="E1379" t="inlineStr">
        <is>
          <t>No</t>
        </is>
      </c>
      <c r="F1379" s="2" t="n">
        <v>0.999</v>
      </c>
      <c r="G1379" s="6" t="n">
        <v>50</v>
      </c>
      <c r="H1379" s="6">
        <f>F1379*G1379</f>
        <v/>
      </c>
      <c r="I1379">
        <f>_xlfn.XLOOKUP(A1379,MktTitle,MktCat,"n/a")</f>
        <v/>
      </c>
      <c r="J1379" s="3">
        <f>_xlfn.XLOOKUP(A1379,MktTitle,MktTotVol,0)</f>
        <v/>
      </c>
      <c r="K1379">
        <f>IF(H1379&gt;WhaleThreshold,"WHALE","")</f>
        <v/>
      </c>
    </row>
    <row r="1380">
      <c r="A1380" t="inlineStr">
        <is>
          <t>Will Paraguay win the 2026 FIFA World Cup?</t>
        </is>
      </c>
      <c r="B1380" s="4" t="n">
        <v>46205</v>
      </c>
      <c r="C1380" s="5" t="n">
        <v>46205.96265046296</v>
      </c>
      <c r="D1380" t="inlineStr">
        <is>
          <t>BUY</t>
        </is>
      </c>
      <c r="E1380" t="inlineStr">
        <is>
          <t>No</t>
        </is>
      </c>
      <c r="F1380" s="2" t="n">
        <v>0.999</v>
      </c>
      <c r="G1380" s="6" t="n">
        <v>73.59999999999999</v>
      </c>
      <c r="H1380" s="6">
        <f>F1380*G1380</f>
        <v/>
      </c>
      <c r="I1380">
        <f>_xlfn.XLOOKUP(A1380,MktTitle,MktCat,"n/a")</f>
        <v/>
      </c>
      <c r="J1380" s="3">
        <f>_xlfn.XLOOKUP(A1380,MktTitle,MktTotVol,0)</f>
        <v/>
      </c>
      <c r="K1380">
        <f>IF(H1380&gt;WhaleThreshold,"WHALE","")</f>
        <v/>
      </c>
    </row>
    <row r="1381">
      <c r="A1381" t="inlineStr">
        <is>
          <t>Will Paraguay win the 2026 FIFA World Cup?</t>
        </is>
      </c>
      <c r="B1381" s="4" t="n">
        <v>46205</v>
      </c>
      <c r="C1381" s="5" t="n">
        <v>46205.96259259259</v>
      </c>
      <c r="D1381" t="inlineStr">
        <is>
          <t>BUY</t>
        </is>
      </c>
      <c r="E1381" t="inlineStr">
        <is>
          <t>No</t>
        </is>
      </c>
      <c r="F1381" s="2" t="n">
        <v>0.999</v>
      </c>
      <c r="G1381" s="6" t="n">
        <v>26.1</v>
      </c>
      <c r="H1381" s="6">
        <f>F1381*G1381</f>
        <v/>
      </c>
      <c r="I1381">
        <f>_xlfn.XLOOKUP(A1381,MktTitle,MktCat,"n/a")</f>
        <v/>
      </c>
      <c r="J1381" s="3">
        <f>_xlfn.XLOOKUP(A1381,MktTitle,MktTotVol,0)</f>
        <v/>
      </c>
      <c r="K1381">
        <f>IF(H1381&gt;WhaleThreshold,"WHALE","")</f>
        <v/>
      </c>
    </row>
    <row r="1382">
      <c r="A1382" t="inlineStr">
        <is>
          <t>Will Paraguay win the 2026 FIFA World Cup?</t>
        </is>
      </c>
      <c r="B1382" s="4" t="n">
        <v>46205</v>
      </c>
      <c r="C1382" s="5" t="n">
        <v>46205.96255787037</v>
      </c>
      <c r="D1382" t="inlineStr">
        <is>
          <t>BUY</t>
        </is>
      </c>
      <c r="E1382" t="inlineStr">
        <is>
          <t>No</t>
        </is>
      </c>
      <c r="F1382" s="2" t="n">
        <v>0.999</v>
      </c>
      <c r="G1382" s="6" t="n">
        <v>20</v>
      </c>
      <c r="H1382" s="6">
        <f>F1382*G1382</f>
        <v/>
      </c>
      <c r="I1382">
        <f>_xlfn.XLOOKUP(A1382,MktTitle,MktCat,"n/a")</f>
        <v/>
      </c>
      <c r="J1382" s="3">
        <f>_xlfn.XLOOKUP(A1382,MktTitle,MktTotVol,0)</f>
        <v/>
      </c>
      <c r="K1382">
        <f>IF(H1382&gt;WhaleThreshold,"WHALE","")</f>
        <v/>
      </c>
    </row>
    <row r="1383">
      <c r="A1383" t="inlineStr">
        <is>
          <t>Will Paraguay win the 2026 FIFA World Cup?</t>
        </is>
      </c>
      <c r="B1383" s="4" t="n">
        <v>46205</v>
      </c>
      <c r="C1383" s="5" t="n">
        <v>46205.96254629629</v>
      </c>
      <c r="D1383" t="inlineStr">
        <is>
          <t>BUY</t>
        </is>
      </c>
      <c r="E1383" t="inlineStr">
        <is>
          <t>No</t>
        </is>
      </c>
      <c r="F1383" s="2" t="n">
        <v>0.999</v>
      </c>
      <c r="G1383" s="6" t="n">
        <v>10</v>
      </c>
      <c r="H1383" s="6">
        <f>F1383*G1383</f>
        <v/>
      </c>
      <c r="I1383">
        <f>_xlfn.XLOOKUP(A1383,MktTitle,MktCat,"n/a")</f>
        <v/>
      </c>
      <c r="J1383" s="3">
        <f>_xlfn.XLOOKUP(A1383,MktTitle,MktTotVol,0)</f>
        <v/>
      </c>
      <c r="K1383">
        <f>IF(H1383&gt;WhaleThreshold,"WHALE","")</f>
        <v/>
      </c>
    </row>
    <row r="1384">
      <c r="A1384" t="inlineStr">
        <is>
          <t>Will Paraguay win the 2026 FIFA World Cup?</t>
        </is>
      </c>
      <c r="B1384" s="4" t="n">
        <v>46205</v>
      </c>
      <c r="C1384" s="5" t="n">
        <v>46205.9624537037</v>
      </c>
      <c r="D1384" t="inlineStr">
        <is>
          <t>SELL</t>
        </is>
      </c>
      <c r="E1384" t="inlineStr">
        <is>
          <t>Yes</t>
        </is>
      </c>
      <c r="F1384" s="2" t="n">
        <v>0.001</v>
      </c>
      <c r="G1384" s="6" t="n">
        <v>252</v>
      </c>
      <c r="H1384" s="6">
        <f>F1384*G1384</f>
        <v/>
      </c>
      <c r="I1384">
        <f>_xlfn.XLOOKUP(A1384,MktTitle,MktCat,"n/a")</f>
        <v/>
      </c>
      <c r="J1384" s="3">
        <f>_xlfn.XLOOKUP(A1384,MktTitle,MktTotVol,0)</f>
        <v/>
      </c>
      <c r="K1384">
        <f>IF(H1384&gt;WhaleThreshold,"WHALE","")</f>
        <v/>
      </c>
    </row>
    <row r="1385">
      <c r="A1385" t="inlineStr">
        <is>
          <t>Will Paraguay win the 2026 FIFA World Cup?</t>
        </is>
      </c>
      <c r="B1385" s="4" t="n">
        <v>46205</v>
      </c>
      <c r="C1385" s="5" t="n">
        <v>46205.96207175926</v>
      </c>
      <c r="D1385" t="inlineStr">
        <is>
          <t>SELL</t>
        </is>
      </c>
      <c r="E1385" t="inlineStr">
        <is>
          <t>Yes</t>
        </is>
      </c>
      <c r="F1385" s="2" t="n">
        <v>0.001</v>
      </c>
      <c r="G1385" s="6" t="n">
        <v>28.65</v>
      </c>
      <c r="H1385" s="6">
        <f>F1385*G1385</f>
        <v/>
      </c>
      <c r="I1385">
        <f>_xlfn.XLOOKUP(A1385,MktTitle,MktCat,"n/a")</f>
        <v/>
      </c>
      <c r="J1385" s="3">
        <f>_xlfn.XLOOKUP(A1385,MktTitle,MktTotVol,0)</f>
        <v/>
      </c>
      <c r="K1385">
        <f>IF(H1385&gt;WhaleThreshold,"WHALE","")</f>
        <v/>
      </c>
    </row>
    <row r="1386">
      <c r="A1386" t="inlineStr">
        <is>
          <t>Will Paraguay win the 2026 FIFA World Cup?</t>
        </is>
      </c>
      <c r="B1386" s="4" t="n">
        <v>46205</v>
      </c>
      <c r="C1386" s="5" t="n">
        <v>46205.96200231482</v>
      </c>
      <c r="D1386" t="inlineStr">
        <is>
          <t>BUY</t>
        </is>
      </c>
      <c r="E1386" t="inlineStr">
        <is>
          <t>No</t>
        </is>
      </c>
      <c r="F1386" s="2" t="n">
        <v>0.999</v>
      </c>
      <c r="G1386" s="6" t="n">
        <v>10</v>
      </c>
      <c r="H1386" s="6">
        <f>F1386*G1386</f>
        <v/>
      </c>
      <c r="I1386">
        <f>_xlfn.XLOOKUP(A1386,MktTitle,MktCat,"n/a")</f>
        <v/>
      </c>
      <c r="J1386" s="3">
        <f>_xlfn.XLOOKUP(A1386,MktTitle,MktTotVol,0)</f>
        <v/>
      </c>
      <c r="K1386">
        <f>IF(H1386&gt;WhaleThreshold,"WHALE","")</f>
        <v/>
      </c>
    </row>
    <row r="1387">
      <c r="A1387" t="inlineStr">
        <is>
          <t>Will Paraguay win the 2026 FIFA World Cup?</t>
        </is>
      </c>
      <c r="B1387" s="4" t="n">
        <v>46205</v>
      </c>
      <c r="C1387" s="5" t="n">
        <v>46205.96196759259</v>
      </c>
      <c r="D1387" t="inlineStr">
        <is>
          <t>BUY</t>
        </is>
      </c>
      <c r="E1387" t="inlineStr">
        <is>
          <t>No</t>
        </is>
      </c>
      <c r="F1387" s="2" t="n">
        <v>0.999</v>
      </c>
      <c r="G1387" s="6" t="n">
        <v>10</v>
      </c>
      <c r="H1387" s="6">
        <f>F1387*G1387</f>
        <v/>
      </c>
      <c r="I1387">
        <f>_xlfn.XLOOKUP(A1387,MktTitle,MktCat,"n/a")</f>
        <v/>
      </c>
      <c r="J1387" s="3">
        <f>_xlfn.XLOOKUP(A1387,MktTitle,MktTotVol,0)</f>
        <v/>
      </c>
      <c r="K1387">
        <f>IF(H1387&gt;WhaleThreshold,"WHALE","")</f>
        <v/>
      </c>
    </row>
    <row r="1388">
      <c r="A1388" t="inlineStr">
        <is>
          <t>Will Paraguay win the 2026 FIFA World Cup?</t>
        </is>
      </c>
      <c r="B1388" s="4" t="n">
        <v>46205</v>
      </c>
      <c r="C1388" s="5" t="n">
        <v>46205.96195601852</v>
      </c>
      <c r="D1388" t="inlineStr">
        <is>
          <t>BUY</t>
        </is>
      </c>
      <c r="E1388" t="inlineStr">
        <is>
          <t>No</t>
        </is>
      </c>
      <c r="F1388" s="2" t="n">
        <v>0.999</v>
      </c>
      <c r="G1388" s="6" t="n">
        <v>10</v>
      </c>
      <c r="H1388" s="6">
        <f>F1388*G1388</f>
        <v/>
      </c>
      <c r="I1388">
        <f>_xlfn.XLOOKUP(A1388,MktTitle,MktCat,"n/a")</f>
        <v/>
      </c>
      <c r="J1388" s="3">
        <f>_xlfn.XLOOKUP(A1388,MktTitle,MktTotVol,0)</f>
        <v/>
      </c>
      <c r="K1388">
        <f>IF(H1388&gt;WhaleThreshold,"WHALE","")</f>
        <v/>
      </c>
    </row>
    <row r="1389">
      <c r="A1389" t="inlineStr">
        <is>
          <t>Will Paraguay win the 2026 FIFA World Cup?</t>
        </is>
      </c>
      <c r="B1389" s="4" t="n">
        <v>46205</v>
      </c>
      <c r="C1389" s="5" t="n">
        <v>46205.96193287037</v>
      </c>
      <c r="D1389" t="inlineStr">
        <is>
          <t>BUY</t>
        </is>
      </c>
      <c r="E1389" t="inlineStr">
        <is>
          <t>No</t>
        </is>
      </c>
      <c r="F1389" s="2" t="n">
        <v>0.999</v>
      </c>
      <c r="G1389" s="6" t="n">
        <v>10</v>
      </c>
      <c r="H1389" s="6">
        <f>F1389*G1389</f>
        <v/>
      </c>
      <c r="I1389">
        <f>_xlfn.XLOOKUP(A1389,MktTitle,MktCat,"n/a")</f>
        <v/>
      </c>
      <c r="J1389" s="3">
        <f>_xlfn.XLOOKUP(A1389,MktTitle,MktTotVol,0)</f>
        <v/>
      </c>
      <c r="K1389">
        <f>IF(H1389&gt;WhaleThreshold,"WHALE","")</f>
        <v/>
      </c>
    </row>
    <row r="1390">
      <c r="A1390" t="inlineStr">
        <is>
          <t>Will Paraguay win the 2026 FIFA World Cup?</t>
        </is>
      </c>
      <c r="B1390" s="4" t="n">
        <v>46205</v>
      </c>
      <c r="C1390" s="5" t="n">
        <v>46205.96189814815</v>
      </c>
      <c r="D1390" t="inlineStr">
        <is>
          <t>BUY</t>
        </is>
      </c>
      <c r="E1390" t="inlineStr">
        <is>
          <t>No</t>
        </is>
      </c>
      <c r="F1390" s="2" t="n">
        <v>0.999</v>
      </c>
      <c r="G1390" s="6" t="n">
        <v>10</v>
      </c>
      <c r="H1390" s="6">
        <f>F1390*G1390</f>
        <v/>
      </c>
      <c r="I1390">
        <f>_xlfn.XLOOKUP(A1390,MktTitle,MktCat,"n/a")</f>
        <v/>
      </c>
      <c r="J1390" s="3">
        <f>_xlfn.XLOOKUP(A1390,MktTitle,MktTotVol,0)</f>
        <v/>
      </c>
      <c r="K1390">
        <f>IF(H1390&gt;WhaleThreshold,"WHALE","")</f>
        <v/>
      </c>
    </row>
    <row r="1391">
      <c r="A1391" t="inlineStr">
        <is>
          <t>Will Paraguay win the 2026 FIFA World Cup?</t>
        </is>
      </c>
      <c r="B1391" s="4" t="n">
        <v>46205</v>
      </c>
      <c r="C1391" s="5" t="n">
        <v>46205.96188657408</v>
      </c>
      <c r="D1391" t="inlineStr">
        <is>
          <t>BUY</t>
        </is>
      </c>
      <c r="E1391" t="inlineStr">
        <is>
          <t>No</t>
        </is>
      </c>
      <c r="F1391" s="2" t="n">
        <v>0.999</v>
      </c>
      <c r="G1391" s="6" t="n">
        <v>10</v>
      </c>
      <c r="H1391" s="6">
        <f>F1391*G1391</f>
        <v/>
      </c>
      <c r="I1391">
        <f>_xlfn.XLOOKUP(A1391,MktTitle,MktCat,"n/a")</f>
        <v/>
      </c>
      <c r="J1391" s="3">
        <f>_xlfn.XLOOKUP(A1391,MktTitle,MktTotVol,0)</f>
        <v/>
      </c>
      <c r="K1391">
        <f>IF(H1391&gt;WhaleThreshold,"WHALE","")</f>
        <v/>
      </c>
    </row>
    <row r="1392">
      <c r="A1392" t="inlineStr">
        <is>
          <t>Will Paraguay win the 2026 FIFA World Cup?</t>
        </is>
      </c>
      <c r="B1392" s="4" t="n">
        <v>46205</v>
      </c>
      <c r="C1392" s="5" t="n">
        <v>46205.96185185185</v>
      </c>
      <c r="D1392" t="inlineStr">
        <is>
          <t>BUY</t>
        </is>
      </c>
      <c r="E1392" t="inlineStr">
        <is>
          <t>No</t>
        </is>
      </c>
      <c r="F1392" s="2" t="n">
        <v>0.999</v>
      </c>
      <c r="G1392" s="6" t="n">
        <v>10</v>
      </c>
      <c r="H1392" s="6">
        <f>F1392*G1392</f>
        <v/>
      </c>
      <c r="I1392">
        <f>_xlfn.XLOOKUP(A1392,MktTitle,MktCat,"n/a")</f>
        <v/>
      </c>
      <c r="J1392" s="3">
        <f>_xlfn.XLOOKUP(A1392,MktTitle,MktTotVol,0)</f>
        <v/>
      </c>
      <c r="K1392">
        <f>IF(H1392&gt;WhaleThreshold,"WHALE","")</f>
        <v/>
      </c>
    </row>
    <row r="1393">
      <c r="A1393" t="inlineStr">
        <is>
          <t>Will Paraguay win the 2026 FIFA World Cup?</t>
        </is>
      </c>
      <c r="B1393" s="4" t="n">
        <v>46205</v>
      </c>
      <c r="C1393" s="5" t="n">
        <v>46205.9618287037</v>
      </c>
      <c r="D1393" t="inlineStr">
        <is>
          <t>BUY</t>
        </is>
      </c>
      <c r="E1393" t="inlineStr">
        <is>
          <t>No</t>
        </is>
      </c>
      <c r="F1393" s="2" t="n">
        <v>0.999</v>
      </c>
      <c r="G1393" s="6" t="n">
        <v>10</v>
      </c>
      <c r="H1393" s="6">
        <f>F1393*G1393</f>
        <v/>
      </c>
      <c r="I1393">
        <f>_xlfn.XLOOKUP(A1393,MktTitle,MktCat,"n/a")</f>
        <v/>
      </c>
      <c r="J1393" s="3">
        <f>_xlfn.XLOOKUP(A1393,MktTitle,MktTotVol,0)</f>
        <v/>
      </c>
      <c r="K1393">
        <f>IF(H1393&gt;WhaleThreshold,"WHALE","")</f>
        <v/>
      </c>
    </row>
    <row r="1394">
      <c r="A1394" t="inlineStr">
        <is>
          <t>Will Paraguay win the 2026 FIFA World Cup?</t>
        </is>
      </c>
      <c r="B1394" s="4" t="n">
        <v>46205</v>
      </c>
      <c r="C1394" s="5" t="n">
        <v>46205.96181712963</v>
      </c>
      <c r="D1394" t="inlineStr">
        <is>
          <t>BUY</t>
        </is>
      </c>
      <c r="E1394" t="inlineStr">
        <is>
          <t>No</t>
        </is>
      </c>
      <c r="F1394" s="2" t="n">
        <v>0.999</v>
      </c>
      <c r="G1394" s="6" t="n">
        <v>10</v>
      </c>
      <c r="H1394" s="6">
        <f>F1394*G1394</f>
        <v/>
      </c>
      <c r="I1394">
        <f>_xlfn.XLOOKUP(A1394,MktTitle,MktCat,"n/a")</f>
        <v/>
      </c>
      <c r="J1394" s="3">
        <f>_xlfn.XLOOKUP(A1394,MktTitle,MktTotVol,0)</f>
        <v/>
      </c>
      <c r="K1394">
        <f>IF(H1394&gt;WhaleThreshold,"WHALE","")</f>
        <v/>
      </c>
    </row>
    <row r="1395">
      <c r="A1395" t="inlineStr">
        <is>
          <t>Will Paraguay win the 2026 FIFA World Cup?</t>
        </is>
      </c>
      <c r="B1395" s="4" t="n">
        <v>46205</v>
      </c>
      <c r="C1395" s="5" t="n">
        <v>46205.96181712963</v>
      </c>
      <c r="D1395" t="inlineStr">
        <is>
          <t>BUY</t>
        </is>
      </c>
      <c r="E1395" t="inlineStr">
        <is>
          <t>No</t>
        </is>
      </c>
      <c r="F1395" s="2" t="n">
        <v>0.999</v>
      </c>
      <c r="G1395" s="6" t="n">
        <v>10</v>
      </c>
      <c r="H1395" s="6">
        <f>F1395*G1395</f>
        <v/>
      </c>
      <c r="I1395">
        <f>_xlfn.XLOOKUP(A1395,MktTitle,MktCat,"n/a")</f>
        <v/>
      </c>
      <c r="J1395" s="3">
        <f>_xlfn.XLOOKUP(A1395,MktTitle,MktTotVol,0)</f>
        <v/>
      </c>
      <c r="K1395">
        <f>IF(H1395&gt;WhaleThreshold,"WHALE","")</f>
        <v/>
      </c>
    </row>
    <row r="1396">
      <c r="A1396" t="inlineStr">
        <is>
          <t>Will Paraguay win the 2026 FIFA World Cup?</t>
        </is>
      </c>
      <c r="B1396" s="4" t="n">
        <v>46205</v>
      </c>
      <c r="C1396" s="5" t="n">
        <v>46205.96181712963</v>
      </c>
      <c r="D1396" t="inlineStr">
        <is>
          <t>BUY</t>
        </is>
      </c>
      <c r="E1396" t="inlineStr">
        <is>
          <t>No</t>
        </is>
      </c>
      <c r="F1396" s="2" t="n">
        <v>0.999</v>
      </c>
      <c r="G1396" s="6" t="n">
        <v>10</v>
      </c>
      <c r="H1396" s="6">
        <f>F1396*G1396</f>
        <v/>
      </c>
      <c r="I1396">
        <f>_xlfn.XLOOKUP(A1396,MktTitle,MktCat,"n/a")</f>
        <v/>
      </c>
      <c r="J1396" s="3">
        <f>_xlfn.XLOOKUP(A1396,MktTitle,MktTotVol,0)</f>
        <v/>
      </c>
      <c r="K1396">
        <f>IF(H1396&gt;WhaleThreshold,"WHALE","")</f>
        <v/>
      </c>
    </row>
    <row r="1397">
      <c r="A1397" t="inlineStr">
        <is>
          <t>Will Paraguay win the 2026 FIFA World Cup?</t>
        </is>
      </c>
      <c r="B1397" s="4" t="n">
        <v>46205</v>
      </c>
      <c r="C1397" s="5" t="n">
        <v>46205.96179398148</v>
      </c>
      <c r="D1397" t="inlineStr">
        <is>
          <t>BUY</t>
        </is>
      </c>
      <c r="E1397" t="inlineStr">
        <is>
          <t>No</t>
        </is>
      </c>
      <c r="F1397" s="2" t="n">
        <v>0.999</v>
      </c>
      <c r="G1397" s="6" t="n">
        <v>20</v>
      </c>
      <c r="H1397" s="6">
        <f>F1397*G1397</f>
        <v/>
      </c>
      <c r="I1397">
        <f>_xlfn.XLOOKUP(A1397,MktTitle,MktCat,"n/a")</f>
        <v/>
      </c>
      <c r="J1397" s="3">
        <f>_xlfn.XLOOKUP(A1397,MktTitle,MktTotVol,0)</f>
        <v/>
      </c>
      <c r="K1397">
        <f>IF(H1397&gt;WhaleThreshold,"WHALE","")</f>
        <v/>
      </c>
    </row>
    <row r="1398">
      <c r="A1398" t="inlineStr">
        <is>
          <t>Will Paraguay win the 2026 FIFA World Cup?</t>
        </is>
      </c>
      <c r="B1398" s="4" t="n">
        <v>46205</v>
      </c>
      <c r="C1398" s="5" t="n">
        <v>46205.96175925926</v>
      </c>
      <c r="D1398" t="inlineStr">
        <is>
          <t>BUY</t>
        </is>
      </c>
      <c r="E1398" t="inlineStr">
        <is>
          <t>No</t>
        </is>
      </c>
      <c r="F1398" s="2" t="n">
        <v>0.999</v>
      </c>
      <c r="G1398" s="6" t="n">
        <v>20</v>
      </c>
      <c r="H1398" s="6">
        <f>F1398*G1398</f>
        <v/>
      </c>
      <c r="I1398">
        <f>_xlfn.XLOOKUP(A1398,MktTitle,MktCat,"n/a")</f>
        <v/>
      </c>
      <c r="J1398" s="3">
        <f>_xlfn.XLOOKUP(A1398,MktTitle,MktTotVol,0)</f>
        <v/>
      </c>
      <c r="K1398">
        <f>IF(H1398&gt;WhaleThreshold,"WHALE","")</f>
        <v/>
      </c>
    </row>
    <row r="1399">
      <c r="A1399" t="inlineStr">
        <is>
          <t>Will Paraguay win the 2026 FIFA World Cup?</t>
        </is>
      </c>
      <c r="B1399" s="4" t="n">
        <v>46205</v>
      </c>
      <c r="C1399" s="5" t="n">
        <v>46205.96175925926</v>
      </c>
      <c r="D1399" t="inlineStr">
        <is>
          <t>BUY</t>
        </is>
      </c>
      <c r="E1399" t="inlineStr">
        <is>
          <t>No</t>
        </is>
      </c>
      <c r="F1399" s="2" t="n">
        <v>0.999</v>
      </c>
      <c r="G1399" s="6" t="n">
        <v>10</v>
      </c>
      <c r="H1399" s="6">
        <f>F1399*G1399</f>
        <v/>
      </c>
      <c r="I1399">
        <f>_xlfn.XLOOKUP(A1399,MktTitle,MktCat,"n/a")</f>
        <v/>
      </c>
      <c r="J1399" s="3">
        <f>_xlfn.XLOOKUP(A1399,MktTitle,MktTotVol,0)</f>
        <v/>
      </c>
      <c r="K1399">
        <f>IF(H1399&gt;WhaleThreshold,"WHALE","")</f>
        <v/>
      </c>
    </row>
    <row r="1400">
      <c r="A1400" t="inlineStr">
        <is>
          <t>Will Paraguay win the 2026 FIFA World Cup?</t>
        </is>
      </c>
      <c r="B1400" s="4" t="n">
        <v>46205</v>
      </c>
      <c r="C1400" s="5" t="n">
        <v>46205.96175925926</v>
      </c>
      <c r="D1400" t="inlineStr">
        <is>
          <t>BUY</t>
        </is>
      </c>
      <c r="E1400" t="inlineStr">
        <is>
          <t>No</t>
        </is>
      </c>
      <c r="F1400" s="2" t="n">
        <v>0.999</v>
      </c>
      <c r="G1400" s="6" t="n">
        <v>10</v>
      </c>
      <c r="H1400" s="6">
        <f>F1400*G1400</f>
        <v/>
      </c>
      <c r="I1400">
        <f>_xlfn.XLOOKUP(A1400,MktTitle,MktCat,"n/a")</f>
        <v/>
      </c>
      <c r="J1400" s="3">
        <f>_xlfn.XLOOKUP(A1400,MktTitle,MktTotVol,0)</f>
        <v/>
      </c>
      <c r="K1400">
        <f>IF(H1400&gt;WhaleThreshold,"WHALE","")</f>
        <v/>
      </c>
    </row>
    <row r="1401">
      <c r="A1401" t="inlineStr">
        <is>
          <t>Will Paraguay win the 2026 FIFA World Cup?</t>
        </is>
      </c>
      <c r="B1401" s="4" t="n">
        <v>46205</v>
      </c>
      <c r="C1401" s="5" t="n">
        <v>46205.96133101852</v>
      </c>
      <c r="D1401" t="inlineStr">
        <is>
          <t>SELL</t>
        </is>
      </c>
      <c r="E1401" t="inlineStr">
        <is>
          <t>Yes</t>
        </is>
      </c>
      <c r="F1401" s="2" t="n">
        <v>0.001</v>
      </c>
      <c r="G1401" s="6" t="n">
        <v>100.79</v>
      </c>
      <c r="H1401" s="6">
        <f>F1401*G1401</f>
        <v/>
      </c>
      <c r="I1401">
        <f>_xlfn.XLOOKUP(A1401,MktTitle,MktCat,"n/a")</f>
        <v/>
      </c>
      <c r="J1401" s="3">
        <f>_xlfn.XLOOKUP(A1401,MktTitle,MktTotVol,0)</f>
        <v/>
      </c>
      <c r="K1401">
        <f>IF(H1401&gt;WhaleThreshold,"WHALE","")</f>
        <v/>
      </c>
    </row>
    <row r="1402">
      <c r="A1402" t="inlineStr">
        <is>
          <t>Will Paraguay win the 2026 FIFA World Cup?</t>
        </is>
      </c>
      <c r="B1402" s="4" t="n">
        <v>46205</v>
      </c>
      <c r="C1402" s="5" t="n">
        <v>46205.96096064815</v>
      </c>
      <c r="D1402" t="inlineStr">
        <is>
          <t>SELL</t>
        </is>
      </c>
      <c r="E1402" t="inlineStr">
        <is>
          <t>Yes</t>
        </is>
      </c>
      <c r="F1402" s="2" t="n">
        <v>0.001</v>
      </c>
      <c r="G1402" s="6" t="n">
        <v>1.1</v>
      </c>
      <c r="H1402" s="6">
        <f>F1402*G1402</f>
        <v/>
      </c>
      <c r="I1402">
        <f>_xlfn.XLOOKUP(A1402,MktTitle,MktCat,"n/a")</f>
        <v/>
      </c>
      <c r="J1402" s="3">
        <f>_xlfn.XLOOKUP(A1402,MktTitle,MktTotVol,0)</f>
        <v/>
      </c>
      <c r="K1402">
        <f>IF(H1402&gt;WhaleThreshold,"WHALE","")</f>
        <v/>
      </c>
    </row>
    <row r="1403">
      <c r="A1403" t="inlineStr">
        <is>
          <t>Will Paraguay win the 2026 FIFA World Cup?</t>
        </is>
      </c>
      <c r="B1403" s="4" t="n">
        <v>46205</v>
      </c>
      <c r="C1403" s="5" t="n">
        <v>46205.96077546296</v>
      </c>
      <c r="D1403" t="inlineStr">
        <is>
          <t>BUY</t>
        </is>
      </c>
      <c r="E1403" t="inlineStr">
        <is>
          <t>No</t>
        </is>
      </c>
      <c r="F1403" s="2" t="n">
        <v>0.999</v>
      </c>
      <c r="G1403" s="6" t="n">
        <v>95</v>
      </c>
      <c r="H1403" s="6">
        <f>F1403*G1403</f>
        <v/>
      </c>
      <c r="I1403">
        <f>_xlfn.XLOOKUP(A1403,MktTitle,MktCat,"n/a")</f>
        <v/>
      </c>
      <c r="J1403" s="3">
        <f>_xlfn.XLOOKUP(A1403,MktTitle,MktTotVol,0)</f>
        <v/>
      </c>
      <c r="K1403">
        <f>IF(H1403&gt;WhaleThreshold,"WHALE","")</f>
        <v/>
      </c>
    </row>
    <row r="1404">
      <c r="A1404" t="inlineStr">
        <is>
          <t>Will Paraguay win the 2026 FIFA World Cup?</t>
        </is>
      </c>
      <c r="B1404" s="4" t="n">
        <v>46205</v>
      </c>
      <c r="C1404" s="5" t="n">
        <v>46205.9606712963</v>
      </c>
      <c r="D1404" t="inlineStr">
        <is>
          <t>BUY</t>
        </is>
      </c>
      <c r="E1404" t="inlineStr">
        <is>
          <t>No</t>
        </is>
      </c>
      <c r="F1404" s="2" t="n">
        <v>0.999</v>
      </c>
      <c r="G1404" s="6" t="n">
        <v>85</v>
      </c>
      <c r="H1404" s="6">
        <f>F1404*G1404</f>
        <v/>
      </c>
      <c r="I1404">
        <f>_xlfn.XLOOKUP(A1404,MktTitle,MktCat,"n/a")</f>
        <v/>
      </c>
      <c r="J1404" s="3">
        <f>_xlfn.XLOOKUP(A1404,MktTitle,MktTotVol,0)</f>
        <v/>
      </c>
      <c r="K1404">
        <f>IF(H1404&gt;WhaleThreshold,"WHALE","")</f>
        <v/>
      </c>
    </row>
    <row r="1405">
      <c r="A1405" t="inlineStr">
        <is>
          <t>Will Paraguay win the 2026 FIFA World Cup?</t>
        </is>
      </c>
      <c r="B1405" s="4" t="n">
        <v>46205</v>
      </c>
      <c r="C1405" s="5" t="n">
        <v>46205.9606712963</v>
      </c>
      <c r="D1405" t="inlineStr">
        <is>
          <t>BUY</t>
        </is>
      </c>
      <c r="E1405" t="inlineStr">
        <is>
          <t>No</t>
        </is>
      </c>
      <c r="F1405" s="2" t="n">
        <v>0.999</v>
      </c>
      <c r="G1405" s="6" t="n">
        <v>8</v>
      </c>
      <c r="H1405" s="6">
        <f>F1405*G1405</f>
        <v/>
      </c>
      <c r="I1405">
        <f>_xlfn.XLOOKUP(A1405,MktTitle,MktCat,"n/a")</f>
        <v/>
      </c>
      <c r="J1405" s="3">
        <f>_xlfn.XLOOKUP(A1405,MktTitle,MktTotVol,0)</f>
        <v/>
      </c>
      <c r="K1405">
        <f>IF(H1405&gt;WhaleThreshold,"WHALE","")</f>
        <v/>
      </c>
    </row>
    <row r="1406">
      <c r="A1406" t="inlineStr">
        <is>
          <t>Will Paraguay win the 2026 FIFA World Cup?</t>
        </is>
      </c>
      <c r="B1406" s="4" t="n">
        <v>46205</v>
      </c>
      <c r="C1406" s="5" t="n">
        <v>46205.96060185185</v>
      </c>
      <c r="D1406" t="inlineStr">
        <is>
          <t>BUY</t>
        </is>
      </c>
      <c r="E1406" t="inlineStr">
        <is>
          <t>No</t>
        </is>
      </c>
      <c r="F1406" s="2" t="n">
        <v>0.999</v>
      </c>
      <c r="G1406" s="6" t="n">
        <v>70</v>
      </c>
      <c r="H1406" s="6">
        <f>F1406*G1406</f>
        <v/>
      </c>
      <c r="I1406">
        <f>_xlfn.XLOOKUP(A1406,MktTitle,MktCat,"n/a")</f>
        <v/>
      </c>
      <c r="J1406" s="3">
        <f>_xlfn.XLOOKUP(A1406,MktTitle,MktTotVol,0)</f>
        <v/>
      </c>
      <c r="K1406">
        <f>IF(H1406&gt;WhaleThreshold,"WHALE","")</f>
        <v/>
      </c>
    </row>
    <row r="1407">
      <c r="A1407" t="inlineStr">
        <is>
          <t>Will Paraguay win the 2026 FIFA World Cup?</t>
        </is>
      </c>
      <c r="B1407" s="4" t="n">
        <v>46205</v>
      </c>
      <c r="C1407" s="5" t="n">
        <v>46205.96060185185</v>
      </c>
      <c r="D1407" t="inlineStr">
        <is>
          <t>SELL</t>
        </is>
      </c>
      <c r="E1407" t="inlineStr">
        <is>
          <t>Yes</t>
        </is>
      </c>
      <c r="F1407" s="2" t="n">
        <v>0.001</v>
      </c>
      <c r="G1407" s="6" t="n">
        <v>66.76000000000001</v>
      </c>
      <c r="H1407" s="6">
        <f>F1407*G1407</f>
        <v/>
      </c>
      <c r="I1407">
        <f>_xlfn.XLOOKUP(A1407,MktTitle,MktCat,"n/a")</f>
        <v/>
      </c>
      <c r="J1407" s="3">
        <f>_xlfn.XLOOKUP(A1407,MktTitle,MktTotVol,0)</f>
        <v/>
      </c>
      <c r="K1407">
        <f>IF(H1407&gt;WhaleThreshold,"WHALE","")</f>
        <v/>
      </c>
    </row>
    <row r="1408">
      <c r="A1408" t="inlineStr">
        <is>
          <t>Will Paraguay win the 2026 FIFA World Cup?</t>
        </is>
      </c>
      <c r="B1408" s="4" t="n">
        <v>46205</v>
      </c>
      <c r="C1408" s="5" t="n">
        <v>46205.96057870371</v>
      </c>
      <c r="D1408" t="inlineStr">
        <is>
          <t>BUY</t>
        </is>
      </c>
      <c r="E1408" t="inlineStr">
        <is>
          <t>No</t>
        </is>
      </c>
      <c r="F1408" s="2" t="n">
        <v>0.999</v>
      </c>
      <c r="G1408" s="6" t="n">
        <v>45</v>
      </c>
      <c r="H1408" s="6">
        <f>F1408*G1408</f>
        <v/>
      </c>
      <c r="I1408">
        <f>_xlfn.XLOOKUP(A1408,MktTitle,MktCat,"n/a")</f>
        <v/>
      </c>
      <c r="J1408" s="3">
        <f>_xlfn.XLOOKUP(A1408,MktTitle,MktTotVol,0)</f>
        <v/>
      </c>
      <c r="K1408">
        <f>IF(H1408&gt;WhaleThreshold,"WHALE","")</f>
        <v/>
      </c>
    </row>
    <row r="1409">
      <c r="A1409" t="inlineStr">
        <is>
          <t>Will Paraguay win the 2026 FIFA World Cup?</t>
        </is>
      </c>
      <c r="B1409" s="4" t="n">
        <v>46205</v>
      </c>
      <c r="C1409" s="5" t="n">
        <v>46205.96018518518</v>
      </c>
      <c r="D1409" t="inlineStr">
        <is>
          <t>SELL</t>
        </is>
      </c>
      <c r="E1409" t="inlineStr">
        <is>
          <t>Yes</t>
        </is>
      </c>
      <c r="F1409" s="2" t="n">
        <v>0.001</v>
      </c>
      <c r="G1409" s="6" t="n">
        <v>64.34</v>
      </c>
      <c r="H1409" s="6">
        <f>F1409*G1409</f>
        <v/>
      </c>
      <c r="I1409">
        <f>_xlfn.XLOOKUP(A1409,MktTitle,MktCat,"n/a")</f>
        <v/>
      </c>
      <c r="J1409" s="3">
        <f>_xlfn.XLOOKUP(A1409,MktTitle,MktTotVol,0)</f>
        <v/>
      </c>
      <c r="K1409">
        <f>IF(H1409&gt;WhaleThreshold,"WHALE","")</f>
        <v/>
      </c>
    </row>
    <row r="1410">
      <c r="A1410" t="inlineStr">
        <is>
          <t>Will Paraguay win the 2026 FIFA World Cup?</t>
        </is>
      </c>
      <c r="B1410" s="4" t="n">
        <v>46205</v>
      </c>
      <c r="C1410" s="5" t="n">
        <v>46205.96015046296</v>
      </c>
      <c r="D1410" t="inlineStr">
        <is>
          <t>BUY</t>
        </is>
      </c>
      <c r="E1410" t="inlineStr">
        <is>
          <t>No</t>
        </is>
      </c>
      <c r="F1410" s="2" t="n">
        <v>0.999</v>
      </c>
      <c r="G1410" s="6" t="n">
        <v>5</v>
      </c>
      <c r="H1410" s="6">
        <f>F1410*G1410</f>
        <v/>
      </c>
      <c r="I1410">
        <f>_xlfn.XLOOKUP(A1410,MktTitle,MktCat,"n/a")</f>
        <v/>
      </c>
      <c r="J1410" s="3">
        <f>_xlfn.XLOOKUP(A1410,MktTitle,MktTotVol,0)</f>
        <v/>
      </c>
      <c r="K1410">
        <f>IF(H1410&gt;WhaleThreshold,"WHALE","")</f>
        <v/>
      </c>
    </row>
    <row r="1411">
      <c r="A1411" t="inlineStr">
        <is>
          <t>Will Paraguay win the 2026 FIFA World Cup?</t>
        </is>
      </c>
      <c r="B1411" s="4" t="n">
        <v>46205</v>
      </c>
      <c r="C1411" s="5" t="n">
        <v>46205.96011574074</v>
      </c>
      <c r="D1411" t="inlineStr">
        <is>
          <t>SELL</t>
        </is>
      </c>
      <c r="E1411" t="inlineStr">
        <is>
          <t>Yes</t>
        </is>
      </c>
      <c r="F1411" s="2" t="n">
        <v>0.001</v>
      </c>
      <c r="G1411" s="6" t="n">
        <v>61.62</v>
      </c>
      <c r="H1411" s="6">
        <f>F1411*G1411</f>
        <v/>
      </c>
      <c r="I1411">
        <f>_xlfn.XLOOKUP(A1411,MktTitle,MktCat,"n/a")</f>
        <v/>
      </c>
      <c r="J1411" s="3">
        <f>_xlfn.XLOOKUP(A1411,MktTitle,MktTotVol,0)</f>
        <v/>
      </c>
      <c r="K1411">
        <f>IF(H1411&gt;WhaleThreshold,"WHALE","")</f>
        <v/>
      </c>
    </row>
    <row r="1412">
      <c r="A1412" t="inlineStr">
        <is>
          <t>Will Paraguay win the 2026 FIFA World Cup?</t>
        </is>
      </c>
      <c r="B1412" s="4" t="n">
        <v>46205</v>
      </c>
      <c r="C1412" s="5" t="n">
        <v>46205.95994212963</v>
      </c>
      <c r="D1412" t="inlineStr">
        <is>
          <t>SELL</t>
        </is>
      </c>
      <c r="E1412" t="inlineStr">
        <is>
          <t>Yes</t>
        </is>
      </c>
      <c r="F1412" s="2" t="n">
        <v>0.001</v>
      </c>
      <c r="G1412" s="6" t="n">
        <v>20.92</v>
      </c>
      <c r="H1412" s="6">
        <f>F1412*G1412</f>
        <v/>
      </c>
      <c r="I1412">
        <f>_xlfn.XLOOKUP(A1412,MktTitle,MktCat,"n/a")</f>
        <v/>
      </c>
      <c r="J1412" s="3">
        <f>_xlfn.XLOOKUP(A1412,MktTitle,MktTotVol,0)</f>
        <v/>
      </c>
      <c r="K1412">
        <f>IF(H1412&gt;WhaleThreshold,"WHALE","")</f>
        <v/>
      </c>
    </row>
    <row r="1413">
      <c r="A1413" t="inlineStr">
        <is>
          <t>Will Paraguay win the 2026 FIFA World Cup?</t>
        </is>
      </c>
      <c r="B1413" s="4" t="n">
        <v>46205</v>
      </c>
      <c r="C1413" s="5" t="n">
        <v>46205.95994212963</v>
      </c>
      <c r="D1413" t="inlineStr">
        <is>
          <t>BUY</t>
        </is>
      </c>
      <c r="E1413" t="inlineStr">
        <is>
          <t>No</t>
        </is>
      </c>
      <c r="F1413" s="2" t="n">
        <v>0.999</v>
      </c>
      <c r="G1413" s="6" t="n">
        <v>25.2</v>
      </c>
      <c r="H1413" s="6">
        <f>F1413*G1413</f>
        <v/>
      </c>
      <c r="I1413">
        <f>_xlfn.XLOOKUP(A1413,MktTitle,MktCat,"n/a")</f>
        <v/>
      </c>
      <c r="J1413" s="3">
        <f>_xlfn.XLOOKUP(A1413,MktTitle,MktTotVol,0)</f>
        <v/>
      </c>
      <c r="K1413">
        <f>IF(H1413&gt;WhaleThreshold,"WHALE","")</f>
        <v/>
      </c>
    </row>
    <row r="1414">
      <c r="A1414" t="inlineStr">
        <is>
          <t>Will Paraguay win the 2026 FIFA World Cup?</t>
        </is>
      </c>
      <c r="B1414" s="4" t="n">
        <v>46205</v>
      </c>
      <c r="C1414" s="5" t="n">
        <v>46205.95990740741</v>
      </c>
      <c r="D1414" t="inlineStr">
        <is>
          <t>BUY</t>
        </is>
      </c>
      <c r="E1414" t="inlineStr">
        <is>
          <t>No</t>
        </is>
      </c>
      <c r="F1414" s="2" t="n">
        <v>0.999</v>
      </c>
      <c r="G1414" s="6" t="n">
        <v>50.4</v>
      </c>
      <c r="H1414" s="6">
        <f>F1414*G1414</f>
        <v/>
      </c>
      <c r="I1414">
        <f>_xlfn.XLOOKUP(A1414,MktTitle,MktCat,"n/a")</f>
        <v/>
      </c>
      <c r="J1414" s="3">
        <f>_xlfn.XLOOKUP(A1414,MktTitle,MktTotVol,0)</f>
        <v/>
      </c>
      <c r="K1414">
        <f>IF(H1414&gt;WhaleThreshold,"WHALE","")</f>
        <v/>
      </c>
    </row>
    <row r="1415">
      <c r="A1415" t="inlineStr">
        <is>
          <t>Will Paraguay win the 2026 FIFA World Cup?</t>
        </is>
      </c>
      <c r="B1415" s="4" t="n">
        <v>46205</v>
      </c>
      <c r="C1415" s="5" t="n">
        <v>46205.95988425926</v>
      </c>
      <c r="D1415" t="inlineStr">
        <is>
          <t>BUY</t>
        </is>
      </c>
      <c r="E1415" t="inlineStr">
        <is>
          <t>No</t>
        </is>
      </c>
      <c r="F1415" s="2" t="n">
        <v>0.999</v>
      </c>
      <c r="G1415" s="6" t="n">
        <v>5</v>
      </c>
      <c r="H1415" s="6">
        <f>F1415*G1415</f>
        <v/>
      </c>
      <c r="I1415">
        <f>_xlfn.XLOOKUP(A1415,MktTitle,MktCat,"n/a")</f>
        <v/>
      </c>
      <c r="J1415" s="3">
        <f>_xlfn.XLOOKUP(A1415,MktTitle,MktTotVol,0)</f>
        <v/>
      </c>
      <c r="K1415">
        <f>IF(H1415&gt;WhaleThreshold,"WHALE","")</f>
        <v/>
      </c>
    </row>
    <row r="1416">
      <c r="A1416" t="inlineStr">
        <is>
          <t>Will Paraguay win the 2026 FIFA World Cup?</t>
        </is>
      </c>
      <c r="B1416" s="4" t="n">
        <v>46205</v>
      </c>
      <c r="C1416" s="5" t="n">
        <v>46205.95988425926</v>
      </c>
      <c r="D1416" t="inlineStr">
        <is>
          <t>BUY</t>
        </is>
      </c>
      <c r="E1416" t="inlineStr">
        <is>
          <t>No</t>
        </is>
      </c>
      <c r="F1416" s="2" t="n">
        <v>0.999</v>
      </c>
      <c r="G1416" s="6" t="n">
        <v>20</v>
      </c>
      <c r="H1416" s="6">
        <f>F1416*G1416</f>
        <v/>
      </c>
      <c r="I1416">
        <f>_xlfn.XLOOKUP(A1416,MktTitle,MktCat,"n/a")</f>
        <v/>
      </c>
      <c r="J1416" s="3">
        <f>_xlfn.XLOOKUP(A1416,MktTitle,MktTotVol,0)</f>
        <v/>
      </c>
      <c r="K1416">
        <f>IF(H1416&gt;WhaleThreshold,"WHALE","")</f>
        <v/>
      </c>
    </row>
    <row r="1417">
      <c r="A1417" t="inlineStr">
        <is>
          <t>Will Paraguay win the 2026 FIFA World Cup?</t>
        </is>
      </c>
      <c r="B1417" s="4" t="n">
        <v>46205</v>
      </c>
      <c r="C1417" s="5" t="n">
        <v>46205.95980324074</v>
      </c>
      <c r="D1417" t="inlineStr">
        <is>
          <t>BUY</t>
        </is>
      </c>
      <c r="E1417" t="inlineStr">
        <is>
          <t>No</t>
        </is>
      </c>
      <c r="F1417" s="2" t="n">
        <v>0.999</v>
      </c>
      <c r="G1417" s="6" t="n">
        <v>65</v>
      </c>
      <c r="H1417" s="6">
        <f>F1417*G1417</f>
        <v/>
      </c>
      <c r="I1417">
        <f>_xlfn.XLOOKUP(A1417,MktTitle,MktCat,"n/a")</f>
        <v/>
      </c>
      <c r="J1417" s="3">
        <f>_xlfn.XLOOKUP(A1417,MktTitle,MktTotVol,0)</f>
        <v/>
      </c>
      <c r="K1417">
        <f>IF(H1417&gt;WhaleThreshold,"WHALE","")</f>
        <v/>
      </c>
    </row>
    <row r="1418">
      <c r="A1418" t="inlineStr">
        <is>
          <t>Will Paraguay win the 2026 FIFA World Cup?</t>
        </is>
      </c>
      <c r="B1418" s="4" t="n">
        <v>46205</v>
      </c>
      <c r="C1418" s="5" t="n">
        <v>46205.95978009259</v>
      </c>
      <c r="D1418" t="inlineStr">
        <is>
          <t>BUY</t>
        </is>
      </c>
      <c r="E1418" t="inlineStr">
        <is>
          <t>No</t>
        </is>
      </c>
      <c r="F1418" s="2" t="n">
        <v>0.999</v>
      </c>
      <c r="G1418" s="6" t="n">
        <v>115</v>
      </c>
      <c r="H1418" s="6">
        <f>F1418*G1418</f>
        <v/>
      </c>
      <c r="I1418">
        <f>_xlfn.XLOOKUP(A1418,MktTitle,MktCat,"n/a")</f>
        <v/>
      </c>
      <c r="J1418" s="3">
        <f>_xlfn.XLOOKUP(A1418,MktTitle,MktTotVol,0)</f>
        <v/>
      </c>
      <c r="K1418">
        <f>IF(H1418&gt;WhaleThreshold,"WHALE","")</f>
        <v/>
      </c>
    </row>
    <row r="1419">
      <c r="A1419" t="inlineStr">
        <is>
          <t>Will Paraguay win the 2026 FIFA World Cup?</t>
        </is>
      </c>
      <c r="B1419" s="4" t="n">
        <v>46205</v>
      </c>
      <c r="C1419" s="5" t="n">
        <v>46205.95976851852</v>
      </c>
      <c r="D1419" t="inlineStr">
        <is>
          <t>BUY</t>
        </is>
      </c>
      <c r="E1419" t="inlineStr">
        <is>
          <t>No</t>
        </is>
      </c>
      <c r="F1419" s="2" t="n">
        <v>0.999</v>
      </c>
      <c r="G1419" s="6" t="n">
        <v>115</v>
      </c>
      <c r="H1419" s="6">
        <f>F1419*G1419</f>
        <v/>
      </c>
      <c r="I1419">
        <f>_xlfn.XLOOKUP(A1419,MktTitle,MktCat,"n/a")</f>
        <v/>
      </c>
      <c r="J1419" s="3">
        <f>_xlfn.XLOOKUP(A1419,MktTitle,MktTotVol,0)</f>
        <v/>
      </c>
      <c r="K1419">
        <f>IF(H1419&gt;WhaleThreshold,"WHALE","")</f>
        <v/>
      </c>
    </row>
    <row r="1420">
      <c r="A1420" t="inlineStr">
        <is>
          <t>Will Paraguay win the 2026 FIFA World Cup?</t>
        </is>
      </c>
      <c r="B1420" s="4" t="n">
        <v>46205</v>
      </c>
      <c r="C1420" s="5" t="n">
        <v>46205.95976851852</v>
      </c>
      <c r="D1420" t="inlineStr">
        <is>
          <t>BUY</t>
        </is>
      </c>
      <c r="E1420" t="inlineStr">
        <is>
          <t>No</t>
        </is>
      </c>
      <c r="F1420" s="2" t="n">
        <v>0.999</v>
      </c>
      <c r="G1420" s="6" t="n">
        <v>60</v>
      </c>
      <c r="H1420" s="6">
        <f>F1420*G1420</f>
        <v/>
      </c>
      <c r="I1420">
        <f>_xlfn.XLOOKUP(A1420,MktTitle,MktCat,"n/a")</f>
        <v/>
      </c>
      <c r="J1420" s="3">
        <f>_xlfn.XLOOKUP(A1420,MktTitle,MktTotVol,0)</f>
        <v/>
      </c>
      <c r="K1420">
        <f>IF(H1420&gt;WhaleThreshold,"WHALE","")</f>
        <v/>
      </c>
    </row>
    <row r="1421">
      <c r="A1421" t="inlineStr">
        <is>
          <t>Will Paraguay win the 2026 FIFA World Cup?</t>
        </is>
      </c>
      <c r="B1421" s="4" t="n">
        <v>46205</v>
      </c>
      <c r="C1421" s="5" t="n">
        <v>46205.95974537037</v>
      </c>
      <c r="D1421" t="inlineStr">
        <is>
          <t>BUY</t>
        </is>
      </c>
      <c r="E1421" t="inlineStr">
        <is>
          <t>No</t>
        </is>
      </c>
      <c r="F1421" s="2" t="n">
        <v>0.999</v>
      </c>
      <c r="G1421" s="6" t="n">
        <v>55</v>
      </c>
      <c r="H1421" s="6">
        <f>F1421*G1421</f>
        <v/>
      </c>
      <c r="I1421">
        <f>_xlfn.XLOOKUP(A1421,MktTitle,MktCat,"n/a")</f>
        <v/>
      </c>
      <c r="J1421" s="3">
        <f>_xlfn.XLOOKUP(A1421,MktTitle,MktTotVol,0)</f>
        <v/>
      </c>
      <c r="K1421">
        <f>IF(H1421&gt;WhaleThreshold,"WHALE","")</f>
        <v/>
      </c>
    </row>
    <row r="1422">
      <c r="A1422" t="inlineStr">
        <is>
          <t>Will Paraguay win the 2026 FIFA World Cup?</t>
        </is>
      </c>
      <c r="B1422" s="4" t="n">
        <v>46205</v>
      </c>
      <c r="C1422" s="5" t="n">
        <v>46205.9597337963</v>
      </c>
      <c r="D1422" t="inlineStr">
        <is>
          <t>BUY</t>
        </is>
      </c>
      <c r="E1422" t="inlineStr">
        <is>
          <t>No</t>
        </is>
      </c>
      <c r="F1422" s="2" t="n">
        <v>0.999</v>
      </c>
      <c r="G1422" s="6" t="n">
        <v>23.4</v>
      </c>
      <c r="H1422" s="6">
        <f>F1422*G1422</f>
        <v/>
      </c>
      <c r="I1422">
        <f>_xlfn.XLOOKUP(A1422,MktTitle,MktCat,"n/a")</f>
        <v/>
      </c>
      <c r="J1422" s="3">
        <f>_xlfn.XLOOKUP(A1422,MktTitle,MktTotVol,0)</f>
        <v/>
      </c>
      <c r="K1422">
        <f>IF(H1422&gt;WhaleThreshold,"WHALE","")</f>
        <v/>
      </c>
    </row>
    <row r="1423">
      <c r="A1423" t="inlineStr">
        <is>
          <t>Will Paraguay win the 2026 FIFA World Cup?</t>
        </is>
      </c>
      <c r="B1423" s="4" t="n">
        <v>46205</v>
      </c>
      <c r="C1423" s="5" t="n">
        <v>46205.9597337963</v>
      </c>
      <c r="D1423" t="inlineStr">
        <is>
          <t>BUY</t>
        </is>
      </c>
      <c r="E1423" t="inlineStr">
        <is>
          <t>No</t>
        </is>
      </c>
      <c r="F1423" s="2" t="n">
        <v>0.999</v>
      </c>
      <c r="G1423" s="6" t="n">
        <v>115</v>
      </c>
      <c r="H1423" s="6">
        <f>F1423*G1423</f>
        <v/>
      </c>
      <c r="I1423">
        <f>_xlfn.XLOOKUP(A1423,MktTitle,MktCat,"n/a")</f>
        <v/>
      </c>
      <c r="J1423" s="3">
        <f>_xlfn.XLOOKUP(A1423,MktTitle,MktTotVol,0)</f>
        <v/>
      </c>
      <c r="K1423">
        <f>IF(H1423&gt;WhaleThreshold,"WHALE","")</f>
        <v/>
      </c>
    </row>
    <row r="1424">
      <c r="A1424" t="inlineStr">
        <is>
          <t>Will Paraguay win the 2026 FIFA World Cup?</t>
        </is>
      </c>
      <c r="B1424" s="4" t="n">
        <v>46205</v>
      </c>
      <c r="C1424" s="5" t="n">
        <v>46205.9597337963</v>
      </c>
      <c r="D1424" t="inlineStr">
        <is>
          <t>BUY</t>
        </is>
      </c>
      <c r="E1424" t="inlineStr">
        <is>
          <t>No</t>
        </is>
      </c>
      <c r="F1424" s="2" t="n">
        <v>0.999</v>
      </c>
      <c r="G1424" s="6" t="n">
        <v>115</v>
      </c>
      <c r="H1424" s="6">
        <f>F1424*G1424</f>
        <v/>
      </c>
      <c r="I1424">
        <f>_xlfn.XLOOKUP(A1424,MktTitle,MktCat,"n/a")</f>
        <v/>
      </c>
      <c r="J1424" s="3">
        <f>_xlfn.XLOOKUP(A1424,MktTitle,MktTotVol,0)</f>
        <v/>
      </c>
      <c r="K1424">
        <f>IF(H1424&gt;WhaleThreshold,"WHALE","")</f>
        <v/>
      </c>
    </row>
    <row r="1425">
      <c r="A1425" t="inlineStr">
        <is>
          <t>Will Paraguay win the 2026 FIFA World Cup?</t>
        </is>
      </c>
      <c r="B1425" s="4" t="n">
        <v>46205</v>
      </c>
      <c r="C1425" s="5" t="n">
        <v>46205.95971064815</v>
      </c>
      <c r="D1425" t="inlineStr">
        <is>
          <t>BUY</t>
        </is>
      </c>
      <c r="E1425" t="inlineStr">
        <is>
          <t>No</t>
        </is>
      </c>
      <c r="F1425" s="2" t="n">
        <v>0.999</v>
      </c>
      <c r="G1425" s="6" t="n">
        <v>46.8</v>
      </c>
      <c r="H1425" s="6">
        <f>F1425*G1425</f>
        <v/>
      </c>
      <c r="I1425">
        <f>_xlfn.XLOOKUP(A1425,MktTitle,MktCat,"n/a")</f>
        <v/>
      </c>
      <c r="J1425" s="3">
        <f>_xlfn.XLOOKUP(A1425,MktTitle,MktTotVol,0)</f>
        <v/>
      </c>
      <c r="K1425">
        <f>IF(H1425&gt;WhaleThreshold,"WHALE","")</f>
        <v/>
      </c>
    </row>
    <row r="1426">
      <c r="A1426" t="inlineStr">
        <is>
          <t>Will Paraguay win the 2026 FIFA World Cup?</t>
        </is>
      </c>
      <c r="B1426" s="4" t="n">
        <v>46205</v>
      </c>
      <c r="C1426" s="5" t="n">
        <v>46205.95960648148</v>
      </c>
      <c r="D1426" t="inlineStr">
        <is>
          <t>SELL</t>
        </is>
      </c>
      <c r="E1426" t="inlineStr">
        <is>
          <t>Yes</t>
        </is>
      </c>
      <c r="F1426" s="2" t="n">
        <v>0.001</v>
      </c>
      <c r="G1426" s="6" t="n">
        <v>0.01</v>
      </c>
      <c r="H1426" s="6">
        <f>F1426*G1426</f>
        <v/>
      </c>
      <c r="I1426">
        <f>_xlfn.XLOOKUP(A1426,MktTitle,MktCat,"n/a")</f>
        <v/>
      </c>
      <c r="J1426" s="3">
        <f>_xlfn.XLOOKUP(A1426,MktTitle,MktTotVol,0)</f>
        <v/>
      </c>
      <c r="K1426">
        <f>IF(H1426&gt;WhaleThreshold,"WHALE","")</f>
        <v/>
      </c>
    </row>
    <row r="1427">
      <c r="A1427" t="inlineStr">
        <is>
          <t>Will Paraguay win the 2026 FIFA World Cup?</t>
        </is>
      </c>
      <c r="B1427" s="4" t="n">
        <v>46205</v>
      </c>
      <c r="C1427" s="5" t="n">
        <v>46205.95960648148</v>
      </c>
      <c r="D1427" t="inlineStr">
        <is>
          <t>SELL</t>
        </is>
      </c>
      <c r="E1427" t="inlineStr">
        <is>
          <t>No</t>
        </is>
      </c>
      <c r="F1427" s="2" t="n">
        <v>0.998</v>
      </c>
      <c r="G1427" s="6" t="n">
        <v>2.35</v>
      </c>
      <c r="H1427" s="6">
        <f>F1427*G1427</f>
        <v/>
      </c>
      <c r="I1427">
        <f>_xlfn.XLOOKUP(A1427,MktTitle,MktCat,"n/a")</f>
        <v/>
      </c>
      <c r="J1427" s="3">
        <f>_xlfn.XLOOKUP(A1427,MktTitle,MktTotVol,0)</f>
        <v/>
      </c>
      <c r="K1427">
        <f>IF(H1427&gt;WhaleThreshold,"WHALE","")</f>
        <v/>
      </c>
    </row>
    <row r="1428">
      <c r="A1428" t="inlineStr">
        <is>
          <t>Will Paraguay win the 2026 FIFA World Cup?</t>
        </is>
      </c>
      <c r="B1428" s="4" t="n">
        <v>46205</v>
      </c>
      <c r="C1428" s="5" t="n">
        <v>46205.95894675926</v>
      </c>
      <c r="D1428" t="inlineStr">
        <is>
          <t>BUY</t>
        </is>
      </c>
      <c r="E1428" t="inlineStr">
        <is>
          <t>No</t>
        </is>
      </c>
      <c r="F1428" s="2" t="n">
        <v>0.999</v>
      </c>
      <c r="G1428" s="6" t="n">
        <v>2.94</v>
      </c>
      <c r="H1428" s="6">
        <f>F1428*G1428</f>
        <v/>
      </c>
      <c r="I1428">
        <f>_xlfn.XLOOKUP(A1428,MktTitle,MktCat,"n/a")</f>
        <v/>
      </c>
      <c r="J1428" s="3">
        <f>_xlfn.XLOOKUP(A1428,MktTitle,MktTotVol,0)</f>
        <v/>
      </c>
      <c r="K1428">
        <f>IF(H1428&gt;WhaleThreshold,"WHALE","")</f>
        <v/>
      </c>
    </row>
    <row r="1429">
      <c r="A1429" t="inlineStr">
        <is>
          <t>Will Paraguay win the 2026 FIFA World Cup?</t>
        </is>
      </c>
      <c r="B1429" s="4" t="n">
        <v>46205</v>
      </c>
      <c r="C1429" s="5" t="n">
        <v>46205.95893518518</v>
      </c>
      <c r="D1429" t="inlineStr">
        <is>
          <t>BUY</t>
        </is>
      </c>
      <c r="E1429" t="inlineStr">
        <is>
          <t>No</t>
        </is>
      </c>
      <c r="F1429" s="2" t="n">
        <v>0.999</v>
      </c>
      <c r="G1429" s="6" t="n">
        <v>5</v>
      </c>
      <c r="H1429" s="6">
        <f>F1429*G1429</f>
        <v/>
      </c>
      <c r="I1429">
        <f>_xlfn.XLOOKUP(A1429,MktTitle,MktCat,"n/a")</f>
        <v/>
      </c>
      <c r="J1429" s="3">
        <f>_xlfn.XLOOKUP(A1429,MktTitle,MktTotVol,0)</f>
        <v/>
      </c>
      <c r="K1429">
        <f>IF(H1429&gt;WhaleThreshold,"WHALE","")</f>
        <v/>
      </c>
    </row>
    <row r="1430">
      <c r="A1430" t="inlineStr">
        <is>
          <t>Will Paraguay win the 2026 FIFA World Cup?</t>
        </is>
      </c>
      <c r="B1430" s="4" t="n">
        <v>46205</v>
      </c>
      <c r="C1430" s="5" t="n">
        <v>46205.95890046296</v>
      </c>
      <c r="D1430" t="inlineStr">
        <is>
          <t>BUY</t>
        </is>
      </c>
      <c r="E1430" t="inlineStr">
        <is>
          <t>No</t>
        </is>
      </c>
      <c r="F1430" s="2" t="n">
        <v>0.999</v>
      </c>
      <c r="G1430" s="6" t="n">
        <v>5</v>
      </c>
      <c r="H1430" s="6">
        <f>F1430*G1430</f>
        <v/>
      </c>
      <c r="I1430">
        <f>_xlfn.XLOOKUP(A1430,MktTitle,MktCat,"n/a")</f>
        <v/>
      </c>
      <c r="J1430" s="3">
        <f>_xlfn.XLOOKUP(A1430,MktTitle,MktTotVol,0)</f>
        <v/>
      </c>
      <c r="K1430">
        <f>IF(H1430&gt;WhaleThreshold,"WHALE","")</f>
        <v/>
      </c>
    </row>
    <row r="1431">
      <c r="A1431" t="inlineStr">
        <is>
          <t>Will Paraguay win the 2026 FIFA World Cup?</t>
        </is>
      </c>
      <c r="B1431" s="4" t="n">
        <v>46205</v>
      </c>
      <c r="C1431" s="5" t="n">
        <v>46205.95886574074</v>
      </c>
      <c r="D1431" t="inlineStr">
        <is>
          <t>BUY</t>
        </is>
      </c>
      <c r="E1431" t="inlineStr">
        <is>
          <t>No</t>
        </is>
      </c>
      <c r="F1431" s="2" t="n">
        <v>0.999</v>
      </c>
      <c r="G1431" s="6" t="n">
        <v>10</v>
      </c>
      <c r="H1431" s="6">
        <f>F1431*G1431</f>
        <v/>
      </c>
      <c r="I1431">
        <f>_xlfn.XLOOKUP(A1431,MktTitle,MktCat,"n/a")</f>
        <v/>
      </c>
      <c r="J1431" s="3">
        <f>_xlfn.XLOOKUP(A1431,MktTitle,MktTotVol,0)</f>
        <v/>
      </c>
      <c r="K1431">
        <f>IF(H1431&gt;WhaleThreshold,"WHALE","")</f>
        <v/>
      </c>
    </row>
    <row r="1432">
      <c r="A1432" t="inlineStr">
        <is>
          <t>Will Paraguay win the 2026 FIFA World Cup?</t>
        </is>
      </c>
      <c r="B1432" s="4" t="n">
        <v>46205</v>
      </c>
      <c r="C1432" s="5" t="n">
        <v>46205.95884259259</v>
      </c>
      <c r="D1432" t="inlineStr">
        <is>
          <t>BUY</t>
        </is>
      </c>
      <c r="E1432" t="inlineStr">
        <is>
          <t>No</t>
        </is>
      </c>
      <c r="F1432" s="2" t="n">
        <v>0.999</v>
      </c>
      <c r="G1432" s="6" t="n">
        <v>10</v>
      </c>
      <c r="H1432" s="6">
        <f>F1432*G1432</f>
        <v/>
      </c>
      <c r="I1432">
        <f>_xlfn.XLOOKUP(A1432,MktTitle,MktCat,"n/a")</f>
        <v/>
      </c>
      <c r="J1432" s="3">
        <f>_xlfn.XLOOKUP(A1432,MktTitle,MktTotVol,0)</f>
        <v/>
      </c>
      <c r="K1432">
        <f>IF(H1432&gt;WhaleThreshold,"WHALE","")</f>
        <v/>
      </c>
    </row>
    <row r="1433">
      <c r="A1433" t="inlineStr">
        <is>
          <t>Will Paraguay win the 2026 FIFA World Cup?</t>
        </is>
      </c>
      <c r="B1433" s="4" t="n">
        <v>46205</v>
      </c>
      <c r="C1433" s="5" t="n">
        <v>46205.95884259259</v>
      </c>
      <c r="D1433" t="inlineStr">
        <is>
          <t>BUY</t>
        </is>
      </c>
      <c r="E1433" t="inlineStr">
        <is>
          <t>No</t>
        </is>
      </c>
      <c r="F1433" s="2" t="n">
        <v>0.999</v>
      </c>
      <c r="G1433" s="6" t="n">
        <v>10</v>
      </c>
      <c r="H1433" s="6">
        <f>F1433*G1433</f>
        <v/>
      </c>
      <c r="I1433">
        <f>_xlfn.XLOOKUP(A1433,MktTitle,MktCat,"n/a")</f>
        <v/>
      </c>
      <c r="J1433" s="3">
        <f>_xlfn.XLOOKUP(A1433,MktTitle,MktTotVol,0)</f>
        <v/>
      </c>
      <c r="K1433">
        <f>IF(H1433&gt;WhaleThreshold,"WHALE","")</f>
        <v/>
      </c>
    </row>
    <row r="1434">
      <c r="A1434" t="inlineStr">
        <is>
          <t>Will Paraguay win the 2026 FIFA World Cup?</t>
        </is>
      </c>
      <c r="B1434" s="4" t="n">
        <v>46205</v>
      </c>
      <c r="C1434" s="5" t="n">
        <v>46205.95883101852</v>
      </c>
      <c r="D1434" t="inlineStr">
        <is>
          <t>BUY</t>
        </is>
      </c>
      <c r="E1434" t="inlineStr">
        <is>
          <t>No</t>
        </is>
      </c>
      <c r="F1434" s="2" t="n">
        <v>0.999</v>
      </c>
      <c r="G1434" s="6" t="n">
        <v>115</v>
      </c>
      <c r="H1434" s="6">
        <f>F1434*G1434</f>
        <v/>
      </c>
      <c r="I1434">
        <f>_xlfn.XLOOKUP(A1434,MktTitle,MktCat,"n/a")</f>
        <v/>
      </c>
      <c r="J1434" s="3">
        <f>_xlfn.XLOOKUP(A1434,MktTitle,MktTotVol,0)</f>
        <v/>
      </c>
      <c r="K1434">
        <f>IF(H1434&gt;WhaleThreshold,"WHALE","")</f>
        <v/>
      </c>
    </row>
    <row r="1435">
      <c r="A1435" t="inlineStr">
        <is>
          <t>Will Paraguay win the 2026 FIFA World Cup?</t>
        </is>
      </c>
      <c r="B1435" s="4" t="n">
        <v>46205</v>
      </c>
      <c r="C1435" s="5" t="n">
        <v>46205.95880787037</v>
      </c>
      <c r="D1435" t="inlineStr">
        <is>
          <t>BUY</t>
        </is>
      </c>
      <c r="E1435" t="inlineStr">
        <is>
          <t>No</t>
        </is>
      </c>
      <c r="F1435" s="2" t="n">
        <v>0.999</v>
      </c>
      <c r="G1435" s="6" t="n">
        <v>20</v>
      </c>
      <c r="H1435" s="6">
        <f>F1435*G1435</f>
        <v/>
      </c>
      <c r="I1435">
        <f>_xlfn.XLOOKUP(A1435,MktTitle,MktCat,"n/a")</f>
        <v/>
      </c>
      <c r="J1435" s="3">
        <f>_xlfn.XLOOKUP(A1435,MktTitle,MktTotVol,0)</f>
        <v/>
      </c>
      <c r="K1435">
        <f>IF(H1435&gt;WhaleThreshold,"WHALE","")</f>
        <v/>
      </c>
    </row>
    <row r="1436">
      <c r="A1436" t="inlineStr">
        <is>
          <t>Will Paraguay win the 2026 FIFA World Cup?</t>
        </is>
      </c>
      <c r="B1436" s="4" t="n">
        <v>46205</v>
      </c>
      <c r="C1436" s="5" t="n">
        <v>46205.95880787037</v>
      </c>
      <c r="D1436" t="inlineStr">
        <is>
          <t>BUY</t>
        </is>
      </c>
      <c r="E1436" t="inlineStr">
        <is>
          <t>No</t>
        </is>
      </c>
      <c r="F1436" s="2" t="n">
        <v>0.999</v>
      </c>
      <c r="G1436" s="6" t="n">
        <v>27.2</v>
      </c>
      <c r="H1436" s="6">
        <f>F1436*G1436</f>
        <v/>
      </c>
      <c r="I1436">
        <f>_xlfn.XLOOKUP(A1436,MktTitle,MktCat,"n/a")</f>
        <v/>
      </c>
      <c r="J1436" s="3">
        <f>_xlfn.XLOOKUP(A1436,MktTitle,MktTotVol,0)</f>
        <v/>
      </c>
      <c r="K1436">
        <f>IF(H1436&gt;WhaleThreshold,"WHALE","")</f>
        <v/>
      </c>
    </row>
    <row r="1437">
      <c r="A1437" t="inlineStr">
        <is>
          <t>Will Paraguay win the 2026 FIFA World Cup?</t>
        </is>
      </c>
      <c r="B1437" s="4" t="n">
        <v>46205</v>
      </c>
      <c r="C1437" s="5" t="n">
        <v>46205.95880787037</v>
      </c>
      <c r="D1437" t="inlineStr">
        <is>
          <t>BUY</t>
        </is>
      </c>
      <c r="E1437" t="inlineStr">
        <is>
          <t>No</t>
        </is>
      </c>
      <c r="F1437" s="2" t="n">
        <v>0.999</v>
      </c>
      <c r="G1437" s="6" t="n">
        <v>70</v>
      </c>
      <c r="H1437" s="6">
        <f>F1437*G1437</f>
        <v/>
      </c>
      <c r="I1437">
        <f>_xlfn.XLOOKUP(A1437,MktTitle,MktCat,"n/a")</f>
        <v/>
      </c>
      <c r="J1437" s="3">
        <f>_xlfn.XLOOKUP(A1437,MktTitle,MktTotVol,0)</f>
        <v/>
      </c>
      <c r="K1437">
        <f>IF(H1437&gt;WhaleThreshold,"WHALE","")</f>
        <v/>
      </c>
    </row>
    <row r="1438">
      <c r="A1438" t="inlineStr">
        <is>
          <t>Will Paraguay win the 2026 FIFA World Cup?</t>
        </is>
      </c>
      <c r="B1438" s="4" t="n">
        <v>46205</v>
      </c>
      <c r="C1438" s="5" t="n">
        <v>46205.9587962963</v>
      </c>
      <c r="D1438" t="inlineStr">
        <is>
          <t>BUY</t>
        </is>
      </c>
      <c r="E1438" t="inlineStr">
        <is>
          <t>No</t>
        </is>
      </c>
      <c r="F1438" s="2" t="n">
        <v>0.999</v>
      </c>
      <c r="G1438" s="6" t="n">
        <v>115</v>
      </c>
      <c r="H1438" s="6">
        <f>F1438*G1438</f>
        <v/>
      </c>
      <c r="I1438">
        <f>_xlfn.XLOOKUP(A1438,MktTitle,MktCat,"n/a")</f>
        <v/>
      </c>
      <c r="J1438" s="3">
        <f>_xlfn.XLOOKUP(A1438,MktTitle,MktTotVol,0)</f>
        <v/>
      </c>
      <c r="K1438">
        <f>IF(H1438&gt;WhaleThreshold,"WHALE","")</f>
        <v/>
      </c>
    </row>
    <row r="1439">
      <c r="A1439" t="inlineStr">
        <is>
          <t>Will Paraguay win the 2026 FIFA World Cup?</t>
        </is>
      </c>
      <c r="B1439" s="4" t="n">
        <v>46205</v>
      </c>
      <c r="C1439" s="5" t="n">
        <v>46205.9587962963</v>
      </c>
      <c r="D1439" t="inlineStr">
        <is>
          <t>BUY</t>
        </is>
      </c>
      <c r="E1439" t="inlineStr">
        <is>
          <t>No</t>
        </is>
      </c>
      <c r="F1439" s="2" t="n">
        <v>0.999</v>
      </c>
      <c r="G1439" s="6" t="n">
        <v>115</v>
      </c>
      <c r="H1439" s="6">
        <f>F1439*G1439</f>
        <v/>
      </c>
      <c r="I1439">
        <f>_xlfn.XLOOKUP(A1439,MktTitle,MktCat,"n/a")</f>
        <v/>
      </c>
      <c r="J1439" s="3">
        <f>_xlfn.XLOOKUP(A1439,MktTitle,MktTotVol,0)</f>
        <v/>
      </c>
      <c r="K1439">
        <f>IF(H1439&gt;WhaleThreshold,"WHALE","")</f>
        <v/>
      </c>
    </row>
    <row r="1440">
      <c r="A1440" t="inlineStr">
        <is>
          <t>Will Paraguay win the 2026 FIFA World Cup?</t>
        </is>
      </c>
      <c r="B1440" s="4" t="n">
        <v>46205</v>
      </c>
      <c r="C1440" s="5" t="n">
        <v>46205.9587962963</v>
      </c>
      <c r="D1440" t="inlineStr">
        <is>
          <t>BUY</t>
        </is>
      </c>
      <c r="E1440" t="inlineStr">
        <is>
          <t>No</t>
        </is>
      </c>
      <c r="F1440" s="2" t="n">
        <v>0.999</v>
      </c>
      <c r="G1440" s="6" t="n">
        <v>47</v>
      </c>
      <c r="H1440" s="6">
        <f>F1440*G1440</f>
        <v/>
      </c>
      <c r="I1440">
        <f>_xlfn.XLOOKUP(A1440,MktTitle,MktCat,"n/a")</f>
        <v/>
      </c>
      <c r="J1440" s="3">
        <f>_xlfn.XLOOKUP(A1440,MktTitle,MktTotVol,0)</f>
        <v/>
      </c>
      <c r="K1440">
        <f>IF(H1440&gt;WhaleThreshold,"WHALE","")</f>
        <v/>
      </c>
    </row>
    <row r="1441">
      <c r="A1441" t="inlineStr">
        <is>
          <t>Will Paraguay win the 2026 FIFA World Cup?</t>
        </is>
      </c>
      <c r="B1441" s="4" t="n">
        <v>46205</v>
      </c>
      <c r="C1441" s="5" t="n">
        <v>46205.95849537037</v>
      </c>
      <c r="D1441" t="inlineStr">
        <is>
          <t>BUY</t>
        </is>
      </c>
      <c r="E1441" t="inlineStr">
        <is>
          <t>No</t>
        </is>
      </c>
      <c r="F1441" s="2" t="n">
        <v>0.999</v>
      </c>
      <c r="G1441" s="6" t="n">
        <v>10</v>
      </c>
      <c r="H1441" s="6">
        <f>F1441*G1441</f>
        <v/>
      </c>
      <c r="I1441">
        <f>_xlfn.XLOOKUP(A1441,MktTitle,MktCat,"n/a")</f>
        <v/>
      </c>
      <c r="J1441" s="3">
        <f>_xlfn.XLOOKUP(A1441,MktTitle,MktTotVol,0)</f>
        <v/>
      </c>
      <c r="K1441">
        <f>IF(H1441&gt;WhaleThreshold,"WHALE","")</f>
        <v/>
      </c>
    </row>
    <row r="1442">
      <c r="A1442" t="inlineStr">
        <is>
          <t>Will Paraguay win the 2026 FIFA World Cup?</t>
        </is>
      </c>
      <c r="B1442" s="4" t="n">
        <v>46205</v>
      </c>
      <c r="C1442" s="5" t="n">
        <v>46205.95849537037</v>
      </c>
      <c r="D1442" t="inlineStr">
        <is>
          <t>BUY</t>
        </is>
      </c>
      <c r="E1442" t="inlineStr">
        <is>
          <t>No</t>
        </is>
      </c>
      <c r="F1442" s="2" t="n">
        <v>0.999</v>
      </c>
      <c r="G1442" s="6" t="n">
        <v>10</v>
      </c>
      <c r="H1442" s="6">
        <f>F1442*G1442</f>
        <v/>
      </c>
      <c r="I1442">
        <f>_xlfn.XLOOKUP(A1442,MktTitle,MktCat,"n/a")</f>
        <v/>
      </c>
      <c r="J1442" s="3">
        <f>_xlfn.XLOOKUP(A1442,MktTitle,MktTotVol,0)</f>
        <v/>
      </c>
      <c r="K1442">
        <f>IF(H1442&gt;WhaleThreshold,"WHALE","")</f>
        <v/>
      </c>
    </row>
    <row r="1443">
      <c r="A1443" t="inlineStr">
        <is>
          <t>Will Paraguay win the 2026 FIFA World Cup?</t>
        </is>
      </c>
      <c r="B1443" s="4" t="n">
        <v>46205</v>
      </c>
      <c r="C1443" s="5" t="n">
        <v>46205.95837962963</v>
      </c>
      <c r="D1443" t="inlineStr">
        <is>
          <t>SELL</t>
        </is>
      </c>
      <c r="E1443" t="inlineStr">
        <is>
          <t>No</t>
        </is>
      </c>
      <c r="F1443" s="2" t="n">
        <v>0.998</v>
      </c>
      <c r="G1443" s="6" t="n">
        <v>0.05</v>
      </c>
      <c r="H1443" s="6">
        <f>F1443*G1443</f>
        <v/>
      </c>
      <c r="I1443">
        <f>_xlfn.XLOOKUP(A1443,MktTitle,MktCat,"n/a")</f>
        <v/>
      </c>
      <c r="J1443" s="3">
        <f>_xlfn.XLOOKUP(A1443,MktTitle,MktTotVol,0)</f>
        <v/>
      </c>
      <c r="K1443">
        <f>IF(H1443&gt;WhaleThreshold,"WHALE","")</f>
        <v/>
      </c>
    </row>
    <row r="1444">
      <c r="A1444" t="inlineStr">
        <is>
          <t>Will Paraguay win the 2026 FIFA World Cup?</t>
        </is>
      </c>
      <c r="B1444" s="4" t="n">
        <v>46205</v>
      </c>
      <c r="C1444" s="5" t="n">
        <v>46205.95837962963</v>
      </c>
      <c r="D1444" t="inlineStr">
        <is>
          <t>BUY</t>
        </is>
      </c>
      <c r="E1444" t="inlineStr">
        <is>
          <t>No</t>
        </is>
      </c>
      <c r="F1444" s="2" t="n">
        <v>0.999</v>
      </c>
      <c r="G1444" s="6" t="n">
        <v>15</v>
      </c>
      <c r="H1444" s="6">
        <f>F1444*G1444</f>
        <v/>
      </c>
      <c r="I1444">
        <f>_xlfn.XLOOKUP(A1444,MktTitle,MktCat,"n/a")</f>
        <v/>
      </c>
      <c r="J1444" s="3">
        <f>_xlfn.XLOOKUP(A1444,MktTitle,MktTotVol,0)</f>
        <v/>
      </c>
      <c r="K1444">
        <f>IF(H1444&gt;WhaleThreshold,"WHALE","")</f>
        <v/>
      </c>
    </row>
    <row r="1445">
      <c r="A1445" t="inlineStr">
        <is>
          <t>Will Paraguay win the 2026 FIFA World Cup?</t>
        </is>
      </c>
      <c r="B1445" s="4" t="n">
        <v>46205</v>
      </c>
      <c r="C1445" s="5" t="n">
        <v>46205.95835648148</v>
      </c>
      <c r="D1445" t="inlineStr">
        <is>
          <t>BUY</t>
        </is>
      </c>
      <c r="E1445" t="inlineStr">
        <is>
          <t>No</t>
        </is>
      </c>
      <c r="F1445" s="2" t="n">
        <v>0.999</v>
      </c>
      <c r="G1445" s="6" t="n">
        <v>50</v>
      </c>
      <c r="H1445" s="6">
        <f>F1445*G1445</f>
        <v/>
      </c>
      <c r="I1445">
        <f>_xlfn.XLOOKUP(A1445,MktTitle,MktCat,"n/a")</f>
        <v/>
      </c>
      <c r="J1445" s="3">
        <f>_xlfn.XLOOKUP(A1445,MktTitle,MktTotVol,0)</f>
        <v/>
      </c>
      <c r="K1445">
        <f>IF(H1445&gt;WhaleThreshold,"WHALE","")</f>
        <v/>
      </c>
    </row>
    <row r="1446">
      <c r="A1446" t="inlineStr">
        <is>
          <t>Will Paraguay win the 2026 FIFA World Cup?</t>
        </is>
      </c>
      <c r="B1446" s="4" t="n">
        <v>46205</v>
      </c>
      <c r="C1446" s="5" t="n">
        <v>46205.95834490741</v>
      </c>
      <c r="D1446" t="inlineStr">
        <is>
          <t>BUY</t>
        </is>
      </c>
      <c r="E1446" t="inlineStr">
        <is>
          <t>No</t>
        </is>
      </c>
      <c r="F1446" s="2" t="n">
        <v>0.999</v>
      </c>
      <c r="G1446" s="6" t="n">
        <v>65</v>
      </c>
      <c r="H1446" s="6">
        <f>F1446*G1446</f>
        <v/>
      </c>
      <c r="I1446">
        <f>_xlfn.XLOOKUP(A1446,MktTitle,MktCat,"n/a")</f>
        <v/>
      </c>
      <c r="J1446" s="3">
        <f>_xlfn.XLOOKUP(A1446,MktTitle,MktTotVol,0)</f>
        <v/>
      </c>
      <c r="K1446">
        <f>IF(H1446&gt;WhaleThreshold,"WHALE","")</f>
        <v/>
      </c>
    </row>
    <row r="1447">
      <c r="A1447" t="inlineStr">
        <is>
          <t>Will Paraguay win the 2026 FIFA World Cup?</t>
        </is>
      </c>
      <c r="B1447" s="4" t="n">
        <v>46205</v>
      </c>
      <c r="C1447" s="5" t="n">
        <v>46205.95832175926</v>
      </c>
      <c r="D1447" t="inlineStr">
        <is>
          <t>BUY</t>
        </is>
      </c>
      <c r="E1447" t="inlineStr">
        <is>
          <t>No</t>
        </is>
      </c>
      <c r="F1447" s="2" t="n">
        <v>0.999</v>
      </c>
      <c r="G1447" s="6" t="n">
        <v>115</v>
      </c>
      <c r="H1447" s="6">
        <f>F1447*G1447</f>
        <v/>
      </c>
      <c r="I1447">
        <f>_xlfn.XLOOKUP(A1447,MktTitle,MktCat,"n/a")</f>
        <v/>
      </c>
      <c r="J1447" s="3">
        <f>_xlfn.XLOOKUP(A1447,MktTitle,MktTotVol,0)</f>
        <v/>
      </c>
      <c r="K1447">
        <f>IF(H1447&gt;WhaleThreshold,"WHALE","")</f>
        <v/>
      </c>
    </row>
    <row r="1448">
      <c r="A1448" t="inlineStr">
        <is>
          <t>Will Paraguay win the 2026 FIFA World Cup?</t>
        </is>
      </c>
      <c r="B1448" s="4" t="n">
        <v>46205</v>
      </c>
      <c r="C1448" s="5" t="n">
        <v>46205.95832175926</v>
      </c>
      <c r="D1448" t="inlineStr">
        <is>
          <t>BUY</t>
        </is>
      </c>
      <c r="E1448" t="inlineStr">
        <is>
          <t>No</t>
        </is>
      </c>
      <c r="F1448" s="2" t="n">
        <v>0.999</v>
      </c>
      <c r="G1448" s="6" t="n">
        <v>73.59999999999999</v>
      </c>
      <c r="H1448" s="6">
        <f>F1448*G1448</f>
        <v/>
      </c>
      <c r="I1448">
        <f>_xlfn.XLOOKUP(A1448,MktTitle,MktCat,"n/a")</f>
        <v/>
      </c>
      <c r="J1448" s="3">
        <f>_xlfn.XLOOKUP(A1448,MktTitle,MktTotVol,0)</f>
        <v/>
      </c>
      <c r="K1448">
        <f>IF(H1448&gt;WhaleThreshold,"WHALE","")</f>
        <v/>
      </c>
    </row>
    <row r="1449">
      <c r="A1449" t="inlineStr">
        <is>
          <t>Will Paraguay win the 2026 FIFA World Cup?</t>
        </is>
      </c>
      <c r="B1449" s="4" t="n">
        <v>46205</v>
      </c>
      <c r="C1449" s="5" t="n">
        <v>46205.95658564815</v>
      </c>
      <c r="D1449" t="inlineStr">
        <is>
          <t>SELL</t>
        </is>
      </c>
      <c r="E1449" t="inlineStr">
        <is>
          <t>Yes</t>
        </is>
      </c>
      <c r="F1449" s="2" t="n">
        <v>0.001</v>
      </c>
      <c r="G1449" s="6" t="n">
        <v>0.05</v>
      </c>
      <c r="H1449" s="6">
        <f>F1449*G1449</f>
        <v/>
      </c>
      <c r="I1449">
        <f>_xlfn.XLOOKUP(A1449,MktTitle,MktCat,"n/a")</f>
        <v/>
      </c>
      <c r="J1449" s="3">
        <f>_xlfn.XLOOKUP(A1449,MktTitle,MktTotVol,0)</f>
        <v/>
      </c>
      <c r="K1449">
        <f>IF(H1449&gt;WhaleThreshold,"WHALE","")</f>
        <v/>
      </c>
    </row>
    <row r="1450">
      <c r="A1450" t="inlineStr">
        <is>
          <t>Will Paraguay win the 2026 FIFA World Cup?</t>
        </is>
      </c>
      <c r="B1450" s="4" t="n">
        <v>46205</v>
      </c>
      <c r="C1450" s="5" t="n">
        <v>46205.95658564815</v>
      </c>
      <c r="D1450" t="inlineStr">
        <is>
          <t>SELL</t>
        </is>
      </c>
      <c r="E1450" t="inlineStr">
        <is>
          <t>No</t>
        </is>
      </c>
      <c r="F1450" s="2" t="n">
        <v>0.998</v>
      </c>
      <c r="G1450" s="6" t="n">
        <v>10.9</v>
      </c>
      <c r="H1450" s="6">
        <f>F1450*G1450</f>
        <v/>
      </c>
      <c r="I1450">
        <f>_xlfn.XLOOKUP(A1450,MktTitle,MktCat,"n/a")</f>
        <v/>
      </c>
      <c r="J1450" s="3">
        <f>_xlfn.XLOOKUP(A1450,MktTitle,MktTotVol,0)</f>
        <v/>
      </c>
      <c r="K1450">
        <f>IF(H1450&gt;WhaleThreshold,"WHALE","")</f>
        <v/>
      </c>
    </row>
    <row r="1451">
      <c r="A1451" t="inlineStr">
        <is>
          <t>Will Paraguay win the 2026 FIFA World Cup?</t>
        </is>
      </c>
      <c r="B1451" s="4" t="n">
        <v>46205</v>
      </c>
      <c r="C1451" s="5" t="n">
        <v>46205.95653935185</v>
      </c>
      <c r="D1451" t="inlineStr">
        <is>
          <t>SELL</t>
        </is>
      </c>
      <c r="E1451" t="inlineStr">
        <is>
          <t>Yes</t>
        </is>
      </c>
      <c r="F1451" s="2" t="n">
        <v>0.001</v>
      </c>
      <c r="G1451" s="6" t="n">
        <v>0.05</v>
      </c>
      <c r="H1451" s="6">
        <f>F1451*G1451</f>
        <v/>
      </c>
      <c r="I1451">
        <f>_xlfn.XLOOKUP(A1451,MktTitle,MktCat,"n/a")</f>
        <v/>
      </c>
      <c r="J1451" s="3">
        <f>_xlfn.XLOOKUP(A1451,MktTitle,MktTotVol,0)</f>
        <v/>
      </c>
      <c r="K1451">
        <f>IF(H1451&gt;WhaleThreshold,"WHALE","")</f>
        <v/>
      </c>
    </row>
    <row r="1452">
      <c r="A1452" t="inlineStr">
        <is>
          <t>Will Paraguay win the 2026 FIFA World Cup?</t>
        </is>
      </c>
      <c r="B1452" s="4" t="n">
        <v>46205</v>
      </c>
      <c r="C1452" s="5" t="n">
        <v>46205.9565162037</v>
      </c>
      <c r="D1452" t="inlineStr">
        <is>
          <t>SELL</t>
        </is>
      </c>
      <c r="E1452" t="inlineStr">
        <is>
          <t>No</t>
        </is>
      </c>
      <c r="F1452" s="2" t="n">
        <v>0.998</v>
      </c>
      <c r="G1452" s="6" t="n">
        <v>10.9</v>
      </c>
      <c r="H1452" s="6">
        <f>F1452*G1452</f>
        <v/>
      </c>
      <c r="I1452">
        <f>_xlfn.XLOOKUP(A1452,MktTitle,MktCat,"n/a")</f>
        <v/>
      </c>
      <c r="J1452" s="3">
        <f>_xlfn.XLOOKUP(A1452,MktTitle,MktTotVol,0)</f>
        <v/>
      </c>
      <c r="K1452">
        <f>IF(H1452&gt;WhaleThreshold,"WHALE","")</f>
        <v/>
      </c>
    </row>
    <row r="1453">
      <c r="A1453" t="inlineStr">
        <is>
          <t>Will Paraguay win the 2026 FIFA World Cup?</t>
        </is>
      </c>
      <c r="B1453" s="4" t="n">
        <v>46205</v>
      </c>
      <c r="C1453" s="5" t="n">
        <v>46205.9565162037</v>
      </c>
      <c r="D1453" t="inlineStr">
        <is>
          <t>SELL</t>
        </is>
      </c>
      <c r="E1453" t="inlineStr">
        <is>
          <t>Yes</t>
        </is>
      </c>
      <c r="F1453" s="2" t="n">
        <v>0.001</v>
      </c>
      <c r="G1453" s="6" t="n">
        <v>0.05</v>
      </c>
      <c r="H1453" s="6">
        <f>F1453*G1453</f>
        <v/>
      </c>
      <c r="I1453">
        <f>_xlfn.XLOOKUP(A1453,MktTitle,MktCat,"n/a")</f>
        <v/>
      </c>
      <c r="J1453" s="3">
        <f>_xlfn.XLOOKUP(A1453,MktTitle,MktTotVol,0)</f>
        <v/>
      </c>
      <c r="K1453">
        <f>IF(H1453&gt;WhaleThreshold,"WHALE","")</f>
        <v/>
      </c>
    </row>
    <row r="1454">
      <c r="A1454" t="inlineStr">
        <is>
          <t>Will Paraguay win the 2026 FIFA World Cup?</t>
        </is>
      </c>
      <c r="B1454" s="4" t="n">
        <v>46205</v>
      </c>
      <c r="C1454" s="5" t="n">
        <v>46205.9565162037</v>
      </c>
      <c r="D1454" t="inlineStr">
        <is>
          <t>SELL</t>
        </is>
      </c>
      <c r="E1454" t="inlineStr">
        <is>
          <t>Yes</t>
        </is>
      </c>
      <c r="F1454" s="2" t="n">
        <v>0.001</v>
      </c>
      <c r="G1454" s="6" t="n">
        <v>0.05</v>
      </c>
      <c r="H1454" s="6">
        <f>F1454*G1454</f>
        <v/>
      </c>
      <c r="I1454">
        <f>_xlfn.XLOOKUP(A1454,MktTitle,MktCat,"n/a")</f>
        <v/>
      </c>
      <c r="J1454" s="3">
        <f>_xlfn.XLOOKUP(A1454,MktTitle,MktTotVol,0)</f>
        <v/>
      </c>
      <c r="K1454">
        <f>IF(H1454&gt;WhaleThreshold,"WHALE","")</f>
        <v/>
      </c>
    </row>
    <row r="1455">
      <c r="A1455" t="inlineStr">
        <is>
          <t>Will Paraguay win the 2026 FIFA World Cup?</t>
        </is>
      </c>
      <c r="B1455" s="4" t="n">
        <v>46205</v>
      </c>
      <c r="C1455" s="5" t="n">
        <v>46205.9565162037</v>
      </c>
      <c r="D1455" t="inlineStr">
        <is>
          <t>SELL</t>
        </is>
      </c>
      <c r="E1455" t="inlineStr">
        <is>
          <t>No</t>
        </is>
      </c>
      <c r="F1455" s="2" t="n">
        <v>0.998</v>
      </c>
      <c r="G1455" s="6" t="n">
        <v>10.9</v>
      </c>
      <c r="H1455" s="6">
        <f>F1455*G1455</f>
        <v/>
      </c>
      <c r="I1455">
        <f>_xlfn.XLOOKUP(A1455,MktTitle,MktCat,"n/a")</f>
        <v/>
      </c>
      <c r="J1455" s="3">
        <f>_xlfn.XLOOKUP(A1455,MktTitle,MktTotVol,0)</f>
        <v/>
      </c>
      <c r="K1455">
        <f>IF(H1455&gt;WhaleThreshold,"WHALE","")</f>
        <v/>
      </c>
    </row>
    <row r="1456">
      <c r="A1456" t="inlineStr">
        <is>
          <t>Will Paraguay win the 2026 FIFA World Cup?</t>
        </is>
      </c>
      <c r="B1456" s="4" t="n">
        <v>46205</v>
      </c>
      <c r="C1456" s="5" t="n">
        <v>46205.9565162037</v>
      </c>
      <c r="D1456" t="inlineStr">
        <is>
          <t>SELL</t>
        </is>
      </c>
      <c r="E1456" t="inlineStr">
        <is>
          <t>No</t>
        </is>
      </c>
      <c r="F1456" s="2" t="n">
        <v>0.998</v>
      </c>
      <c r="G1456" s="6" t="n">
        <v>10.9</v>
      </c>
      <c r="H1456" s="6">
        <f>F1456*G1456</f>
        <v/>
      </c>
      <c r="I1456">
        <f>_xlfn.XLOOKUP(A1456,MktTitle,MktCat,"n/a")</f>
        <v/>
      </c>
      <c r="J1456" s="3">
        <f>_xlfn.XLOOKUP(A1456,MktTitle,MktTotVol,0)</f>
        <v/>
      </c>
      <c r="K1456">
        <f>IF(H1456&gt;WhaleThreshold,"WHALE","")</f>
        <v/>
      </c>
    </row>
    <row r="1457">
      <c r="A1457" t="inlineStr">
        <is>
          <t>Will Paraguay win the 2026 FIFA World Cup?</t>
        </is>
      </c>
      <c r="B1457" s="4" t="n">
        <v>46205</v>
      </c>
      <c r="C1457" s="5" t="n">
        <v>46205.95571759259</v>
      </c>
      <c r="D1457" t="inlineStr">
        <is>
          <t>BUY</t>
        </is>
      </c>
      <c r="E1457" t="inlineStr">
        <is>
          <t>No</t>
        </is>
      </c>
      <c r="F1457" s="2" t="n">
        <v>0.999</v>
      </c>
      <c r="G1457" s="6" t="n">
        <v>10.9</v>
      </c>
      <c r="H1457" s="6">
        <f>F1457*G1457</f>
        <v/>
      </c>
      <c r="I1457">
        <f>_xlfn.XLOOKUP(A1457,MktTitle,MktCat,"n/a")</f>
        <v/>
      </c>
      <c r="J1457" s="3">
        <f>_xlfn.XLOOKUP(A1457,MktTitle,MktTotVol,0)</f>
        <v/>
      </c>
      <c r="K1457">
        <f>IF(H1457&gt;WhaleThreshold,"WHALE","")</f>
        <v/>
      </c>
    </row>
    <row r="1458">
      <c r="A1458" t="inlineStr">
        <is>
          <t>Will Paraguay win the 2026 FIFA World Cup?</t>
        </is>
      </c>
      <c r="B1458" s="4" t="n">
        <v>46205</v>
      </c>
      <c r="C1458" s="5" t="n">
        <v>46205.95571759259</v>
      </c>
      <c r="D1458" t="inlineStr">
        <is>
          <t>BUY</t>
        </is>
      </c>
      <c r="E1458" t="inlineStr">
        <is>
          <t>No</t>
        </is>
      </c>
      <c r="F1458" s="2" t="n">
        <v>0.999</v>
      </c>
      <c r="G1458" s="6" t="n">
        <v>10.9</v>
      </c>
      <c r="H1458" s="6">
        <f>F1458*G1458</f>
        <v/>
      </c>
      <c r="I1458">
        <f>_xlfn.XLOOKUP(A1458,MktTitle,MktCat,"n/a")</f>
        <v/>
      </c>
      <c r="J1458" s="3">
        <f>_xlfn.XLOOKUP(A1458,MktTitle,MktTotVol,0)</f>
        <v/>
      </c>
      <c r="K1458">
        <f>IF(H1458&gt;WhaleThreshold,"WHALE","")</f>
        <v/>
      </c>
    </row>
    <row r="1459">
      <c r="A1459" t="inlineStr">
        <is>
          <t>Will Paraguay win the 2026 FIFA World Cup?</t>
        </is>
      </c>
      <c r="B1459" s="4" t="n">
        <v>46205</v>
      </c>
      <c r="C1459" s="5" t="n">
        <v>46205.95571759259</v>
      </c>
      <c r="D1459" t="inlineStr">
        <is>
          <t>BUY</t>
        </is>
      </c>
      <c r="E1459" t="inlineStr">
        <is>
          <t>No</t>
        </is>
      </c>
      <c r="F1459" s="2" t="n">
        <v>0.999</v>
      </c>
      <c r="G1459" s="6" t="n">
        <v>10.9</v>
      </c>
      <c r="H1459" s="6">
        <f>F1459*G1459</f>
        <v/>
      </c>
      <c r="I1459">
        <f>_xlfn.XLOOKUP(A1459,MktTitle,MktCat,"n/a")</f>
        <v/>
      </c>
      <c r="J1459" s="3">
        <f>_xlfn.XLOOKUP(A1459,MktTitle,MktTotVol,0)</f>
        <v/>
      </c>
      <c r="K1459">
        <f>IF(H1459&gt;WhaleThreshold,"WHALE","")</f>
        <v/>
      </c>
    </row>
    <row r="1460">
      <c r="A1460" t="inlineStr">
        <is>
          <t>Will Paraguay win the 2026 FIFA World Cup?</t>
        </is>
      </c>
      <c r="B1460" s="4" t="n">
        <v>46205</v>
      </c>
      <c r="C1460" s="5" t="n">
        <v>46205.95571759259</v>
      </c>
      <c r="D1460" t="inlineStr">
        <is>
          <t>BUY</t>
        </is>
      </c>
      <c r="E1460" t="inlineStr">
        <is>
          <t>No</t>
        </is>
      </c>
      <c r="F1460" s="2" t="n">
        <v>0.999</v>
      </c>
      <c r="G1460" s="6" t="n">
        <v>10.9</v>
      </c>
      <c r="H1460" s="6">
        <f>F1460*G1460</f>
        <v/>
      </c>
      <c r="I1460">
        <f>_xlfn.XLOOKUP(A1460,MktTitle,MktCat,"n/a")</f>
        <v/>
      </c>
      <c r="J1460" s="3">
        <f>_xlfn.XLOOKUP(A1460,MktTitle,MktTotVol,0)</f>
        <v/>
      </c>
      <c r="K1460">
        <f>IF(H1460&gt;WhaleThreshold,"WHALE","")</f>
        <v/>
      </c>
    </row>
    <row r="1461">
      <c r="A1461" t="inlineStr">
        <is>
          <t>Will Paraguay win the 2026 FIFA World Cup?</t>
        </is>
      </c>
      <c r="B1461" s="4" t="n">
        <v>46205</v>
      </c>
      <c r="C1461" s="5" t="n">
        <v>46205.93956018519</v>
      </c>
      <c r="D1461" t="inlineStr">
        <is>
          <t>BUY</t>
        </is>
      </c>
      <c r="E1461" t="inlineStr">
        <is>
          <t>No</t>
        </is>
      </c>
      <c r="F1461" s="2" t="n">
        <v>0.999</v>
      </c>
      <c r="G1461" s="6" t="n">
        <v>1.621</v>
      </c>
      <c r="H1461" s="6">
        <f>F1461*G1461</f>
        <v/>
      </c>
      <c r="I1461">
        <f>_xlfn.XLOOKUP(A1461,MktTitle,MktCat,"n/a")</f>
        <v/>
      </c>
      <c r="J1461" s="3">
        <f>_xlfn.XLOOKUP(A1461,MktTitle,MktTotVol,0)</f>
        <v/>
      </c>
      <c r="K1461">
        <f>IF(H1461&gt;WhaleThreshold,"WHALE","")</f>
        <v/>
      </c>
    </row>
    <row r="1462">
      <c r="A1462" t="inlineStr">
        <is>
          <t>Will Paraguay win the 2026 FIFA World Cup?</t>
        </is>
      </c>
      <c r="B1462" s="4" t="n">
        <v>46205</v>
      </c>
      <c r="C1462" s="5" t="n">
        <v>46205.93804398148</v>
      </c>
      <c r="D1462" t="inlineStr">
        <is>
          <t>BUY</t>
        </is>
      </c>
      <c r="E1462" t="inlineStr">
        <is>
          <t>No</t>
        </is>
      </c>
      <c r="F1462" s="2" t="n">
        <v>0.999</v>
      </c>
      <c r="G1462" s="6" t="n">
        <v>1.621</v>
      </c>
      <c r="H1462" s="6">
        <f>F1462*G1462</f>
        <v/>
      </c>
      <c r="I1462">
        <f>_xlfn.XLOOKUP(A1462,MktTitle,MktCat,"n/a")</f>
        <v/>
      </c>
      <c r="J1462" s="3">
        <f>_xlfn.XLOOKUP(A1462,MktTitle,MktTotVol,0)</f>
        <v/>
      </c>
      <c r="K1462">
        <f>IF(H1462&gt;WhaleThreshold,"WHALE","")</f>
        <v/>
      </c>
    </row>
    <row r="1463">
      <c r="A1463" t="inlineStr">
        <is>
          <t>Will Paraguay win the 2026 FIFA World Cup?</t>
        </is>
      </c>
      <c r="B1463" s="4" t="n">
        <v>46205</v>
      </c>
      <c r="C1463" s="5" t="n">
        <v>46205.93751157408</v>
      </c>
      <c r="D1463" t="inlineStr">
        <is>
          <t>SELL</t>
        </is>
      </c>
      <c r="E1463" t="inlineStr">
        <is>
          <t>Yes</t>
        </is>
      </c>
      <c r="F1463" s="2" t="n">
        <v>0.001</v>
      </c>
      <c r="G1463" s="6" t="n">
        <v>12.07</v>
      </c>
      <c r="H1463" s="6">
        <f>F1463*G1463</f>
        <v/>
      </c>
      <c r="I1463">
        <f>_xlfn.XLOOKUP(A1463,MktTitle,MktCat,"n/a")</f>
        <v/>
      </c>
      <c r="J1463" s="3">
        <f>_xlfn.XLOOKUP(A1463,MktTitle,MktTotVol,0)</f>
        <v/>
      </c>
      <c r="K1463">
        <f>IF(H1463&gt;WhaleThreshold,"WHALE","")</f>
        <v/>
      </c>
    </row>
    <row r="1464">
      <c r="A1464" t="inlineStr">
        <is>
          <t>Will Paraguay win the 2026 FIFA World Cup?</t>
        </is>
      </c>
      <c r="B1464" s="4" t="n">
        <v>46205</v>
      </c>
      <c r="C1464" s="5" t="n">
        <v>46205.93751157408</v>
      </c>
      <c r="D1464" t="inlineStr">
        <is>
          <t>BUY</t>
        </is>
      </c>
      <c r="E1464" t="inlineStr">
        <is>
          <t>Yes</t>
        </is>
      </c>
      <c r="F1464" s="2" t="n">
        <v>0.002</v>
      </c>
      <c r="G1464" s="6" t="n">
        <v>2500</v>
      </c>
      <c r="H1464" s="6">
        <f>F1464*G1464</f>
        <v/>
      </c>
      <c r="I1464">
        <f>_xlfn.XLOOKUP(A1464,MktTitle,MktCat,"n/a")</f>
        <v/>
      </c>
      <c r="J1464" s="3">
        <f>_xlfn.XLOOKUP(A1464,MktTitle,MktTotVol,0)</f>
        <v/>
      </c>
      <c r="K1464">
        <f>IF(H1464&gt;WhaleThreshold,"WHALE","")</f>
        <v/>
      </c>
    </row>
    <row r="1465">
      <c r="A1465" t="inlineStr">
        <is>
          <t>Will Paraguay win the 2026 FIFA World Cup?</t>
        </is>
      </c>
      <c r="B1465" s="4" t="n">
        <v>46205</v>
      </c>
      <c r="C1465" s="5" t="n">
        <v>46205.93630787037</v>
      </c>
      <c r="D1465" t="inlineStr">
        <is>
          <t>SELL</t>
        </is>
      </c>
      <c r="E1465" t="inlineStr">
        <is>
          <t>No</t>
        </is>
      </c>
      <c r="F1465" s="2" t="n">
        <v>0.998</v>
      </c>
      <c r="G1465" s="6" t="n">
        <v>1.52</v>
      </c>
      <c r="H1465" s="6">
        <f>F1465*G1465</f>
        <v/>
      </c>
      <c r="I1465">
        <f>_xlfn.XLOOKUP(A1465,MktTitle,MktCat,"n/a")</f>
        <v/>
      </c>
      <c r="J1465" s="3">
        <f>_xlfn.XLOOKUP(A1465,MktTitle,MktTotVol,0)</f>
        <v/>
      </c>
      <c r="K1465">
        <f>IF(H1465&gt;WhaleThreshold,"WHALE","")</f>
        <v/>
      </c>
    </row>
    <row r="1466">
      <c r="A1466" t="inlineStr">
        <is>
          <t>Will Paraguay win the 2026 FIFA World Cup?</t>
        </is>
      </c>
      <c r="B1466" s="4" t="n">
        <v>46205</v>
      </c>
      <c r="C1466" s="5" t="n">
        <v>46205.93605324074</v>
      </c>
      <c r="D1466" t="inlineStr">
        <is>
          <t>BUY</t>
        </is>
      </c>
      <c r="E1466" t="inlineStr">
        <is>
          <t>No</t>
        </is>
      </c>
      <c r="F1466" s="2" t="n">
        <v>0.999</v>
      </c>
      <c r="G1466" s="6" t="n">
        <v>1.621</v>
      </c>
      <c r="H1466" s="6">
        <f>F1466*G1466</f>
        <v/>
      </c>
      <c r="I1466">
        <f>_xlfn.XLOOKUP(A1466,MktTitle,MktCat,"n/a")</f>
        <v/>
      </c>
      <c r="J1466" s="3">
        <f>_xlfn.XLOOKUP(A1466,MktTitle,MktTotVol,0)</f>
        <v/>
      </c>
      <c r="K1466">
        <f>IF(H1466&gt;WhaleThreshold,"WHALE","")</f>
        <v/>
      </c>
    </row>
    <row r="1467">
      <c r="A1467" t="inlineStr">
        <is>
          <t>Will Paraguay win the 2026 FIFA World Cup?</t>
        </is>
      </c>
      <c r="B1467" s="4" t="n">
        <v>46205</v>
      </c>
      <c r="C1467" s="5" t="n">
        <v>46205.93393518519</v>
      </c>
      <c r="D1467" t="inlineStr">
        <is>
          <t>SELL</t>
        </is>
      </c>
      <c r="E1467" t="inlineStr">
        <is>
          <t>Yes</t>
        </is>
      </c>
      <c r="F1467" s="2" t="n">
        <v>0.001</v>
      </c>
      <c r="G1467" s="6" t="n">
        <v>0.05</v>
      </c>
      <c r="H1467" s="6">
        <f>F1467*G1467</f>
        <v/>
      </c>
      <c r="I1467">
        <f>_xlfn.XLOOKUP(A1467,MktTitle,MktCat,"n/a")</f>
        <v/>
      </c>
      <c r="J1467" s="3">
        <f>_xlfn.XLOOKUP(A1467,MktTitle,MktTotVol,0)</f>
        <v/>
      </c>
      <c r="K1467">
        <f>IF(H1467&gt;WhaleThreshold,"WHALE","")</f>
        <v/>
      </c>
    </row>
    <row r="1468">
      <c r="A1468" t="inlineStr">
        <is>
          <t>Will Paraguay win the 2026 FIFA World Cup?</t>
        </is>
      </c>
      <c r="B1468" s="4" t="n">
        <v>46205</v>
      </c>
      <c r="C1468" s="5" t="n">
        <v>46205.93391203704</v>
      </c>
      <c r="D1468" t="inlineStr">
        <is>
          <t>SELL</t>
        </is>
      </c>
      <c r="E1468" t="inlineStr">
        <is>
          <t>No</t>
        </is>
      </c>
      <c r="F1468" s="2" t="n">
        <v>0.998</v>
      </c>
      <c r="G1468" s="6" t="n">
        <v>10.49</v>
      </c>
      <c r="H1468" s="6">
        <f>F1468*G1468</f>
        <v/>
      </c>
      <c r="I1468">
        <f>_xlfn.XLOOKUP(A1468,MktTitle,MktCat,"n/a")</f>
        <v/>
      </c>
      <c r="J1468" s="3">
        <f>_xlfn.XLOOKUP(A1468,MktTitle,MktTotVol,0)</f>
        <v/>
      </c>
      <c r="K1468">
        <f>IF(H1468&gt;WhaleThreshold,"WHALE","")</f>
        <v/>
      </c>
    </row>
    <row r="1469">
      <c r="A1469" t="inlineStr">
        <is>
          <t>Will Paraguay win the 2026 FIFA World Cup?</t>
        </is>
      </c>
      <c r="B1469" s="4" t="n">
        <v>46205</v>
      </c>
      <c r="C1469" s="5" t="n">
        <v>46205.93386574074</v>
      </c>
      <c r="D1469" t="inlineStr">
        <is>
          <t>SELL</t>
        </is>
      </c>
      <c r="E1469" t="inlineStr">
        <is>
          <t>Yes</t>
        </is>
      </c>
      <c r="F1469" s="2" t="n">
        <v>0.001</v>
      </c>
      <c r="G1469" s="6" t="n">
        <v>0.05</v>
      </c>
      <c r="H1469" s="6">
        <f>F1469*G1469</f>
        <v/>
      </c>
      <c r="I1469">
        <f>_xlfn.XLOOKUP(A1469,MktTitle,MktCat,"n/a")</f>
        <v/>
      </c>
      <c r="J1469" s="3">
        <f>_xlfn.XLOOKUP(A1469,MktTitle,MktTotVol,0)</f>
        <v/>
      </c>
      <c r="K1469">
        <f>IF(H1469&gt;WhaleThreshold,"WHALE","")</f>
        <v/>
      </c>
    </row>
    <row r="1470">
      <c r="A1470" t="inlineStr">
        <is>
          <t>Will Paraguay win the 2026 FIFA World Cup?</t>
        </is>
      </c>
      <c r="B1470" s="4" t="n">
        <v>46205</v>
      </c>
      <c r="C1470" s="5" t="n">
        <v>46205.93386574074</v>
      </c>
      <c r="D1470" t="inlineStr">
        <is>
          <t>SELL</t>
        </is>
      </c>
      <c r="E1470" t="inlineStr">
        <is>
          <t>No</t>
        </is>
      </c>
      <c r="F1470" s="2" t="n">
        <v>0.998</v>
      </c>
      <c r="G1470" s="6" t="n">
        <v>10.59</v>
      </c>
      <c r="H1470" s="6">
        <f>F1470*G1470</f>
        <v/>
      </c>
      <c r="I1470">
        <f>_xlfn.XLOOKUP(A1470,MktTitle,MktCat,"n/a")</f>
        <v/>
      </c>
      <c r="J1470" s="3">
        <f>_xlfn.XLOOKUP(A1470,MktTitle,MktTotVol,0)</f>
        <v/>
      </c>
      <c r="K1470">
        <f>IF(H1470&gt;WhaleThreshold,"WHALE","")</f>
        <v/>
      </c>
    </row>
    <row r="1471">
      <c r="A1471" t="inlineStr">
        <is>
          <t>Will Paraguay win the 2026 FIFA World Cup?</t>
        </is>
      </c>
      <c r="B1471" s="4" t="n">
        <v>46205</v>
      </c>
      <c r="C1471" s="5" t="n">
        <v>46205.9338425926</v>
      </c>
      <c r="D1471" t="inlineStr">
        <is>
          <t>SELL</t>
        </is>
      </c>
      <c r="E1471" t="inlineStr">
        <is>
          <t>Yes</t>
        </is>
      </c>
      <c r="F1471" s="2" t="n">
        <v>0.001</v>
      </c>
      <c r="G1471" s="6" t="n">
        <v>0.05</v>
      </c>
      <c r="H1471" s="6">
        <f>F1471*G1471</f>
        <v/>
      </c>
      <c r="I1471">
        <f>_xlfn.XLOOKUP(A1471,MktTitle,MktCat,"n/a")</f>
        <v/>
      </c>
      <c r="J1471" s="3">
        <f>_xlfn.XLOOKUP(A1471,MktTitle,MktTotVol,0)</f>
        <v/>
      </c>
      <c r="K1471">
        <f>IF(H1471&gt;WhaleThreshold,"WHALE","")</f>
        <v/>
      </c>
    </row>
    <row r="1472">
      <c r="A1472" t="inlineStr">
        <is>
          <t>Will Paraguay win the 2026 FIFA World Cup?</t>
        </is>
      </c>
      <c r="B1472" s="4" t="n">
        <v>46205</v>
      </c>
      <c r="C1472" s="5" t="n">
        <v>46205.9338425926</v>
      </c>
      <c r="D1472" t="inlineStr">
        <is>
          <t>SELL</t>
        </is>
      </c>
      <c r="E1472" t="inlineStr">
        <is>
          <t>No</t>
        </is>
      </c>
      <c r="F1472" s="2" t="n">
        <v>0.998</v>
      </c>
      <c r="G1472" s="6" t="n">
        <v>10.78</v>
      </c>
      <c r="H1472" s="6">
        <f>F1472*G1472</f>
        <v/>
      </c>
      <c r="I1472">
        <f>_xlfn.XLOOKUP(A1472,MktTitle,MktCat,"n/a")</f>
        <v/>
      </c>
      <c r="J1472" s="3">
        <f>_xlfn.XLOOKUP(A1472,MktTitle,MktTotVol,0)</f>
        <v/>
      </c>
      <c r="K1472">
        <f>IF(H1472&gt;WhaleThreshold,"WHALE","")</f>
        <v/>
      </c>
    </row>
    <row r="1473">
      <c r="A1473" t="inlineStr">
        <is>
          <t>Will Paraguay win the 2026 FIFA World Cup?</t>
        </is>
      </c>
      <c r="B1473" s="4" t="n">
        <v>46205</v>
      </c>
      <c r="C1473" s="5" t="n">
        <v>46205.93280092593</v>
      </c>
      <c r="D1473" t="inlineStr">
        <is>
          <t>BUY</t>
        </is>
      </c>
      <c r="E1473" t="inlineStr">
        <is>
          <t>No</t>
        </is>
      </c>
      <c r="F1473" s="2" t="n">
        <v>0.999</v>
      </c>
      <c r="G1473" s="6" t="n">
        <v>10.78</v>
      </c>
      <c r="H1473" s="6">
        <f>F1473*G1473</f>
        <v/>
      </c>
      <c r="I1473">
        <f>_xlfn.XLOOKUP(A1473,MktTitle,MktCat,"n/a")</f>
        <v/>
      </c>
      <c r="J1473" s="3">
        <f>_xlfn.XLOOKUP(A1473,MktTitle,MktTotVol,0)</f>
        <v/>
      </c>
      <c r="K1473">
        <f>IF(H1473&gt;WhaleThreshold,"WHALE","")</f>
        <v/>
      </c>
    </row>
    <row r="1474">
      <c r="A1474" t="inlineStr">
        <is>
          <t>Will Paraguay win the 2026 FIFA World Cup?</t>
        </is>
      </c>
      <c r="B1474" s="4" t="n">
        <v>46205</v>
      </c>
      <c r="C1474" s="5" t="n">
        <v>46205.93280092593</v>
      </c>
      <c r="D1474" t="inlineStr">
        <is>
          <t>BUY</t>
        </is>
      </c>
      <c r="E1474" t="inlineStr">
        <is>
          <t>No</t>
        </is>
      </c>
      <c r="F1474" s="2" t="n">
        <v>0.999</v>
      </c>
      <c r="G1474" s="6" t="n">
        <v>10.59</v>
      </c>
      <c r="H1474" s="6">
        <f>F1474*G1474</f>
        <v/>
      </c>
      <c r="I1474">
        <f>_xlfn.XLOOKUP(A1474,MktTitle,MktCat,"n/a")</f>
        <v/>
      </c>
      <c r="J1474" s="3">
        <f>_xlfn.XLOOKUP(A1474,MktTitle,MktTotVol,0)</f>
        <v/>
      </c>
      <c r="K1474">
        <f>IF(H1474&gt;WhaleThreshold,"WHALE","")</f>
        <v/>
      </c>
    </row>
    <row r="1475">
      <c r="A1475" t="inlineStr">
        <is>
          <t>Will Paraguay win the 2026 FIFA World Cup?</t>
        </is>
      </c>
      <c r="B1475" s="4" t="n">
        <v>46205</v>
      </c>
      <c r="C1475" s="5" t="n">
        <v>46205.93280092593</v>
      </c>
      <c r="D1475" t="inlineStr">
        <is>
          <t>BUY</t>
        </is>
      </c>
      <c r="E1475" t="inlineStr">
        <is>
          <t>No</t>
        </is>
      </c>
      <c r="F1475" s="2" t="n">
        <v>0.999</v>
      </c>
      <c r="G1475" s="6" t="n">
        <v>10.49</v>
      </c>
      <c r="H1475" s="6">
        <f>F1475*G1475</f>
        <v/>
      </c>
      <c r="I1475">
        <f>_xlfn.XLOOKUP(A1475,MktTitle,MktCat,"n/a")</f>
        <v/>
      </c>
      <c r="J1475" s="3">
        <f>_xlfn.XLOOKUP(A1475,MktTitle,MktTotVol,0)</f>
        <v/>
      </c>
      <c r="K1475">
        <f>IF(H1475&gt;WhaleThreshold,"WHALE","")</f>
        <v/>
      </c>
    </row>
    <row r="1476">
      <c r="A1476" t="inlineStr">
        <is>
          <t>Will Paraguay win the 2026 FIFA World Cup?</t>
        </is>
      </c>
      <c r="B1476" s="4" t="n">
        <v>46205</v>
      </c>
      <c r="C1476" s="5" t="n">
        <v>46205.93008101852</v>
      </c>
      <c r="D1476" t="inlineStr">
        <is>
          <t>SELL</t>
        </is>
      </c>
      <c r="E1476" t="inlineStr">
        <is>
          <t>Yes</t>
        </is>
      </c>
      <c r="F1476" s="2" t="n">
        <v>0.001</v>
      </c>
      <c r="G1476" s="6" t="n">
        <v>48.3</v>
      </c>
      <c r="H1476" s="6">
        <f>F1476*G1476</f>
        <v/>
      </c>
      <c r="I1476">
        <f>_xlfn.XLOOKUP(A1476,MktTitle,MktCat,"n/a")</f>
        <v/>
      </c>
      <c r="J1476" s="3">
        <f>_xlfn.XLOOKUP(A1476,MktTitle,MktTotVol,0)</f>
        <v/>
      </c>
      <c r="K1476">
        <f>IF(H1476&gt;WhaleThreshold,"WHALE","")</f>
        <v/>
      </c>
    </row>
    <row r="1477">
      <c r="A1477" t="inlineStr">
        <is>
          <t>Will Paraguay win the 2026 FIFA World Cup?</t>
        </is>
      </c>
      <c r="B1477" s="4" t="n">
        <v>46205</v>
      </c>
      <c r="C1477" s="5" t="n">
        <v>46205.93005787037</v>
      </c>
      <c r="D1477" t="inlineStr">
        <is>
          <t>BUY</t>
        </is>
      </c>
      <c r="E1477" t="inlineStr">
        <is>
          <t>Yes</t>
        </is>
      </c>
      <c r="F1477" s="2" t="n">
        <v>0.002</v>
      </c>
      <c r="G1477" s="6" t="n">
        <v>10000</v>
      </c>
      <c r="H1477" s="6">
        <f>F1477*G1477</f>
        <v/>
      </c>
      <c r="I1477">
        <f>_xlfn.XLOOKUP(A1477,MktTitle,MktCat,"n/a")</f>
        <v/>
      </c>
      <c r="J1477" s="3">
        <f>_xlfn.XLOOKUP(A1477,MktTitle,MktTotVol,0)</f>
        <v/>
      </c>
      <c r="K1477">
        <f>IF(H1477&gt;WhaleThreshold,"WHALE","")</f>
        <v/>
      </c>
    </row>
    <row r="1478">
      <c r="A1478" t="inlineStr">
        <is>
          <t>Will Paraguay win the 2026 FIFA World Cup?</t>
        </is>
      </c>
      <c r="B1478" s="4" t="n">
        <v>46205</v>
      </c>
      <c r="C1478" s="5" t="n">
        <v>46205.92787037037</v>
      </c>
      <c r="D1478" t="inlineStr">
        <is>
          <t>SELL</t>
        </is>
      </c>
      <c r="E1478" t="inlineStr">
        <is>
          <t>Yes</t>
        </is>
      </c>
      <c r="F1478" s="2" t="n">
        <v>0.001</v>
      </c>
      <c r="G1478" s="6" t="n">
        <v>4.83</v>
      </c>
      <c r="H1478" s="6">
        <f>F1478*G1478</f>
        <v/>
      </c>
      <c r="I1478">
        <f>_xlfn.XLOOKUP(A1478,MktTitle,MktCat,"n/a")</f>
        <v/>
      </c>
      <c r="J1478" s="3">
        <f>_xlfn.XLOOKUP(A1478,MktTitle,MktTotVol,0)</f>
        <v/>
      </c>
      <c r="K1478">
        <f>IF(H1478&gt;WhaleThreshold,"WHALE","")</f>
        <v/>
      </c>
    </row>
    <row r="1479">
      <c r="A1479" t="inlineStr">
        <is>
          <t>Will Paraguay win the 2026 FIFA World Cup?</t>
        </is>
      </c>
      <c r="B1479" s="4" t="n">
        <v>46205</v>
      </c>
      <c r="C1479" s="5" t="n">
        <v>46205.92787037037</v>
      </c>
      <c r="D1479" t="inlineStr">
        <is>
          <t>BUY</t>
        </is>
      </c>
      <c r="E1479" t="inlineStr">
        <is>
          <t>Yes</t>
        </is>
      </c>
      <c r="F1479" s="2" t="n">
        <v>0.002</v>
      </c>
      <c r="G1479" s="6" t="n">
        <v>1000</v>
      </c>
      <c r="H1479" s="6">
        <f>F1479*G1479</f>
        <v/>
      </c>
      <c r="I1479">
        <f>_xlfn.XLOOKUP(A1479,MktTitle,MktCat,"n/a")</f>
        <v/>
      </c>
      <c r="J1479" s="3">
        <f>_xlfn.XLOOKUP(A1479,MktTitle,MktTotVol,0)</f>
        <v/>
      </c>
      <c r="K1479">
        <f>IF(H1479&gt;WhaleThreshold,"WHALE","")</f>
        <v/>
      </c>
    </row>
    <row r="1480">
      <c r="A1480" t="inlineStr">
        <is>
          <t>Will Paraguay win the 2026 FIFA World Cup?</t>
        </is>
      </c>
      <c r="B1480" s="4" t="n">
        <v>46205</v>
      </c>
      <c r="C1480" s="5" t="n">
        <v>46205.92321759259</v>
      </c>
      <c r="D1480" t="inlineStr">
        <is>
          <t>SELL</t>
        </is>
      </c>
      <c r="E1480" t="inlineStr">
        <is>
          <t>Yes</t>
        </is>
      </c>
      <c r="F1480" s="2" t="n">
        <v>0.001</v>
      </c>
      <c r="G1480" s="6" t="n">
        <v>12.07</v>
      </c>
      <c r="H1480" s="6">
        <f>F1480*G1480</f>
        <v/>
      </c>
      <c r="I1480">
        <f>_xlfn.XLOOKUP(A1480,MktTitle,MktCat,"n/a")</f>
        <v/>
      </c>
      <c r="J1480" s="3">
        <f>_xlfn.XLOOKUP(A1480,MktTitle,MktTotVol,0)</f>
        <v/>
      </c>
      <c r="K1480">
        <f>IF(H1480&gt;WhaleThreshold,"WHALE","")</f>
        <v/>
      </c>
    </row>
    <row r="1481">
      <c r="A1481" t="inlineStr">
        <is>
          <t>Will Paraguay win the 2026 FIFA World Cup?</t>
        </is>
      </c>
      <c r="B1481" s="4" t="n">
        <v>46205</v>
      </c>
      <c r="C1481" s="5" t="n">
        <v>46205.92321759259</v>
      </c>
      <c r="D1481" t="inlineStr">
        <is>
          <t>BUY</t>
        </is>
      </c>
      <c r="E1481" t="inlineStr">
        <is>
          <t>Yes</t>
        </is>
      </c>
      <c r="F1481" s="2" t="n">
        <v>0.002</v>
      </c>
      <c r="G1481" s="6" t="n">
        <v>2500</v>
      </c>
      <c r="H1481" s="6">
        <f>F1481*G1481</f>
        <v/>
      </c>
      <c r="I1481">
        <f>_xlfn.XLOOKUP(A1481,MktTitle,MktCat,"n/a")</f>
        <v/>
      </c>
      <c r="J1481" s="3">
        <f>_xlfn.XLOOKUP(A1481,MktTitle,MktTotVol,0)</f>
        <v/>
      </c>
      <c r="K1481">
        <f>IF(H1481&gt;WhaleThreshold,"WHALE","")</f>
        <v/>
      </c>
    </row>
    <row r="1482">
      <c r="A1482" t="inlineStr">
        <is>
          <t>Will Paraguay win the 2026 FIFA World Cup?</t>
        </is>
      </c>
      <c r="B1482" s="4" t="n">
        <v>46205</v>
      </c>
      <c r="C1482" s="5" t="n">
        <v>46205.92105324074</v>
      </c>
      <c r="D1482" t="inlineStr">
        <is>
          <t>SELL</t>
        </is>
      </c>
      <c r="E1482" t="inlineStr">
        <is>
          <t>Yes</t>
        </is>
      </c>
      <c r="F1482" s="2" t="n">
        <v>0.001</v>
      </c>
      <c r="G1482" s="6" t="n">
        <v>0.05</v>
      </c>
      <c r="H1482" s="6">
        <f>F1482*G1482</f>
        <v/>
      </c>
      <c r="I1482">
        <f>_xlfn.XLOOKUP(A1482,MktTitle,MktCat,"n/a")</f>
        <v/>
      </c>
      <c r="J1482" s="3">
        <f>_xlfn.XLOOKUP(A1482,MktTitle,MktTotVol,0)</f>
        <v/>
      </c>
      <c r="K1482">
        <f>IF(H1482&gt;WhaleThreshold,"WHALE","")</f>
        <v/>
      </c>
    </row>
    <row r="1483">
      <c r="A1483" t="inlineStr">
        <is>
          <t>Will Paraguay win the 2026 FIFA World Cup?</t>
        </is>
      </c>
      <c r="B1483" s="4" t="n">
        <v>46205</v>
      </c>
      <c r="C1483" s="5" t="n">
        <v>46205.92105324074</v>
      </c>
      <c r="D1483" t="inlineStr">
        <is>
          <t>SELL</t>
        </is>
      </c>
      <c r="E1483" t="inlineStr">
        <is>
          <t>No</t>
        </is>
      </c>
      <c r="F1483" s="2" t="n">
        <v>0.998</v>
      </c>
      <c r="G1483" s="6" t="n">
        <v>10.61</v>
      </c>
      <c r="H1483" s="6">
        <f>F1483*G1483</f>
        <v/>
      </c>
      <c r="I1483">
        <f>_xlfn.XLOOKUP(A1483,MktTitle,MktCat,"n/a")</f>
        <v/>
      </c>
      <c r="J1483" s="3">
        <f>_xlfn.XLOOKUP(A1483,MktTitle,MktTotVol,0)</f>
        <v/>
      </c>
      <c r="K1483">
        <f>IF(H1483&gt;WhaleThreshold,"WHALE","")</f>
        <v/>
      </c>
    </row>
    <row r="1484">
      <c r="A1484" t="inlineStr">
        <is>
          <t>Will Paraguay win the 2026 FIFA World Cup?</t>
        </is>
      </c>
      <c r="B1484" s="4" t="n">
        <v>46205</v>
      </c>
      <c r="C1484" s="5" t="n">
        <v>46205.9209837963</v>
      </c>
      <c r="D1484" t="inlineStr">
        <is>
          <t>SELL</t>
        </is>
      </c>
      <c r="E1484" t="inlineStr">
        <is>
          <t>Yes</t>
        </is>
      </c>
      <c r="F1484" s="2" t="n">
        <v>0.001</v>
      </c>
      <c r="G1484" s="6" t="n">
        <v>0.05</v>
      </c>
      <c r="H1484" s="6">
        <f>F1484*G1484</f>
        <v/>
      </c>
      <c r="I1484">
        <f>_xlfn.XLOOKUP(A1484,MktTitle,MktCat,"n/a")</f>
        <v/>
      </c>
      <c r="J1484" s="3">
        <f>_xlfn.XLOOKUP(A1484,MktTitle,MktTotVol,0)</f>
        <v/>
      </c>
      <c r="K1484">
        <f>IF(H1484&gt;WhaleThreshold,"WHALE","")</f>
        <v/>
      </c>
    </row>
    <row r="1485">
      <c r="A1485" t="inlineStr">
        <is>
          <t>Will Paraguay win the 2026 FIFA World Cup?</t>
        </is>
      </c>
      <c r="B1485" s="4" t="n">
        <v>46205</v>
      </c>
      <c r="C1485" s="5" t="n">
        <v>46205.9209837963</v>
      </c>
      <c r="D1485" t="inlineStr">
        <is>
          <t>SELL</t>
        </is>
      </c>
      <c r="E1485" t="inlineStr">
        <is>
          <t>No</t>
        </is>
      </c>
      <c r="F1485" s="2" t="n">
        <v>0.998</v>
      </c>
      <c r="G1485" s="6" t="n">
        <v>10.61</v>
      </c>
      <c r="H1485" s="6">
        <f>F1485*G1485</f>
        <v/>
      </c>
      <c r="I1485">
        <f>_xlfn.XLOOKUP(A1485,MktTitle,MktCat,"n/a")</f>
        <v/>
      </c>
      <c r="J1485" s="3">
        <f>_xlfn.XLOOKUP(A1485,MktTitle,MktTotVol,0)</f>
        <v/>
      </c>
      <c r="K1485">
        <f>IF(H1485&gt;WhaleThreshold,"WHALE","")</f>
        <v/>
      </c>
    </row>
    <row r="1486">
      <c r="A1486" t="inlineStr">
        <is>
          <t>Will Paraguay win the 2026 FIFA World Cup?</t>
        </is>
      </c>
      <c r="B1486" s="4" t="n">
        <v>46205</v>
      </c>
      <c r="C1486" s="5" t="n">
        <v>46205.92057870371</v>
      </c>
      <c r="D1486" t="inlineStr">
        <is>
          <t>BUY</t>
        </is>
      </c>
      <c r="E1486" t="inlineStr">
        <is>
          <t>No</t>
        </is>
      </c>
      <c r="F1486" s="2" t="n">
        <v>0.999</v>
      </c>
      <c r="G1486" s="6" t="n">
        <v>10.62</v>
      </c>
      <c r="H1486" s="6">
        <f>F1486*G1486</f>
        <v/>
      </c>
      <c r="I1486">
        <f>_xlfn.XLOOKUP(A1486,MktTitle,MktCat,"n/a")</f>
        <v/>
      </c>
      <c r="J1486" s="3">
        <f>_xlfn.XLOOKUP(A1486,MktTitle,MktTotVol,0)</f>
        <v/>
      </c>
      <c r="K1486">
        <f>IF(H1486&gt;WhaleThreshold,"WHALE","")</f>
        <v/>
      </c>
    </row>
    <row r="1487">
      <c r="A1487" t="inlineStr">
        <is>
          <t>Will Paraguay win the 2026 FIFA World Cup?</t>
        </is>
      </c>
      <c r="B1487" s="4" t="n">
        <v>46205</v>
      </c>
      <c r="C1487" s="5" t="n">
        <v>46205.92057870371</v>
      </c>
      <c r="D1487" t="inlineStr">
        <is>
          <t>BUY</t>
        </is>
      </c>
      <c r="E1487" t="inlineStr">
        <is>
          <t>No</t>
        </is>
      </c>
      <c r="F1487" s="2" t="n">
        <v>0.999</v>
      </c>
      <c r="G1487" s="6" t="n">
        <v>10.61</v>
      </c>
      <c r="H1487" s="6">
        <f>F1487*G1487</f>
        <v/>
      </c>
      <c r="I1487">
        <f>_xlfn.XLOOKUP(A1487,MktTitle,MktCat,"n/a")</f>
        <v/>
      </c>
      <c r="J1487" s="3">
        <f>_xlfn.XLOOKUP(A1487,MktTitle,MktTotVol,0)</f>
        <v/>
      </c>
      <c r="K1487">
        <f>IF(H1487&gt;WhaleThreshold,"WHALE","")</f>
        <v/>
      </c>
    </row>
    <row r="1488">
      <c r="A1488" t="inlineStr">
        <is>
          <t>Will Paraguay win the 2026 FIFA World Cup?</t>
        </is>
      </c>
      <c r="B1488" s="4" t="n">
        <v>46205</v>
      </c>
      <c r="C1488" s="5" t="n">
        <v>46205.91582175926</v>
      </c>
      <c r="D1488" t="inlineStr">
        <is>
          <t>SELL</t>
        </is>
      </c>
      <c r="E1488" t="inlineStr">
        <is>
          <t>Yes</t>
        </is>
      </c>
      <c r="F1488" s="2" t="n">
        <v>0.001</v>
      </c>
      <c r="G1488" s="6" t="n">
        <v>10000</v>
      </c>
      <c r="H1488" s="6">
        <f>F1488*G1488</f>
        <v/>
      </c>
      <c r="I1488">
        <f>_xlfn.XLOOKUP(A1488,MktTitle,MktCat,"n/a")</f>
        <v/>
      </c>
      <c r="J1488" s="3">
        <f>_xlfn.XLOOKUP(A1488,MktTitle,MktTotVol,0)</f>
        <v/>
      </c>
      <c r="K1488">
        <f>IF(H1488&gt;WhaleThreshold,"WHALE","")</f>
        <v/>
      </c>
    </row>
    <row r="1489">
      <c r="A1489" t="inlineStr">
        <is>
          <t>Will Paraguay win the 2026 FIFA World Cup?</t>
        </is>
      </c>
      <c r="B1489" s="4" t="n">
        <v>46205</v>
      </c>
      <c r="C1489" s="5" t="n">
        <v>46205.90275462963</v>
      </c>
      <c r="D1489" t="inlineStr">
        <is>
          <t>SELL</t>
        </is>
      </c>
      <c r="E1489" t="inlineStr">
        <is>
          <t>No</t>
        </is>
      </c>
      <c r="F1489" s="2" t="n">
        <v>0.998</v>
      </c>
      <c r="G1489" s="6" t="n">
        <v>10.67</v>
      </c>
      <c r="H1489" s="6">
        <f>F1489*G1489</f>
        <v/>
      </c>
      <c r="I1489">
        <f>_xlfn.XLOOKUP(A1489,MktTitle,MktCat,"n/a")</f>
        <v/>
      </c>
      <c r="J1489" s="3">
        <f>_xlfn.XLOOKUP(A1489,MktTitle,MktTotVol,0)</f>
        <v/>
      </c>
      <c r="K1489">
        <f>IF(H1489&gt;WhaleThreshold,"WHALE","")</f>
        <v/>
      </c>
    </row>
    <row r="1490">
      <c r="A1490" t="inlineStr">
        <is>
          <t>Will Paraguay win the 2026 FIFA World Cup?</t>
        </is>
      </c>
      <c r="B1490" s="4" t="n">
        <v>46205</v>
      </c>
      <c r="C1490" s="5" t="n">
        <v>46205.90275462963</v>
      </c>
      <c r="D1490" t="inlineStr">
        <is>
          <t>SELL</t>
        </is>
      </c>
      <c r="E1490" t="inlineStr">
        <is>
          <t>Yes</t>
        </is>
      </c>
      <c r="F1490" s="2" t="n">
        <v>0.001</v>
      </c>
      <c r="G1490" s="6" t="n">
        <v>0.05</v>
      </c>
      <c r="H1490" s="6">
        <f>F1490*G1490</f>
        <v/>
      </c>
      <c r="I1490">
        <f>_xlfn.XLOOKUP(A1490,MktTitle,MktCat,"n/a")</f>
        <v/>
      </c>
      <c r="J1490" s="3">
        <f>_xlfn.XLOOKUP(A1490,MktTitle,MktTotVol,0)</f>
        <v/>
      </c>
      <c r="K1490">
        <f>IF(H1490&gt;WhaleThreshold,"WHALE","")</f>
        <v/>
      </c>
    </row>
    <row r="1491">
      <c r="A1491" t="inlineStr">
        <is>
          <t>Will Paraguay win the 2026 FIFA World Cup?</t>
        </is>
      </c>
      <c r="B1491" s="4" t="n">
        <v>46205</v>
      </c>
      <c r="C1491" s="5" t="n">
        <v>46205.90266203704</v>
      </c>
      <c r="D1491" t="inlineStr">
        <is>
          <t>SELL</t>
        </is>
      </c>
      <c r="E1491" t="inlineStr">
        <is>
          <t>Yes</t>
        </is>
      </c>
      <c r="F1491" s="2" t="n">
        <v>0.001</v>
      </c>
      <c r="G1491" s="6" t="n">
        <v>0.05</v>
      </c>
      <c r="H1491" s="6">
        <f>F1491*G1491</f>
        <v/>
      </c>
      <c r="I1491">
        <f>_xlfn.XLOOKUP(A1491,MktTitle,MktCat,"n/a")</f>
        <v/>
      </c>
      <c r="J1491" s="3">
        <f>_xlfn.XLOOKUP(A1491,MktTitle,MktTotVol,0)</f>
        <v/>
      </c>
      <c r="K1491">
        <f>IF(H1491&gt;WhaleThreshold,"WHALE","")</f>
        <v/>
      </c>
    </row>
    <row r="1492">
      <c r="A1492" t="inlineStr">
        <is>
          <t>Will Paraguay win the 2026 FIFA World Cup?</t>
        </is>
      </c>
      <c r="B1492" s="4" t="n">
        <v>46205</v>
      </c>
      <c r="C1492" s="5" t="n">
        <v>46205.90266203704</v>
      </c>
      <c r="D1492" t="inlineStr">
        <is>
          <t>SELL</t>
        </is>
      </c>
      <c r="E1492" t="inlineStr">
        <is>
          <t>No</t>
        </is>
      </c>
      <c r="F1492" s="2" t="n">
        <v>0.998</v>
      </c>
      <c r="G1492" s="6" t="n">
        <v>10.67</v>
      </c>
      <c r="H1492" s="6">
        <f>F1492*G1492</f>
        <v/>
      </c>
      <c r="I1492">
        <f>_xlfn.XLOOKUP(A1492,MktTitle,MktCat,"n/a")</f>
        <v/>
      </c>
      <c r="J1492" s="3">
        <f>_xlfn.XLOOKUP(A1492,MktTitle,MktTotVol,0)</f>
        <v/>
      </c>
      <c r="K1492">
        <f>IF(H1492&gt;WhaleThreshold,"WHALE","")</f>
        <v/>
      </c>
    </row>
    <row r="1493">
      <c r="A1493" t="inlineStr">
        <is>
          <t>Will Paraguay win the 2026 FIFA World Cup?</t>
        </is>
      </c>
      <c r="B1493" s="4" t="n">
        <v>46205</v>
      </c>
      <c r="C1493" s="5" t="n">
        <v>46205.9020949074</v>
      </c>
      <c r="D1493" t="inlineStr">
        <is>
          <t>BUY</t>
        </is>
      </c>
      <c r="E1493" t="inlineStr">
        <is>
          <t>No</t>
        </is>
      </c>
      <c r="F1493" s="2" t="n">
        <v>0.999</v>
      </c>
      <c r="G1493" s="6" t="n">
        <v>10.67</v>
      </c>
      <c r="H1493" s="6">
        <f>F1493*G1493</f>
        <v/>
      </c>
      <c r="I1493">
        <f>_xlfn.XLOOKUP(A1493,MktTitle,MktCat,"n/a")</f>
        <v/>
      </c>
      <c r="J1493" s="3">
        <f>_xlfn.XLOOKUP(A1493,MktTitle,MktTotVol,0)</f>
        <v/>
      </c>
      <c r="K1493">
        <f>IF(H1493&gt;WhaleThreshold,"WHALE","")</f>
        <v/>
      </c>
    </row>
    <row r="1494">
      <c r="A1494" t="inlineStr">
        <is>
          <t>Will Paraguay win the 2026 FIFA World Cup?</t>
        </is>
      </c>
      <c r="B1494" s="4" t="n">
        <v>46205</v>
      </c>
      <c r="C1494" s="5" t="n">
        <v>46205.9020949074</v>
      </c>
      <c r="D1494" t="inlineStr">
        <is>
          <t>BUY</t>
        </is>
      </c>
      <c r="E1494" t="inlineStr">
        <is>
          <t>No</t>
        </is>
      </c>
      <c r="F1494" s="2" t="n">
        <v>0.999</v>
      </c>
      <c r="G1494" s="6" t="n">
        <v>10.67</v>
      </c>
      <c r="H1494" s="6">
        <f>F1494*G1494</f>
        <v/>
      </c>
      <c r="I1494">
        <f>_xlfn.XLOOKUP(A1494,MktTitle,MktCat,"n/a")</f>
        <v/>
      </c>
      <c r="J1494" s="3">
        <f>_xlfn.XLOOKUP(A1494,MktTitle,MktTotVol,0)</f>
        <v/>
      </c>
      <c r="K1494">
        <f>IF(H1494&gt;WhaleThreshold,"WHALE","")</f>
        <v/>
      </c>
    </row>
    <row r="1495">
      <c r="A1495" t="inlineStr">
        <is>
          <t>Will Paraguay win the 2026 FIFA World Cup?</t>
        </is>
      </c>
      <c r="B1495" s="4" t="n">
        <v>46205</v>
      </c>
      <c r="C1495" s="5" t="n">
        <v>46205.89290509259</v>
      </c>
      <c r="D1495" t="inlineStr">
        <is>
          <t>SELL</t>
        </is>
      </c>
      <c r="E1495" t="inlineStr">
        <is>
          <t>Yes</t>
        </is>
      </c>
      <c r="F1495" s="2" t="n">
        <v>0.001</v>
      </c>
      <c r="G1495" s="6" t="n">
        <v>0.05</v>
      </c>
      <c r="H1495" s="6">
        <f>F1495*G1495</f>
        <v/>
      </c>
      <c r="I1495">
        <f>_xlfn.XLOOKUP(A1495,MktTitle,MktCat,"n/a")</f>
        <v/>
      </c>
      <c r="J1495" s="3">
        <f>_xlfn.XLOOKUP(A1495,MktTitle,MktTotVol,0)</f>
        <v/>
      </c>
      <c r="K1495">
        <f>IF(H1495&gt;WhaleThreshold,"WHALE","")</f>
        <v/>
      </c>
    </row>
    <row r="1496">
      <c r="A1496" t="inlineStr">
        <is>
          <t>Will Paraguay win the 2026 FIFA World Cup?</t>
        </is>
      </c>
      <c r="B1496" s="4" t="n">
        <v>46205</v>
      </c>
      <c r="C1496" s="5" t="n">
        <v>46205.89290509259</v>
      </c>
      <c r="D1496" t="inlineStr">
        <is>
          <t>SELL</t>
        </is>
      </c>
      <c r="E1496" t="inlineStr">
        <is>
          <t>No</t>
        </is>
      </c>
      <c r="F1496" s="2" t="n">
        <v>0.998</v>
      </c>
      <c r="G1496" s="6" t="n">
        <v>10.8</v>
      </c>
      <c r="H1496" s="6">
        <f>F1496*G1496</f>
        <v/>
      </c>
      <c r="I1496">
        <f>_xlfn.XLOOKUP(A1496,MktTitle,MktCat,"n/a")</f>
        <v/>
      </c>
      <c r="J1496" s="3">
        <f>_xlfn.XLOOKUP(A1496,MktTitle,MktTotVol,0)</f>
        <v/>
      </c>
      <c r="K1496">
        <f>IF(H1496&gt;WhaleThreshold,"WHALE","")</f>
        <v/>
      </c>
    </row>
    <row r="1497">
      <c r="A1497" t="inlineStr">
        <is>
          <t>Will Paraguay win the 2026 FIFA World Cup?</t>
        </is>
      </c>
      <c r="B1497" s="4" t="n">
        <v>46205</v>
      </c>
      <c r="C1497" s="5" t="n">
        <v>46205.89290509259</v>
      </c>
      <c r="D1497" t="inlineStr">
        <is>
          <t>SELL</t>
        </is>
      </c>
      <c r="E1497" t="inlineStr">
        <is>
          <t>Yes</t>
        </is>
      </c>
      <c r="F1497" s="2" t="n">
        <v>0.001</v>
      </c>
      <c r="G1497" s="6" t="n">
        <v>0.05</v>
      </c>
      <c r="H1497" s="6">
        <f>F1497*G1497</f>
        <v/>
      </c>
      <c r="I1497">
        <f>_xlfn.XLOOKUP(A1497,MktTitle,MktCat,"n/a")</f>
        <v/>
      </c>
      <c r="J1497" s="3">
        <f>_xlfn.XLOOKUP(A1497,MktTitle,MktTotVol,0)</f>
        <v/>
      </c>
      <c r="K1497">
        <f>IF(H1497&gt;WhaleThreshold,"WHALE","")</f>
        <v/>
      </c>
    </row>
    <row r="1498">
      <c r="A1498" t="inlineStr">
        <is>
          <t>Will Paraguay win the 2026 FIFA World Cup?</t>
        </is>
      </c>
      <c r="B1498" s="4" t="n">
        <v>46205</v>
      </c>
      <c r="C1498" s="5" t="n">
        <v>46205.89290509259</v>
      </c>
      <c r="D1498" t="inlineStr">
        <is>
          <t>SELL</t>
        </is>
      </c>
      <c r="E1498" t="inlineStr">
        <is>
          <t>No</t>
        </is>
      </c>
      <c r="F1498" s="2" t="n">
        <v>0.998</v>
      </c>
      <c r="G1498" s="6" t="n">
        <v>10.8</v>
      </c>
      <c r="H1498" s="6">
        <f>F1498*G1498</f>
        <v/>
      </c>
      <c r="I1498">
        <f>_xlfn.XLOOKUP(A1498,MktTitle,MktCat,"n/a")</f>
        <v/>
      </c>
      <c r="J1498" s="3">
        <f>_xlfn.XLOOKUP(A1498,MktTitle,MktTotVol,0)</f>
        <v/>
      </c>
      <c r="K1498">
        <f>IF(H1498&gt;WhaleThreshold,"WHALE","")</f>
        <v/>
      </c>
    </row>
    <row r="1499">
      <c r="A1499" t="inlineStr">
        <is>
          <t>Will Paraguay win the 2026 FIFA World Cup?</t>
        </is>
      </c>
      <c r="B1499" s="4" t="n">
        <v>46205</v>
      </c>
      <c r="C1499" s="5" t="n">
        <v>46205.89287037037</v>
      </c>
      <c r="D1499" t="inlineStr">
        <is>
          <t>SELL</t>
        </is>
      </c>
      <c r="E1499" t="inlineStr">
        <is>
          <t>Yes</t>
        </is>
      </c>
      <c r="F1499" s="2" t="n">
        <v>0.001</v>
      </c>
      <c r="G1499" s="6" t="n">
        <v>0.04</v>
      </c>
      <c r="H1499" s="6">
        <f>F1499*G1499</f>
        <v/>
      </c>
      <c r="I1499">
        <f>_xlfn.XLOOKUP(A1499,MktTitle,MktCat,"n/a")</f>
        <v/>
      </c>
      <c r="J1499" s="3">
        <f>_xlfn.XLOOKUP(A1499,MktTitle,MktTotVol,0)</f>
        <v/>
      </c>
      <c r="K1499">
        <f>IF(H1499&gt;WhaleThreshold,"WHALE","")</f>
        <v/>
      </c>
    </row>
    <row r="1500">
      <c r="A1500" t="inlineStr">
        <is>
          <t>Will Paraguay win the 2026 FIFA World Cup?</t>
        </is>
      </c>
      <c r="B1500" s="4" t="n">
        <v>46205</v>
      </c>
      <c r="C1500" s="5" t="n">
        <v>46205.89285879629</v>
      </c>
      <c r="D1500" t="inlineStr">
        <is>
          <t>SELL</t>
        </is>
      </c>
      <c r="E1500" t="inlineStr">
        <is>
          <t>No</t>
        </is>
      </c>
      <c r="F1500" s="2" t="n">
        <v>0.998</v>
      </c>
      <c r="G1500" s="6" t="n">
        <v>10.3</v>
      </c>
      <c r="H1500" s="6">
        <f>F1500*G1500</f>
        <v/>
      </c>
      <c r="I1500">
        <f>_xlfn.XLOOKUP(A1500,MktTitle,MktCat,"n/a")</f>
        <v/>
      </c>
      <c r="J1500" s="3">
        <f>_xlfn.XLOOKUP(A1500,MktTitle,MktTotVol,0)</f>
        <v/>
      </c>
      <c r="K1500">
        <f>IF(H1500&gt;WhaleThreshold,"WHALE","")</f>
        <v/>
      </c>
    </row>
    <row r="1501">
      <c r="A1501" t="inlineStr">
        <is>
          <t>Will Paraguay win the 2026 FIFA World Cup?</t>
        </is>
      </c>
      <c r="B1501" s="4" t="n">
        <v>46205</v>
      </c>
      <c r="C1501" s="5" t="n">
        <v>46205.89283564815</v>
      </c>
      <c r="D1501" t="inlineStr">
        <is>
          <t>SELL</t>
        </is>
      </c>
      <c r="E1501" t="inlineStr">
        <is>
          <t>No</t>
        </is>
      </c>
      <c r="F1501" s="2" t="n">
        <v>0.998</v>
      </c>
      <c r="G1501" s="6" t="n">
        <v>10.35</v>
      </c>
      <c r="H1501" s="6">
        <f>F1501*G1501</f>
        <v/>
      </c>
      <c r="I1501">
        <f>_xlfn.XLOOKUP(A1501,MktTitle,MktCat,"n/a")</f>
        <v/>
      </c>
      <c r="J1501" s="3">
        <f>_xlfn.XLOOKUP(A1501,MktTitle,MktTotVol,0)</f>
        <v/>
      </c>
      <c r="K1501">
        <f>IF(H1501&gt;WhaleThreshold,"WHALE","")</f>
        <v/>
      </c>
    </row>
    <row r="1502">
      <c r="A1502" t="inlineStr">
        <is>
          <t>Will Egypt win the 2026 FIFA World Cup?</t>
        </is>
      </c>
      <c r="B1502" s="4" t="n">
        <v>46206</v>
      </c>
      <c r="C1502" s="5" t="n">
        <v>46206.08658564815</v>
      </c>
      <c r="D1502" t="inlineStr">
        <is>
          <t>SELL</t>
        </is>
      </c>
      <c r="E1502" t="inlineStr">
        <is>
          <t>No</t>
        </is>
      </c>
      <c r="F1502" s="2" t="n">
        <v>0.998</v>
      </c>
      <c r="G1502" s="6" t="n">
        <v>7.01</v>
      </c>
      <c r="H1502" s="6">
        <f>F1502*G1502</f>
        <v/>
      </c>
      <c r="I1502">
        <f>_xlfn.XLOOKUP(A1502,MktTitle,MktCat,"n/a")</f>
        <v/>
      </c>
      <c r="J1502" s="3">
        <f>_xlfn.XLOOKUP(A1502,MktTitle,MktTotVol,0)</f>
        <v/>
      </c>
      <c r="K1502">
        <f>IF(H1502&gt;WhaleThreshold,"WHALE","")</f>
        <v/>
      </c>
    </row>
    <row r="1503">
      <c r="A1503" t="inlineStr">
        <is>
          <t>Will Egypt win the 2026 FIFA World Cup?</t>
        </is>
      </c>
      <c r="B1503" s="4" t="n">
        <v>46206</v>
      </c>
      <c r="C1503" s="5" t="n">
        <v>46206.08648148148</v>
      </c>
      <c r="D1503" t="inlineStr">
        <is>
          <t>SELL</t>
        </is>
      </c>
      <c r="E1503" t="inlineStr">
        <is>
          <t>No</t>
        </is>
      </c>
      <c r="F1503" s="2" t="n">
        <v>0.998</v>
      </c>
      <c r="G1503" s="6" t="n">
        <v>1.46</v>
      </c>
      <c r="H1503" s="6">
        <f>F1503*G1503</f>
        <v/>
      </c>
      <c r="I1503">
        <f>_xlfn.XLOOKUP(A1503,MktTitle,MktCat,"n/a")</f>
        <v/>
      </c>
      <c r="J1503" s="3">
        <f>_xlfn.XLOOKUP(A1503,MktTitle,MktTotVol,0)</f>
        <v/>
      </c>
      <c r="K1503">
        <f>IF(H1503&gt;WhaleThreshold,"WHALE","")</f>
        <v/>
      </c>
    </row>
    <row r="1504">
      <c r="A1504" t="inlineStr">
        <is>
          <t>Will Egypt win the 2026 FIFA World Cup?</t>
        </is>
      </c>
      <c r="B1504" s="4" t="n">
        <v>46206</v>
      </c>
      <c r="C1504" s="5" t="n">
        <v>46206.08634259259</v>
      </c>
      <c r="D1504" t="inlineStr">
        <is>
          <t>BUY</t>
        </is>
      </c>
      <c r="E1504" t="inlineStr">
        <is>
          <t>No</t>
        </is>
      </c>
      <c r="F1504" s="2" t="n">
        <v>0.999</v>
      </c>
      <c r="G1504" s="6" t="n">
        <v>1.461</v>
      </c>
      <c r="H1504" s="6">
        <f>F1504*G1504</f>
        <v/>
      </c>
      <c r="I1504">
        <f>_xlfn.XLOOKUP(A1504,MktTitle,MktCat,"n/a")</f>
        <v/>
      </c>
      <c r="J1504" s="3">
        <f>_xlfn.XLOOKUP(A1504,MktTitle,MktTotVol,0)</f>
        <v/>
      </c>
      <c r="K1504">
        <f>IF(H1504&gt;WhaleThreshold,"WHALE","")</f>
        <v/>
      </c>
    </row>
    <row r="1505">
      <c r="A1505" t="inlineStr">
        <is>
          <t>Will Egypt win the 2026 FIFA World Cup?</t>
        </is>
      </c>
      <c r="B1505" s="4" t="n">
        <v>46206</v>
      </c>
      <c r="C1505" s="5" t="n">
        <v>46206.07978009259</v>
      </c>
      <c r="D1505" t="inlineStr">
        <is>
          <t>SELL</t>
        </is>
      </c>
      <c r="E1505" t="inlineStr">
        <is>
          <t>No</t>
        </is>
      </c>
      <c r="F1505" s="2" t="n">
        <v>0.998</v>
      </c>
      <c r="G1505" s="6" t="n">
        <v>53.05</v>
      </c>
      <c r="H1505" s="6">
        <f>F1505*G1505</f>
        <v/>
      </c>
      <c r="I1505">
        <f>_xlfn.XLOOKUP(A1505,MktTitle,MktCat,"n/a")</f>
        <v/>
      </c>
      <c r="J1505" s="3">
        <f>_xlfn.XLOOKUP(A1505,MktTitle,MktTotVol,0)</f>
        <v/>
      </c>
      <c r="K1505">
        <f>IF(H1505&gt;WhaleThreshold,"WHALE","")</f>
        <v/>
      </c>
    </row>
    <row r="1506">
      <c r="A1506" t="inlineStr">
        <is>
          <t>Will Egypt win the 2026 FIFA World Cup?</t>
        </is>
      </c>
      <c r="B1506" s="4" t="n">
        <v>46206</v>
      </c>
      <c r="C1506" s="5" t="n">
        <v>46206.07460648148</v>
      </c>
      <c r="D1506" t="inlineStr">
        <is>
          <t>SELL</t>
        </is>
      </c>
      <c r="E1506" t="inlineStr">
        <is>
          <t>No</t>
        </is>
      </c>
      <c r="F1506" s="2" t="n">
        <v>0.998</v>
      </c>
      <c r="G1506" s="6" t="n">
        <v>39.09</v>
      </c>
      <c r="H1506" s="6">
        <f>F1506*G1506</f>
        <v/>
      </c>
      <c r="I1506">
        <f>_xlfn.XLOOKUP(A1506,MktTitle,MktCat,"n/a")</f>
        <v/>
      </c>
      <c r="J1506" s="3">
        <f>_xlfn.XLOOKUP(A1506,MktTitle,MktTotVol,0)</f>
        <v/>
      </c>
      <c r="K1506">
        <f>IF(H1506&gt;WhaleThreshold,"WHALE","")</f>
        <v/>
      </c>
    </row>
    <row r="1507">
      <c r="A1507" t="inlineStr">
        <is>
          <t>Will Egypt win the 2026 FIFA World Cup?</t>
        </is>
      </c>
      <c r="B1507" s="4" t="n">
        <v>46206</v>
      </c>
      <c r="C1507" s="5" t="n">
        <v>46206.07042824074</v>
      </c>
      <c r="D1507" t="inlineStr">
        <is>
          <t>BUY</t>
        </is>
      </c>
      <c r="E1507" t="inlineStr">
        <is>
          <t>Yes</t>
        </is>
      </c>
      <c r="F1507" s="2" t="n">
        <v>0.002</v>
      </c>
      <c r="G1507" s="6" t="n">
        <v>5000</v>
      </c>
      <c r="H1507" s="6">
        <f>F1507*G1507</f>
        <v/>
      </c>
      <c r="I1507">
        <f>_xlfn.XLOOKUP(A1507,MktTitle,MktCat,"n/a")</f>
        <v/>
      </c>
      <c r="J1507" s="3">
        <f>_xlfn.XLOOKUP(A1507,MktTitle,MktTotVol,0)</f>
        <v/>
      </c>
      <c r="K1507">
        <f>IF(H1507&gt;WhaleThreshold,"WHALE","")</f>
        <v/>
      </c>
    </row>
    <row r="1508">
      <c r="A1508" t="inlineStr">
        <is>
          <t>Will Egypt win the 2026 FIFA World Cup?</t>
        </is>
      </c>
      <c r="B1508" s="4" t="n">
        <v>46206</v>
      </c>
      <c r="C1508" s="5" t="n">
        <v>46206.06988425926</v>
      </c>
      <c r="D1508" t="inlineStr">
        <is>
          <t>BUY</t>
        </is>
      </c>
      <c r="E1508" t="inlineStr">
        <is>
          <t>No</t>
        </is>
      </c>
      <c r="F1508" s="2" t="n">
        <v>0.999</v>
      </c>
      <c r="G1508" s="6" t="n">
        <v>30.03</v>
      </c>
      <c r="H1508" s="6">
        <f>F1508*G1508</f>
        <v/>
      </c>
      <c r="I1508">
        <f>_xlfn.XLOOKUP(A1508,MktTitle,MktCat,"n/a")</f>
        <v/>
      </c>
      <c r="J1508" s="3">
        <f>_xlfn.XLOOKUP(A1508,MktTitle,MktTotVol,0)</f>
        <v/>
      </c>
      <c r="K1508">
        <f>IF(H1508&gt;WhaleThreshold,"WHALE","")</f>
        <v/>
      </c>
    </row>
    <row r="1509">
      <c r="A1509" t="inlineStr">
        <is>
          <t>Will Egypt win the 2026 FIFA World Cup?</t>
        </is>
      </c>
      <c r="B1509" s="4" t="n">
        <v>46206</v>
      </c>
      <c r="C1509" s="5" t="n">
        <v>46206.06841435185</v>
      </c>
      <c r="D1509" t="inlineStr">
        <is>
          <t>SELL</t>
        </is>
      </c>
      <c r="E1509" t="inlineStr">
        <is>
          <t>No</t>
        </is>
      </c>
      <c r="F1509" s="2" t="n">
        <v>0.998</v>
      </c>
      <c r="G1509" s="6" t="n">
        <v>50.05</v>
      </c>
      <c r="H1509" s="6">
        <f>F1509*G1509</f>
        <v/>
      </c>
      <c r="I1509">
        <f>_xlfn.XLOOKUP(A1509,MktTitle,MktCat,"n/a")</f>
        <v/>
      </c>
      <c r="J1509" s="3">
        <f>_xlfn.XLOOKUP(A1509,MktTitle,MktTotVol,0)</f>
        <v/>
      </c>
      <c r="K1509">
        <f>IF(H1509&gt;WhaleThreshold,"WHALE","")</f>
        <v/>
      </c>
    </row>
    <row r="1510">
      <c r="A1510" t="inlineStr">
        <is>
          <t>Will Egypt win the 2026 FIFA World Cup?</t>
        </is>
      </c>
      <c r="B1510" s="4" t="n">
        <v>46206</v>
      </c>
      <c r="C1510" s="5" t="n">
        <v>46206.06407407407</v>
      </c>
      <c r="D1510" t="inlineStr">
        <is>
          <t>SELL</t>
        </is>
      </c>
      <c r="E1510" t="inlineStr">
        <is>
          <t>No</t>
        </is>
      </c>
      <c r="F1510" s="2" t="n">
        <v>0.998</v>
      </c>
      <c r="G1510" s="6" t="n">
        <v>1.06</v>
      </c>
      <c r="H1510" s="6">
        <f>F1510*G1510</f>
        <v/>
      </c>
      <c r="I1510">
        <f>_xlfn.XLOOKUP(A1510,MktTitle,MktCat,"n/a")</f>
        <v/>
      </c>
      <c r="J1510" s="3">
        <f>_xlfn.XLOOKUP(A1510,MktTitle,MktTotVol,0)</f>
        <v/>
      </c>
      <c r="K1510">
        <f>IF(H1510&gt;WhaleThreshold,"WHALE","")</f>
        <v/>
      </c>
    </row>
    <row r="1511">
      <c r="A1511" t="inlineStr">
        <is>
          <t>Will Egypt win the 2026 FIFA World Cup?</t>
        </is>
      </c>
      <c r="B1511" s="4" t="n">
        <v>46206</v>
      </c>
      <c r="C1511" s="5" t="n">
        <v>46206.06332175926</v>
      </c>
      <c r="D1511" t="inlineStr">
        <is>
          <t>BUY</t>
        </is>
      </c>
      <c r="E1511" t="inlineStr">
        <is>
          <t>Yes</t>
        </is>
      </c>
      <c r="F1511" s="2" t="n">
        <v>0.002</v>
      </c>
      <c r="G1511" s="6" t="n">
        <v>500</v>
      </c>
      <c r="H1511" s="6">
        <f>F1511*G1511</f>
        <v/>
      </c>
      <c r="I1511">
        <f>_xlfn.XLOOKUP(A1511,MktTitle,MktCat,"n/a")</f>
        <v/>
      </c>
      <c r="J1511" s="3">
        <f>_xlfn.XLOOKUP(A1511,MktTitle,MktTotVol,0)</f>
        <v/>
      </c>
      <c r="K1511">
        <f>IF(H1511&gt;WhaleThreshold,"WHALE","")</f>
        <v/>
      </c>
    </row>
    <row r="1512">
      <c r="A1512" t="inlineStr">
        <is>
          <t>Will Egypt win the 2026 FIFA World Cup?</t>
        </is>
      </c>
      <c r="B1512" s="4" t="n">
        <v>46206</v>
      </c>
      <c r="C1512" s="5" t="n">
        <v>46206.06271990741</v>
      </c>
      <c r="D1512" t="inlineStr">
        <is>
          <t>BUY</t>
        </is>
      </c>
      <c r="E1512" t="inlineStr">
        <is>
          <t>No</t>
        </is>
      </c>
      <c r="F1512" s="2" t="n">
        <v>0.999</v>
      </c>
      <c r="G1512" s="6" t="n">
        <v>11</v>
      </c>
      <c r="H1512" s="6">
        <f>F1512*G1512</f>
        <v/>
      </c>
      <c r="I1512">
        <f>_xlfn.XLOOKUP(A1512,MktTitle,MktCat,"n/a")</f>
        <v/>
      </c>
      <c r="J1512" s="3">
        <f>_xlfn.XLOOKUP(A1512,MktTitle,MktTotVol,0)</f>
        <v/>
      </c>
      <c r="K1512">
        <f>IF(H1512&gt;WhaleThreshold,"WHALE","")</f>
        <v/>
      </c>
    </row>
    <row r="1513">
      <c r="A1513" t="inlineStr">
        <is>
          <t>Will Egypt win the 2026 FIFA World Cup?</t>
        </is>
      </c>
      <c r="B1513" s="4" t="n">
        <v>46206</v>
      </c>
      <c r="C1513" s="5" t="n">
        <v>46206.06175925926</v>
      </c>
      <c r="D1513" t="inlineStr">
        <is>
          <t>SELL</t>
        </is>
      </c>
      <c r="E1513" t="inlineStr">
        <is>
          <t>No</t>
        </is>
      </c>
      <c r="F1513" s="2" t="n">
        <v>0.998</v>
      </c>
      <c r="G1513" s="6" t="n">
        <v>37.07</v>
      </c>
      <c r="H1513" s="6">
        <f>F1513*G1513</f>
        <v/>
      </c>
      <c r="I1513">
        <f>_xlfn.XLOOKUP(A1513,MktTitle,MktCat,"n/a")</f>
        <v/>
      </c>
      <c r="J1513" s="3">
        <f>_xlfn.XLOOKUP(A1513,MktTitle,MktTotVol,0)</f>
        <v/>
      </c>
      <c r="K1513">
        <f>IF(H1513&gt;WhaleThreshold,"WHALE","")</f>
        <v/>
      </c>
    </row>
    <row r="1514">
      <c r="A1514" t="inlineStr">
        <is>
          <t>Will Egypt win the 2026 FIFA World Cup?</t>
        </is>
      </c>
      <c r="B1514" s="4" t="n">
        <v>46206</v>
      </c>
      <c r="C1514" s="5" t="n">
        <v>46206.06101851852</v>
      </c>
      <c r="D1514" t="inlineStr">
        <is>
          <t>BUY</t>
        </is>
      </c>
      <c r="E1514" t="inlineStr">
        <is>
          <t>No</t>
        </is>
      </c>
      <c r="F1514" s="2" t="n">
        <v>0.999</v>
      </c>
      <c r="G1514" s="6" t="n">
        <v>9.009</v>
      </c>
      <c r="H1514" s="6">
        <f>F1514*G1514</f>
        <v/>
      </c>
      <c r="I1514">
        <f>_xlfn.XLOOKUP(A1514,MktTitle,MktCat,"n/a")</f>
        <v/>
      </c>
      <c r="J1514" s="3">
        <f>_xlfn.XLOOKUP(A1514,MktTitle,MktTotVol,0)</f>
        <v/>
      </c>
      <c r="K1514">
        <f>IF(H1514&gt;WhaleThreshold,"WHALE","")</f>
        <v/>
      </c>
    </row>
    <row r="1515">
      <c r="A1515" t="inlineStr">
        <is>
          <t>Will Egypt win the 2026 FIFA World Cup?</t>
        </is>
      </c>
      <c r="B1515" s="4" t="n">
        <v>46206</v>
      </c>
      <c r="C1515" s="5" t="n">
        <v>46206.06008101852</v>
      </c>
      <c r="D1515" t="inlineStr">
        <is>
          <t>SELL</t>
        </is>
      </c>
      <c r="E1515" t="inlineStr">
        <is>
          <t>No</t>
        </is>
      </c>
      <c r="F1515" s="2" t="n">
        <v>0.998</v>
      </c>
      <c r="G1515" s="6" t="n">
        <v>40.71</v>
      </c>
      <c r="H1515" s="6">
        <f>F1515*G1515</f>
        <v/>
      </c>
      <c r="I1515">
        <f>_xlfn.XLOOKUP(A1515,MktTitle,MktCat,"n/a")</f>
        <v/>
      </c>
      <c r="J1515" s="3">
        <f>_xlfn.XLOOKUP(A1515,MktTitle,MktTotVol,0)</f>
        <v/>
      </c>
      <c r="K1515">
        <f>IF(H1515&gt;WhaleThreshold,"WHALE","")</f>
        <v/>
      </c>
    </row>
    <row r="1516">
      <c r="A1516" t="inlineStr">
        <is>
          <t>Will Egypt win the 2026 FIFA World Cup?</t>
        </is>
      </c>
      <c r="B1516" s="4" t="n">
        <v>46206</v>
      </c>
      <c r="C1516" s="5" t="n">
        <v>46206.0588425926</v>
      </c>
      <c r="D1516" t="inlineStr">
        <is>
          <t>BUY</t>
        </is>
      </c>
      <c r="E1516" t="inlineStr">
        <is>
          <t>Yes</t>
        </is>
      </c>
      <c r="F1516" s="2" t="n">
        <v>0.002</v>
      </c>
      <c r="G1516" s="6" t="n">
        <v>125000</v>
      </c>
      <c r="H1516" s="6">
        <f>F1516*G1516</f>
        <v/>
      </c>
      <c r="I1516">
        <f>_xlfn.XLOOKUP(A1516,MktTitle,MktCat,"n/a")</f>
        <v/>
      </c>
      <c r="J1516" s="3">
        <f>_xlfn.XLOOKUP(A1516,MktTitle,MktTotVol,0)</f>
        <v/>
      </c>
      <c r="K1516">
        <f>IF(H1516&gt;WhaleThreshold,"WHALE","")</f>
        <v/>
      </c>
    </row>
    <row r="1517">
      <c r="A1517" t="inlineStr">
        <is>
          <t>Will Egypt win the 2026 FIFA World Cup?</t>
        </is>
      </c>
      <c r="B1517" s="4" t="n">
        <v>46206</v>
      </c>
      <c r="C1517" s="5" t="n">
        <v>46206.05554398148</v>
      </c>
      <c r="D1517" t="inlineStr">
        <is>
          <t>SELL</t>
        </is>
      </c>
      <c r="E1517" t="inlineStr">
        <is>
          <t>No</t>
        </is>
      </c>
      <c r="F1517" s="2" t="n">
        <v>0.998</v>
      </c>
      <c r="G1517" s="6" t="n">
        <v>25.02</v>
      </c>
      <c r="H1517" s="6">
        <f>F1517*G1517</f>
        <v/>
      </c>
      <c r="I1517">
        <f>_xlfn.XLOOKUP(A1517,MktTitle,MktCat,"n/a")</f>
        <v/>
      </c>
      <c r="J1517" s="3">
        <f>_xlfn.XLOOKUP(A1517,MktTitle,MktTotVol,0)</f>
        <v/>
      </c>
      <c r="K1517">
        <f>IF(H1517&gt;WhaleThreshold,"WHALE","")</f>
        <v/>
      </c>
    </row>
    <row r="1518">
      <c r="A1518" t="inlineStr">
        <is>
          <t>Will Egypt win the 2026 FIFA World Cup?</t>
        </is>
      </c>
      <c r="B1518" s="4" t="n">
        <v>46206</v>
      </c>
      <c r="C1518" s="5" t="n">
        <v>46206.05439814815</v>
      </c>
      <c r="D1518" t="inlineStr">
        <is>
          <t>BUY</t>
        </is>
      </c>
      <c r="E1518" t="inlineStr">
        <is>
          <t>No</t>
        </is>
      </c>
      <c r="F1518" s="2" t="n">
        <v>0.999</v>
      </c>
      <c r="G1518" s="6" t="n">
        <v>4.004</v>
      </c>
      <c r="H1518" s="6">
        <f>F1518*G1518</f>
        <v/>
      </c>
      <c r="I1518">
        <f>_xlfn.XLOOKUP(A1518,MktTitle,MktCat,"n/a")</f>
        <v/>
      </c>
      <c r="J1518" s="3">
        <f>_xlfn.XLOOKUP(A1518,MktTitle,MktTotVol,0)</f>
        <v/>
      </c>
      <c r="K1518">
        <f>IF(H1518&gt;WhaleThreshold,"WHALE","")</f>
        <v/>
      </c>
    </row>
    <row r="1519">
      <c r="A1519" t="inlineStr">
        <is>
          <t>Will Egypt win the 2026 FIFA World Cup?</t>
        </is>
      </c>
      <c r="B1519" s="4" t="n">
        <v>46206</v>
      </c>
      <c r="C1519" s="5" t="n">
        <v>46206.05202546297</v>
      </c>
      <c r="D1519" t="inlineStr">
        <is>
          <t>BUY</t>
        </is>
      </c>
      <c r="E1519" t="inlineStr">
        <is>
          <t>Yes</t>
        </is>
      </c>
      <c r="F1519" s="2" t="n">
        <v>0.002</v>
      </c>
      <c r="G1519" s="6" t="n">
        <v>2500</v>
      </c>
      <c r="H1519" s="6">
        <f>F1519*G1519</f>
        <v/>
      </c>
      <c r="I1519">
        <f>_xlfn.XLOOKUP(A1519,MktTitle,MktCat,"n/a")</f>
        <v/>
      </c>
      <c r="J1519" s="3">
        <f>_xlfn.XLOOKUP(A1519,MktTitle,MktTotVol,0)</f>
        <v/>
      </c>
      <c r="K1519">
        <f>IF(H1519&gt;WhaleThreshold,"WHALE","")</f>
        <v/>
      </c>
    </row>
    <row r="1520">
      <c r="A1520" t="inlineStr">
        <is>
          <t>Will Egypt win the 2026 FIFA World Cup?</t>
        </is>
      </c>
      <c r="B1520" s="4" t="n">
        <v>46206</v>
      </c>
      <c r="C1520" s="5" t="n">
        <v>46206.05096064815</v>
      </c>
      <c r="D1520" t="inlineStr">
        <is>
          <t>SELL</t>
        </is>
      </c>
      <c r="E1520" t="inlineStr">
        <is>
          <t>Yes</t>
        </is>
      </c>
      <c r="F1520" s="2" t="n">
        <v>0.001</v>
      </c>
      <c r="G1520" s="6" t="n">
        <v>666.66</v>
      </c>
      <c r="H1520" s="6">
        <f>F1520*G1520</f>
        <v/>
      </c>
      <c r="I1520">
        <f>_xlfn.XLOOKUP(A1520,MktTitle,MktCat,"n/a")</f>
        <v/>
      </c>
      <c r="J1520" s="3">
        <f>_xlfn.XLOOKUP(A1520,MktTitle,MktTotVol,0)</f>
        <v/>
      </c>
      <c r="K1520">
        <f>IF(H1520&gt;WhaleThreshold,"WHALE","")</f>
        <v/>
      </c>
    </row>
    <row r="1521">
      <c r="A1521" t="inlineStr">
        <is>
          <t>Will Egypt win the 2026 FIFA World Cup?</t>
        </is>
      </c>
      <c r="B1521" s="4" t="n">
        <v>46206</v>
      </c>
      <c r="C1521" s="5" t="n">
        <v>46206.05042824074</v>
      </c>
      <c r="D1521" t="inlineStr">
        <is>
          <t>BUY</t>
        </is>
      </c>
      <c r="E1521" t="inlineStr">
        <is>
          <t>Yes</t>
        </is>
      </c>
      <c r="F1521" s="2" t="n">
        <v>0.002</v>
      </c>
      <c r="G1521" s="6" t="n">
        <v>5000</v>
      </c>
      <c r="H1521" s="6">
        <f>F1521*G1521</f>
        <v/>
      </c>
      <c r="I1521">
        <f>_xlfn.XLOOKUP(A1521,MktTitle,MktCat,"n/a")</f>
        <v/>
      </c>
      <c r="J1521" s="3">
        <f>_xlfn.XLOOKUP(A1521,MktTitle,MktTotVol,0)</f>
        <v/>
      </c>
      <c r="K1521">
        <f>IF(H1521&gt;WhaleThreshold,"WHALE","")</f>
        <v/>
      </c>
    </row>
    <row r="1522">
      <c r="A1522" t="inlineStr">
        <is>
          <t>Will Egypt win the 2026 FIFA World Cup?</t>
        </is>
      </c>
      <c r="B1522" s="4" t="n">
        <v>46206</v>
      </c>
      <c r="C1522" s="5" t="n">
        <v>46206.04613425926</v>
      </c>
      <c r="D1522" t="inlineStr">
        <is>
          <t>SELL</t>
        </is>
      </c>
      <c r="E1522" t="inlineStr">
        <is>
          <t>Yes</t>
        </is>
      </c>
      <c r="F1522" s="2" t="n">
        <v>0.001</v>
      </c>
      <c r="G1522" s="6" t="n">
        <v>3619.33</v>
      </c>
      <c r="H1522" s="6">
        <f>F1522*G1522</f>
        <v/>
      </c>
      <c r="I1522">
        <f>_xlfn.XLOOKUP(A1522,MktTitle,MktCat,"n/a")</f>
        <v/>
      </c>
      <c r="J1522" s="3">
        <f>_xlfn.XLOOKUP(A1522,MktTitle,MktTotVol,0)</f>
        <v/>
      </c>
      <c r="K1522">
        <f>IF(H1522&gt;WhaleThreshold,"WHALE","")</f>
        <v/>
      </c>
    </row>
    <row r="1523">
      <c r="A1523" t="inlineStr">
        <is>
          <t>Will Egypt win the 2026 FIFA World Cup?</t>
        </is>
      </c>
      <c r="B1523" s="4" t="n">
        <v>46206</v>
      </c>
      <c r="C1523" s="5" t="n">
        <v>46206.04498842593</v>
      </c>
      <c r="D1523" t="inlineStr">
        <is>
          <t>BUY</t>
        </is>
      </c>
      <c r="E1523" t="inlineStr">
        <is>
          <t>No</t>
        </is>
      </c>
      <c r="F1523" s="2" t="n">
        <v>0.999</v>
      </c>
      <c r="G1523" s="6" t="n">
        <v>5</v>
      </c>
      <c r="H1523" s="6">
        <f>F1523*G1523</f>
        <v/>
      </c>
      <c r="I1523">
        <f>_xlfn.XLOOKUP(A1523,MktTitle,MktCat,"n/a")</f>
        <v/>
      </c>
      <c r="J1523" s="3">
        <f>_xlfn.XLOOKUP(A1523,MktTitle,MktTotVol,0)</f>
        <v/>
      </c>
      <c r="K1523">
        <f>IF(H1523&gt;WhaleThreshold,"WHALE","")</f>
        <v/>
      </c>
    </row>
    <row r="1524">
      <c r="A1524" t="inlineStr">
        <is>
          <t>Will Egypt win the 2026 FIFA World Cup?</t>
        </is>
      </c>
      <c r="B1524" s="4" t="n">
        <v>46206</v>
      </c>
      <c r="C1524" s="5" t="n">
        <v>46206.03994212963</v>
      </c>
      <c r="D1524" t="inlineStr">
        <is>
          <t>BUY</t>
        </is>
      </c>
      <c r="E1524" t="inlineStr">
        <is>
          <t>No</t>
        </is>
      </c>
      <c r="F1524" s="2" t="n">
        <v>0.999</v>
      </c>
      <c r="G1524" s="6" t="n">
        <v>30</v>
      </c>
      <c r="H1524" s="6">
        <f>F1524*G1524</f>
        <v/>
      </c>
      <c r="I1524">
        <f>_xlfn.XLOOKUP(A1524,MktTitle,MktCat,"n/a")</f>
        <v/>
      </c>
      <c r="J1524" s="3">
        <f>_xlfn.XLOOKUP(A1524,MktTitle,MktTotVol,0)</f>
        <v/>
      </c>
      <c r="K1524">
        <f>IF(H1524&gt;WhaleThreshold,"WHALE","")</f>
        <v/>
      </c>
    </row>
    <row r="1525">
      <c r="A1525" t="inlineStr">
        <is>
          <t>Will Egypt win the 2026 FIFA World Cup?</t>
        </is>
      </c>
      <c r="B1525" s="4" t="n">
        <v>46206</v>
      </c>
      <c r="C1525" s="5" t="n">
        <v>46206.03667824074</v>
      </c>
      <c r="D1525" t="inlineStr">
        <is>
          <t>BUY</t>
        </is>
      </c>
      <c r="E1525" t="inlineStr">
        <is>
          <t>Yes</t>
        </is>
      </c>
      <c r="F1525" s="2" t="n">
        <v>0.002</v>
      </c>
      <c r="G1525" s="6" t="n">
        <v>3475</v>
      </c>
      <c r="H1525" s="6">
        <f>F1525*G1525</f>
        <v/>
      </c>
      <c r="I1525">
        <f>_xlfn.XLOOKUP(A1525,MktTitle,MktCat,"n/a")</f>
        <v/>
      </c>
      <c r="J1525" s="3">
        <f>_xlfn.XLOOKUP(A1525,MktTitle,MktTotVol,0)</f>
        <v/>
      </c>
      <c r="K1525">
        <f>IF(H1525&gt;WhaleThreshold,"WHALE","")</f>
        <v/>
      </c>
    </row>
    <row r="1526">
      <c r="A1526" t="inlineStr">
        <is>
          <t>Will Egypt win the 2026 FIFA World Cup?</t>
        </is>
      </c>
      <c r="B1526" s="4" t="n">
        <v>46206</v>
      </c>
      <c r="C1526" s="5" t="n">
        <v>46206.0359837963</v>
      </c>
      <c r="D1526" t="inlineStr">
        <is>
          <t>BUY</t>
        </is>
      </c>
      <c r="E1526" t="inlineStr">
        <is>
          <t>No</t>
        </is>
      </c>
      <c r="F1526" s="2" t="n">
        <v>0.999</v>
      </c>
      <c r="G1526" s="6" t="n">
        <v>1.691</v>
      </c>
      <c r="H1526" s="6">
        <f>F1526*G1526</f>
        <v/>
      </c>
      <c r="I1526">
        <f>_xlfn.XLOOKUP(A1526,MktTitle,MktCat,"n/a")</f>
        <v/>
      </c>
      <c r="J1526" s="3">
        <f>_xlfn.XLOOKUP(A1526,MktTitle,MktTotVol,0)</f>
        <v/>
      </c>
      <c r="K1526">
        <f>IF(H1526&gt;WhaleThreshold,"WHALE","")</f>
        <v/>
      </c>
    </row>
    <row r="1527">
      <c r="A1527" t="inlineStr">
        <is>
          <t>Will Egypt win the 2026 FIFA World Cup?</t>
        </is>
      </c>
      <c r="B1527" s="4" t="n">
        <v>46206</v>
      </c>
      <c r="C1527" s="5" t="n">
        <v>46206.02619212963</v>
      </c>
      <c r="D1527" t="inlineStr">
        <is>
          <t>BUY</t>
        </is>
      </c>
      <c r="E1527" t="inlineStr">
        <is>
          <t>Yes</t>
        </is>
      </c>
      <c r="F1527" s="2" t="n">
        <v>0.002</v>
      </c>
      <c r="G1527" s="6" t="n">
        <v>2500</v>
      </c>
      <c r="H1527" s="6">
        <f>F1527*G1527</f>
        <v/>
      </c>
      <c r="I1527">
        <f>_xlfn.XLOOKUP(A1527,MktTitle,MktCat,"n/a")</f>
        <v/>
      </c>
      <c r="J1527" s="3">
        <f>_xlfn.XLOOKUP(A1527,MktTitle,MktTotVol,0)</f>
        <v/>
      </c>
      <c r="K1527">
        <f>IF(H1527&gt;WhaleThreshold,"WHALE","")</f>
        <v/>
      </c>
    </row>
    <row r="1528">
      <c r="A1528" t="inlineStr">
        <is>
          <t>Will Egypt win the 2026 FIFA World Cup?</t>
        </is>
      </c>
      <c r="B1528" s="4" t="n">
        <v>46206</v>
      </c>
      <c r="C1528" s="5" t="n">
        <v>46206.02473379629</v>
      </c>
      <c r="D1528" t="inlineStr">
        <is>
          <t>SELL</t>
        </is>
      </c>
      <c r="E1528" t="inlineStr">
        <is>
          <t>Yes</t>
        </is>
      </c>
      <c r="F1528" s="2" t="n">
        <v>0.001</v>
      </c>
      <c r="G1528" s="6" t="n">
        <v>4900</v>
      </c>
      <c r="H1528" s="6">
        <f>F1528*G1528</f>
        <v/>
      </c>
      <c r="I1528">
        <f>_xlfn.XLOOKUP(A1528,MktTitle,MktCat,"n/a")</f>
        <v/>
      </c>
      <c r="J1528" s="3">
        <f>_xlfn.XLOOKUP(A1528,MktTitle,MktTotVol,0)</f>
        <v/>
      </c>
      <c r="K1528">
        <f>IF(H1528&gt;WhaleThreshold,"WHALE","")</f>
        <v/>
      </c>
    </row>
    <row r="1529">
      <c r="A1529" t="inlineStr">
        <is>
          <t>Will Egypt win the 2026 FIFA World Cup?</t>
        </is>
      </c>
      <c r="B1529" s="4" t="n">
        <v>46206</v>
      </c>
      <c r="C1529" s="5" t="n">
        <v>46206.02403935185</v>
      </c>
      <c r="D1529" t="inlineStr">
        <is>
          <t>BUY</t>
        </is>
      </c>
      <c r="E1529" t="inlineStr">
        <is>
          <t>No</t>
        </is>
      </c>
      <c r="F1529" s="2" t="n">
        <v>0.999</v>
      </c>
      <c r="G1529" s="6" t="n">
        <v>10</v>
      </c>
      <c r="H1529" s="6">
        <f>F1529*G1529</f>
        <v/>
      </c>
      <c r="I1529">
        <f>_xlfn.XLOOKUP(A1529,MktTitle,MktCat,"n/a")</f>
        <v/>
      </c>
      <c r="J1529" s="3">
        <f>_xlfn.XLOOKUP(A1529,MktTitle,MktTotVol,0)</f>
        <v/>
      </c>
      <c r="K1529">
        <f>IF(H1529&gt;WhaleThreshold,"WHALE","")</f>
        <v/>
      </c>
    </row>
    <row r="1530">
      <c r="A1530" t="inlineStr">
        <is>
          <t>Will Egypt win the 2026 FIFA World Cup?</t>
        </is>
      </c>
      <c r="B1530" s="4" t="n">
        <v>46206</v>
      </c>
      <c r="C1530" s="5" t="n">
        <v>46206.02278935185</v>
      </c>
      <c r="D1530" t="inlineStr">
        <is>
          <t>BUY</t>
        </is>
      </c>
      <c r="E1530" t="inlineStr">
        <is>
          <t>No</t>
        </is>
      </c>
      <c r="F1530" s="2" t="n">
        <v>0.999</v>
      </c>
      <c r="G1530" s="6" t="n">
        <v>14.014</v>
      </c>
      <c r="H1530" s="6">
        <f>F1530*G1530</f>
        <v/>
      </c>
      <c r="I1530">
        <f>_xlfn.XLOOKUP(A1530,MktTitle,MktCat,"n/a")</f>
        <v/>
      </c>
      <c r="J1530" s="3">
        <f>_xlfn.XLOOKUP(A1530,MktTitle,MktTotVol,0)</f>
        <v/>
      </c>
      <c r="K1530">
        <f>IF(H1530&gt;WhaleThreshold,"WHALE","")</f>
        <v/>
      </c>
    </row>
    <row r="1531">
      <c r="A1531" t="inlineStr">
        <is>
          <t>Will Egypt win the 2026 FIFA World Cup?</t>
        </is>
      </c>
      <c r="B1531" s="4" t="n">
        <v>46206</v>
      </c>
      <c r="C1531" s="5" t="n">
        <v>46206.02064814815</v>
      </c>
      <c r="D1531" t="inlineStr">
        <is>
          <t>BUY</t>
        </is>
      </c>
      <c r="E1531" t="inlineStr">
        <is>
          <t>No</t>
        </is>
      </c>
      <c r="F1531" s="2" t="n">
        <v>0.999</v>
      </c>
      <c r="G1531" s="6" t="n">
        <v>53.043</v>
      </c>
      <c r="H1531" s="6">
        <f>F1531*G1531</f>
        <v/>
      </c>
      <c r="I1531">
        <f>_xlfn.XLOOKUP(A1531,MktTitle,MktCat,"n/a")</f>
        <v/>
      </c>
      <c r="J1531" s="3">
        <f>_xlfn.XLOOKUP(A1531,MktTitle,MktTotVol,0)</f>
        <v/>
      </c>
      <c r="K1531">
        <f>IF(H1531&gt;WhaleThreshold,"WHALE","")</f>
        <v/>
      </c>
    </row>
    <row r="1532">
      <c r="A1532" t="inlineStr">
        <is>
          <t>Will Egypt win the 2026 FIFA World Cup?</t>
        </is>
      </c>
      <c r="B1532" s="4" t="n">
        <v>46206</v>
      </c>
      <c r="C1532" s="5" t="n">
        <v>46206.01464120371</v>
      </c>
      <c r="D1532" t="inlineStr">
        <is>
          <t>BUY</t>
        </is>
      </c>
      <c r="E1532" t="inlineStr">
        <is>
          <t>No</t>
        </is>
      </c>
      <c r="F1532" s="2" t="n">
        <v>0.999</v>
      </c>
      <c r="G1532" s="6" t="n">
        <v>36.036</v>
      </c>
      <c r="H1532" s="6">
        <f>F1532*G1532</f>
        <v/>
      </c>
      <c r="I1532">
        <f>_xlfn.XLOOKUP(A1532,MktTitle,MktCat,"n/a")</f>
        <v/>
      </c>
      <c r="J1532" s="3">
        <f>_xlfn.XLOOKUP(A1532,MktTitle,MktTotVol,0)</f>
        <v/>
      </c>
      <c r="K1532">
        <f>IF(H1532&gt;WhaleThreshold,"WHALE","")</f>
        <v/>
      </c>
    </row>
    <row r="1533">
      <c r="A1533" t="inlineStr">
        <is>
          <t>Will Egypt win the 2026 FIFA World Cup?</t>
        </is>
      </c>
      <c r="B1533" s="4" t="n">
        <v>46206</v>
      </c>
      <c r="C1533" s="5" t="n">
        <v>46206.01372685185</v>
      </c>
      <c r="D1533" t="inlineStr">
        <is>
          <t>BUY</t>
        </is>
      </c>
      <c r="E1533" t="inlineStr">
        <is>
          <t>Yes</t>
        </is>
      </c>
      <c r="F1533" s="2" t="n">
        <v>0.002</v>
      </c>
      <c r="G1533" s="6" t="n">
        <v>7060</v>
      </c>
      <c r="H1533" s="6">
        <f>F1533*G1533</f>
        <v/>
      </c>
      <c r="I1533">
        <f>_xlfn.XLOOKUP(A1533,MktTitle,MktCat,"n/a")</f>
        <v/>
      </c>
      <c r="J1533" s="3">
        <f>_xlfn.XLOOKUP(A1533,MktTitle,MktTotVol,0)</f>
        <v/>
      </c>
      <c r="K1533">
        <f>IF(H1533&gt;WhaleThreshold,"WHALE","")</f>
        <v/>
      </c>
    </row>
    <row r="1534">
      <c r="A1534" t="inlineStr">
        <is>
          <t>Will Egypt win the 2026 FIFA World Cup?</t>
        </is>
      </c>
      <c r="B1534" s="4" t="n">
        <v>46206</v>
      </c>
      <c r="C1534" s="5" t="n">
        <v>46206.01212962963</v>
      </c>
      <c r="D1534" t="inlineStr">
        <is>
          <t>SELL</t>
        </is>
      </c>
      <c r="E1534" t="inlineStr">
        <is>
          <t>No</t>
        </is>
      </c>
      <c r="F1534" s="2" t="n">
        <v>0.998</v>
      </c>
      <c r="G1534" s="6" t="n">
        <v>10.01</v>
      </c>
      <c r="H1534" s="6">
        <f>F1534*G1534</f>
        <v/>
      </c>
      <c r="I1534">
        <f>_xlfn.XLOOKUP(A1534,MktTitle,MktCat,"n/a")</f>
        <v/>
      </c>
      <c r="J1534" s="3">
        <f>_xlfn.XLOOKUP(A1534,MktTitle,MktTotVol,0)</f>
        <v/>
      </c>
      <c r="K1534">
        <f>IF(H1534&gt;WhaleThreshold,"WHALE","")</f>
        <v/>
      </c>
    </row>
    <row r="1535">
      <c r="A1535" t="inlineStr">
        <is>
          <t>Will Egypt win the 2026 FIFA World Cup?</t>
        </is>
      </c>
      <c r="B1535" s="4" t="n">
        <v>46206</v>
      </c>
      <c r="C1535" s="5" t="n">
        <v>46206.0108912037</v>
      </c>
      <c r="D1535" t="inlineStr">
        <is>
          <t>BUY</t>
        </is>
      </c>
      <c r="E1535" t="inlineStr">
        <is>
          <t>No</t>
        </is>
      </c>
      <c r="F1535" s="2" t="n">
        <v>0.999</v>
      </c>
      <c r="G1535" s="6" t="n">
        <v>39.089</v>
      </c>
      <c r="H1535" s="6">
        <f>F1535*G1535</f>
        <v/>
      </c>
      <c r="I1535">
        <f>_xlfn.XLOOKUP(A1535,MktTitle,MktCat,"n/a")</f>
        <v/>
      </c>
      <c r="J1535" s="3">
        <f>_xlfn.XLOOKUP(A1535,MktTitle,MktTotVol,0)</f>
        <v/>
      </c>
      <c r="K1535">
        <f>IF(H1535&gt;WhaleThreshold,"WHALE","")</f>
        <v/>
      </c>
    </row>
    <row r="1536">
      <c r="A1536" t="inlineStr">
        <is>
          <t>Will Egypt win the 2026 FIFA World Cup?</t>
        </is>
      </c>
      <c r="B1536" s="4" t="n">
        <v>46206</v>
      </c>
      <c r="C1536" s="5" t="n">
        <v>46206.00467592593</v>
      </c>
      <c r="D1536" t="inlineStr">
        <is>
          <t>SELL</t>
        </is>
      </c>
      <c r="E1536" t="inlineStr">
        <is>
          <t>No</t>
        </is>
      </c>
      <c r="F1536" s="2" t="n">
        <v>0.998</v>
      </c>
      <c r="G1536" s="6" t="n">
        <v>74</v>
      </c>
      <c r="H1536" s="6">
        <f>F1536*G1536</f>
        <v/>
      </c>
      <c r="I1536">
        <f>_xlfn.XLOOKUP(A1536,MktTitle,MktCat,"n/a")</f>
        <v/>
      </c>
      <c r="J1536" s="3">
        <f>_xlfn.XLOOKUP(A1536,MktTitle,MktTotVol,0)</f>
        <v/>
      </c>
      <c r="K1536">
        <f>IF(H1536&gt;WhaleThreshold,"WHALE","")</f>
        <v/>
      </c>
    </row>
    <row r="1537">
      <c r="A1537" t="inlineStr">
        <is>
          <t>Will Egypt win the 2026 FIFA World Cup?</t>
        </is>
      </c>
      <c r="B1537" s="4" t="n">
        <v>46205</v>
      </c>
      <c r="C1537" s="5" t="n">
        <v>46205.99417824074</v>
      </c>
      <c r="D1537" t="inlineStr">
        <is>
          <t>SELL</t>
        </is>
      </c>
      <c r="E1537" t="inlineStr">
        <is>
          <t>No</t>
        </is>
      </c>
      <c r="F1537" s="2" t="n">
        <v>0.998</v>
      </c>
      <c r="G1537" s="6" t="n">
        <v>0.48</v>
      </c>
      <c r="H1537" s="6">
        <f>F1537*G1537</f>
        <v/>
      </c>
      <c r="I1537">
        <f>_xlfn.XLOOKUP(A1537,MktTitle,MktCat,"n/a")</f>
        <v/>
      </c>
      <c r="J1537" s="3">
        <f>_xlfn.XLOOKUP(A1537,MktTitle,MktTotVol,0)</f>
        <v/>
      </c>
      <c r="K1537">
        <f>IF(H1537&gt;WhaleThreshold,"WHALE","")</f>
        <v/>
      </c>
    </row>
    <row r="1538">
      <c r="A1538" t="inlineStr">
        <is>
          <t>Will Egypt win the 2026 FIFA World Cup?</t>
        </is>
      </c>
      <c r="B1538" s="4" t="n">
        <v>46205</v>
      </c>
      <c r="C1538" s="5" t="n">
        <v>46205.98608796296</v>
      </c>
      <c r="D1538" t="inlineStr">
        <is>
          <t>BUY</t>
        </is>
      </c>
      <c r="E1538" t="inlineStr">
        <is>
          <t>No</t>
        </is>
      </c>
      <c r="F1538" s="2" t="n">
        <v>0.999</v>
      </c>
      <c r="G1538" s="6" t="n">
        <v>37.067</v>
      </c>
      <c r="H1538" s="6">
        <f>F1538*G1538</f>
        <v/>
      </c>
      <c r="I1538">
        <f>_xlfn.XLOOKUP(A1538,MktTitle,MktCat,"n/a")</f>
        <v/>
      </c>
      <c r="J1538" s="3">
        <f>_xlfn.XLOOKUP(A1538,MktTitle,MktTotVol,0)</f>
        <v/>
      </c>
      <c r="K1538">
        <f>IF(H1538&gt;WhaleThreshold,"WHALE","")</f>
        <v/>
      </c>
    </row>
    <row r="1539">
      <c r="A1539" t="inlineStr">
        <is>
          <t>Will Egypt win the 2026 FIFA World Cup?</t>
        </is>
      </c>
      <c r="B1539" s="4" t="n">
        <v>46205</v>
      </c>
      <c r="C1539" s="5" t="n">
        <v>46205.98505787037</v>
      </c>
      <c r="D1539" t="inlineStr">
        <is>
          <t>SELL</t>
        </is>
      </c>
      <c r="E1539" t="inlineStr">
        <is>
          <t>No</t>
        </is>
      </c>
      <c r="F1539" s="2" t="n">
        <v>0.998</v>
      </c>
      <c r="G1539" s="6" t="n">
        <v>10.01</v>
      </c>
      <c r="H1539" s="6">
        <f>F1539*G1539</f>
        <v/>
      </c>
      <c r="I1539">
        <f>_xlfn.XLOOKUP(A1539,MktTitle,MktCat,"n/a")</f>
        <v/>
      </c>
      <c r="J1539" s="3">
        <f>_xlfn.XLOOKUP(A1539,MktTitle,MktTotVol,0)</f>
        <v/>
      </c>
      <c r="K1539">
        <f>IF(H1539&gt;WhaleThreshold,"WHALE","")</f>
        <v/>
      </c>
    </row>
    <row r="1540">
      <c r="A1540" t="inlineStr">
        <is>
          <t>Will Egypt win the 2026 FIFA World Cup?</t>
        </is>
      </c>
      <c r="B1540" s="4" t="n">
        <v>46205</v>
      </c>
      <c r="C1540" s="5" t="n">
        <v>46205.98245370371</v>
      </c>
      <c r="D1540" t="inlineStr">
        <is>
          <t>BUY</t>
        </is>
      </c>
      <c r="E1540" t="inlineStr">
        <is>
          <t>No</t>
        </is>
      </c>
      <c r="F1540" s="2" t="n">
        <v>0.999</v>
      </c>
      <c r="G1540" s="6" t="n">
        <v>40.71</v>
      </c>
      <c r="H1540" s="6">
        <f>F1540*G1540</f>
        <v/>
      </c>
      <c r="I1540">
        <f>_xlfn.XLOOKUP(A1540,MktTitle,MktCat,"n/a")</f>
        <v/>
      </c>
      <c r="J1540" s="3">
        <f>_xlfn.XLOOKUP(A1540,MktTitle,MktTotVol,0)</f>
        <v/>
      </c>
      <c r="K1540">
        <f>IF(H1540&gt;WhaleThreshold,"WHALE","")</f>
        <v/>
      </c>
    </row>
    <row r="1541">
      <c r="A1541" t="inlineStr">
        <is>
          <t>Will Egypt win the 2026 FIFA World Cup?</t>
        </is>
      </c>
      <c r="B1541" s="4" t="n">
        <v>46205</v>
      </c>
      <c r="C1541" s="5" t="n">
        <v>46205.98155092593</v>
      </c>
      <c r="D1541" t="inlineStr">
        <is>
          <t>BUY</t>
        </is>
      </c>
      <c r="E1541" t="inlineStr">
        <is>
          <t>No</t>
        </is>
      </c>
      <c r="F1541" s="2" t="n">
        <v>0.999</v>
      </c>
      <c r="G1541" s="6" t="n">
        <v>26.026</v>
      </c>
      <c r="H1541" s="6">
        <f>F1541*G1541</f>
        <v/>
      </c>
      <c r="I1541">
        <f>_xlfn.XLOOKUP(A1541,MktTitle,MktCat,"n/a")</f>
        <v/>
      </c>
      <c r="J1541" s="3">
        <f>_xlfn.XLOOKUP(A1541,MktTitle,MktTotVol,0)</f>
        <v/>
      </c>
      <c r="K1541">
        <f>IF(H1541&gt;WhaleThreshold,"WHALE","")</f>
        <v/>
      </c>
    </row>
    <row r="1542">
      <c r="A1542" t="inlineStr">
        <is>
          <t>Will Egypt win the 2026 FIFA World Cup?</t>
        </is>
      </c>
      <c r="B1542" s="4" t="n">
        <v>46205</v>
      </c>
      <c r="C1542" s="5" t="n">
        <v>46205.97956018519</v>
      </c>
      <c r="D1542" t="inlineStr">
        <is>
          <t>SELL</t>
        </is>
      </c>
      <c r="E1542" t="inlineStr">
        <is>
          <t>No</t>
        </is>
      </c>
      <c r="F1542" s="2" t="n">
        <v>0.998</v>
      </c>
      <c r="G1542" s="6" t="n">
        <v>0.61</v>
      </c>
      <c r="H1542" s="6">
        <f>F1542*G1542</f>
        <v/>
      </c>
      <c r="I1542">
        <f>_xlfn.XLOOKUP(A1542,MktTitle,MktCat,"n/a")</f>
        <v/>
      </c>
      <c r="J1542" s="3">
        <f>_xlfn.XLOOKUP(A1542,MktTitle,MktTotVol,0)</f>
        <v/>
      </c>
      <c r="K1542">
        <f>IF(H1542&gt;WhaleThreshold,"WHALE","")</f>
        <v/>
      </c>
    </row>
    <row r="1543">
      <c r="A1543" t="inlineStr">
        <is>
          <t>Will Egypt win the 2026 FIFA World Cup?</t>
        </is>
      </c>
      <c r="B1543" s="4" t="n">
        <v>46205</v>
      </c>
      <c r="C1543" s="5" t="n">
        <v>46205.97637731482</v>
      </c>
      <c r="D1543" t="inlineStr">
        <is>
          <t>SELL</t>
        </is>
      </c>
      <c r="E1543" t="inlineStr">
        <is>
          <t>No</t>
        </is>
      </c>
      <c r="F1543" s="2" t="n">
        <v>0.998</v>
      </c>
      <c r="G1543" s="6" t="n">
        <v>0.13</v>
      </c>
      <c r="H1543" s="6">
        <f>F1543*G1543</f>
        <v/>
      </c>
      <c r="I1543">
        <f>_xlfn.XLOOKUP(A1543,MktTitle,MktCat,"n/a")</f>
        <v/>
      </c>
      <c r="J1543" s="3">
        <f>_xlfn.XLOOKUP(A1543,MktTitle,MktTotVol,0)</f>
        <v/>
      </c>
      <c r="K1543">
        <f>IF(H1543&gt;WhaleThreshold,"WHALE","")</f>
        <v/>
      </c>
    </row>
    <row r="1544">
      <c r="A1544" t="inlineStr">
        <is>
          <t>Will Egypt win the 2026 FIFA World Cup?</t>
        </is>
      </c>
      <c r="B1544" s="4" t="n">
        <v>46205</v>
      </c>
      <c r="C1544" s="5" t="n">
        <v>46205.97578703704</v>
      </c>
      <c r="D1544" t="inlineStr">
        <is>
          <t>BUY</t>
        </is>
      </c>
      <c r="E1544" t="inlineStr">
        <is>
          <t>No</t>
        </is>
      </c>
      <c r="F1544" s="2" t="n">
        <v>0.999</v>
      </c>
      <c r="G1544" s="6" t="n">
        <v>51.86</v>
      </c>
      <c r="H1544" s="6">
        <f>F1544*G1544</f>
        <v/>
      </c>
      <c r="I1544">
        <f>_xlfn.XLOOKUP(A1544,MktTitle,MktCat,"n/a")</f>
        <v/>
      </c>
      <c r="J1544" s="3">
        <f>_xlfn.XLOOKUP(A1544,MktTitle,MktTotVol,0)</f>
        <v/>
      </c>
      <c r="K1544">
        <f>IF(H1544&gt;WhaleThreshold,"WHALE","")</f>
        <v/>
      </c>
    </row>
    <row r="1545">
      <c r="A1545" t="inlineStr">
        <is>
          <t>Will Egypt win the 2026 FIFA World Cup?</t>
        </is>
      </c>
      <c r="B1545" s="4" t="n">
        <v>46205</v>
      </c>
      <c r="C1545" s="5" t="n">
        <v>46205.97574074074</v>
      </c>
      <c r="D1545" t="inlineStr">
        <is>
          <t>BUY</t>
        </is>
      </c>
      <c r="E1545" t="inlineStr">
        <is>
          <t>No</t>
        </is>
      </c>
      <c r="F1545" s="2" t="n">
        <v>0.999</v>
      </c>
      <c r="G1545" s="6" t="n">
        <v>50.3</v>
      </c>
      <c r="H1545" s="6">
        <f>F1545*G1545</f>
        <v/>
      </c>
      <c r="I1545">
        <f>_xlfn.XLOOKUP(A1545,MktTitle,MktCat,"n/a")</f>
        <v/>
      </c>
      <c r="J1545" s="3">
        <f>_xlfn.XLOOKUP(A1545,MktTitle,MktTotVol,0)</f>
        <v/>
      </c>
      <c r="K1545">
        <f>IF(H1545&gt;WhaleThreshold,"WHALE","")</f>
        <v/>
      </c>
    </row>
    <row r="1546">
      <c r="A1546" t="inlineStr">
        <is>
          <t>Will Egypt win the 2026 FIFA World Cup?</t>
        </is>
      </c>
      <c r="B1546" s="4" t="n">
        <v>46205</v>
      </c>
      <c r="C1546" s="5" t="n">
        <v>46205.97574074074</v>
      </c>
      <c r="D1546" t="inlineStr">
        <is>
          <t>BUY</t>
        </is>
      </c>
      <c r="E1546" t="inlineStr">
        <is>
          <t>No</t>
        </is>
      </c>
      <c r="F1546" s="2" t="n">
        <v>0.999</v>
      </c>
      <c r="G1546" s="6" t="n">
        <v>25.2</v>
      </c>
      <c r="H1546" s="6">
        <f>F1546*G1546</f>
        <v/>
      </c>
      <c r="I1546">
        <f>_xlfn.XLOOKUP(A1546,MktTitle,MktCat,"n/a")</f>
        <v/>
      </c>
      <c r="J1546" s="3">
        <f>_xlfn.XLOOKUP(A1546,MktTitle,MktTotVol,0)</f>
        <v/>
      </c>
      <c r="K1546">
        <f>IF(H1546&gt;WhaleThreshold,"WHALE","")</f>
        <v/>
      </c>
    </row>
    <row r="1547">
      <c r="A1547" t="inlineStr">
        <is>
          <t>Will Egypt win the 2026 FIFA World Cup?</t>
        </is>
      </c>
      <c r="B1547" s="4" t="n">
        <v>46205</v>
      </c>
      <c r="C1547" s="5" t="n">
        <v>46205.97571759259</v>
      </c>
      <c r="D1547" t="inlineStr">
        <is>
          <t>BUY</t>
        </is>
      </c>
      <c r="E1547" t="inlineStr">
        <is>
          <t>No</t>
        </is>
      </c>
      <c r="F1547" s="2" t="n">
        <v>0.999</v>
      </c>
      <c r="G1547" s="6" t="n">
        <v>2.95</v>
      </c>
      <c r="H1547" s="6">
        <f>F1547*G1547</f>
        <v/>
      </c>
      <c r="I1547">
        <f>_xlfn.XLOOKUP(A1547,MktTitle,MktCat,"n/a")</f>
        <v/>
      </c>
      <c r="J1547" s="3">
        <f>_xlfn.XLOOKUP(A1547,MktTitle,MktTotVol,0)</f>
        <v/>
      </c>
      <c r="K1547">
        <f>IF(H1547&gt;WhaleThreshold,"WHALE","")</f>
        <v/>
      </c>
    </row>
    <row r="1548">
      <c r="A1548" t="inlineStr">
        <is>
          <t>Will Egypt win the 2026 FIFA World Cup?</t>
        </is>
      </c>
      <c r="B1548" s="4" t="n">
        <v>46205</v>
      </c>
      <c r="C1548" s="5" t="n">
        <v>46205.97532407408</v>
      </c>
      <c r="D1548" t="inlineStr">
        <is>
          <t>BUY</t>
        </is>
      </c>
      <c r="E1548" t="inlineStr">
        <is>
          <t>No</t>
        </is>
      </c>
      <c r="F1548" s="2" t="n">
        <v>0.999</v>
      </c>
      <c r="G1548" s="6" t="n">
        <v>2.99</v>
      </c>
      <c r="H1548" s="6">
        <f>F1548*G1548</f>
        <v/>
      </c>
      <c r="I1548">
        <f>_xlfn.XLOOKUP(A1548,MktTitle,MktCat,"n/a")</f>
        <v/>
      </c>
      <c r="J1548" s="3">
        <f>_xlfn.XLOOKUP(A1548,MktTitle,MktTotVol,0)</f>
        <v/>
      </c>
      <c r="K1548">
        <f>IF(H1548&gt;WhaleThreshold,"WHALE","")</f>
        <v/>
      </c>
    </row>
    <row r="1549">
      <c r="A1549" t="inlineStr">
        <is>
          <t>Will Egypt win the 2026 FIFA World Cup?</t>
        </is>
      </c>
      <c r="B1549" s="4" t="n">
        <v>46205</v>
      </c>
      <c r="C1549" s="5" t="n">
        <v>46205.97530092593</v>
      </c>
      <c r="D1549" t="inlineStr">
        <is>
          <t>BUY</t>
        </is>
      </c>
      <c r="E1549" t="inlineStr">
        <is>
          <t>No</t>
        </is>
      </c>
      <c r="F1549" s="2" t="n">
        <v>0.999</v>
      </c>
      <c r="G1549" s="6" t="n">
        <v>24.6</v>
      </c>
      <c r="H1549" s="6">
        <f>F1549*G1549</f>
        <v/>
      </c>
      <c r="I1549">
        <f>_xlfn.XLOOKUP(A1549,MktTitle,MktCat,"n/a")</f>
        <v/>
      </c>
      <c r="J1549" s="3">
        <f>_xlfn.XLOOKUP(A1549,MktTitle,MktTotVol,0)</f>
        <v/>
      </c>
      <c r="K1549">
        <f>IF(H1549&gt;WhaleThreshold,"WHALE","")</f>
        <v/>
      </c>
    </row>
    <row r="1550">
      <c r="A1550" t="inlineStr">
        <is>
          <t>Will Egypt win the 2026 FIFA World Cup?</t>
        </is>
      </c>
      <c r="B1550" s="4" t="n">
        <v>46205</v>
      </c>
      <c r="C1550" s="5" t="n">
        <v>46205.97528935185</v>
      </c>
      <c r="D1550" t="inlineStr">
        <is>
          <t>BUY</t>
        </is>
      </c>
      <c r="E1550" t="inlineStr">
        <is>
          <t>No</t>
        </is>
      </c>
      <c r="F1550" s="2" t="n">
        <v>0.999</v>
      </c>
      <c r="G1550" s="6" t="n">
        <v>49.2</v>
      </c>
      <c r="H1550" s="6">
        <f>F1550*G1550</f>
        <v/>
      </c>
      <c r="I1550">
        <f>_xlfn.XLOOKUP(A1550,MktTitle,MktCat,"n/a")</f>
        <v/>
      </c>
      <c r="J1550" s="3">
        <f>_xlfn.XLOOKUP(A1550,MktTitle,MktTotVol,0)</f>
        <v/>
      </c>
      <c r="K1550">
        <f>IF(H1550&gt;WhaleThreshold,"WHALE","")</f>
        <v/>
      </c>
    </row>
    <row r="1551">
      <c r="A1551" t="inlineStr">
        <is>
          <t>Will Egypt win the 2026 FIFA World Cup?</t>
        </is>
      </c>
      <c r="B1551" s="4" t="n">
        <v>46205</v>
      </c>
      <c r="C1551" s="5" t="n">
        <v>46205.97525462963</v>
      </c>
      <c r="D1551" t="inlineStr">
        <is>
          <t>BUY</t>
        </is>
      </c>
      <c r="E1551" t="inlineStr">
        <is>
          <t>No</t>
        </is>
      </c>
      <c r="F1551" s="2" t="n">
        <v>0.999</v>
      </c>
      <c r="G1551" s="6" t="n">
        <v>55.02</v>
      </c>
      <c r="H1551" s="6">
        <f>F1551*G1551</f>
        <v/>
      </c>
      <c r="I1551">
        <f>_xlfn.XLOOKUP(A1551,MktTitle,MktCat,"n/a")</f>
        <v/>
      </c>
      <c r="J1551" s="3">
        <f>_xlfn.XLOOKUP(A1551,MktTitle,MktTotVol,0)</f>
        <v/>
      </c>
      <c r="K1551">
        <f>IF(H1551&gt;WhaleThreshold,"WHALE","")</f>
        <v/>
      </c>
    </row>
    <row r="1552">
      <c r="A1552" t="inlineStr">
        <is>
          <t>Will Egypt win the 2026 FIFA World Cup?</t>
        </is>
      </c>
      <c r="B1552" s="4" t="n">
        <v>46205</v>
      </c>
      <c r="C1552" s="5" t="n">
        <v>46205.97518518518</v>
      </c>
      <c r="D1552" t="inlineStr">
        <is>
          <t>BUY</t>
        </is>
      </c>
      <c r="E1552" t="inlineStr">
        <is>
          <t>No</t>
        </is>
      </c>
      <c r="F1552" s="2" t="n">
        <v>0.999</v>
      </c>
      <c r="G1552" s="6" t="n">
        <v>10</v>
      </c>
      <c r="H1552" s="6">
        <f>F1552*G1552</f>
        <v/>
      </c>
      <c r="I1552">
        <f>_xlfn.XLOOKUP(A1552,MktTitle,MktCat,"n/a")</f>
        <v/>
      </c>
      <c r="J1552" s="3">
        <f>_xlfn.XLOOKUP(A1552,MktTitle,MktTotVol,0)</f>
        <v/>
      </c>
      <c r="K1552">
        <f>IF(H1552&gt;WhaleThreshold,"WHALE","")</f>
        <v/>
      </c>
    </row>
    <row r="1553">
      <c r="A1553" t="inlineStr">
        <is>
          <t>Will Egypt win the 2026 FIFA World Cup?</t>
        </is>
      </c>
      <c r="B1553" s="4" t="n">
        <v>46205</v>
      </c>
      <c r="C1553" s="5" t="n">
        <v>46205.97518518518</v>
      </c>
      <c r="D1553" t="inlineStr">
        <is>
          <t>BUY</t>
        </is>
      </c>
      <c r="E1553" t="inlineStr">
        <is>
          <t>No</t>
        </is>
      </c>
      <c r="F1553" s="2" t="n">
        <v>0.999</v>
      </c>
      <c r="G1553" s="6" t="n">
        <v>3.15</v>
      </c>
      <c r="H1553" s="6">
        <f>F1553*G1553</f>
        <v/>
      </c>
      <c r="I1553">
        <f>_xlfn.XLOOKUP(A1553,MktTitle,MktCat,"n/a")</f>
        <v/>
      </c>
      <c r="J1553" s="3">
        <f>_xlfn.XLOOKUP(A1553,MktTitle,MktTotVol,0)</f>
        <v/>
      </c>
      <c r="K1553">
        <f>IF(H1553&gt;WhaleThreshold,"WHALE","")</f>
        <v/>
      </c>
    </row>
    <row r="1554">
      <c r="A1554" t="inlineStr">
        <is>
          <t>Will Egypt win the 2026 FIFA World Cup?</t>
        </is>
      </c>
      <c r="B1554" s="4" t="n">
        <v>46205</v>
      </c>
      <c r="C1554" s="5" t="n">
        <v>46205.97515046296</v>
      </c>
      <c r="D1554" t="inlineStr">
        <is>
          <t>BUY</t>
        </is>
      </c>
      <c r="E1554" t="inlineStr">
        <is>
          <t>No</t>
        </is>
      </c>
      <c r="F1554" s="2" t="n">
        <v>0.999</v>
      </c>
      <c r="G1554" s="6" t="n">
        <v>90</v>
      </c>
      <c r="H1554" s="6">
        <f>F1554*G1554</f>
        <v/>
      </c>
      <c r="I1554">
        <f>_xlfn.XLOOKUP(A1554,MktTitle,MktCat,"n/a")</f>
        <v/>
      </c>
      <c r="J1554" s="3">
        <f>_xlfn.XLOOKUP(A1554,MktTitle,MktTotVol,0)</f>
        <v/>
      </c>
      <c r="K1554">
        <f>IF(H1554&gt;WhaleThreshold,"WHALE","")</f>
        <v/>
      </c>
    </row>
    <row r="1555">
      <c r="A1555" t="inlineStr">
        <is>
          <t>Will Egypt win the 2026 FIFA World Cup?</t>
        </is>
      </c>
      <c r="B1555" s="4" t="n">
        <v>46205</v>
      </c>
      <c r="C1555" s="5" t="n">
        <v>46205.97512731481</v>
      </c>
      <c r="D1555" t="inlineStr">
        <is>
          <t>BUY</t>
        </is>
      </c>
      <c r="E1555" t="inlineStr">
        <is>
          <t>No</t>
        </is>
      </c>
      <c r="F1555" s="2" t="n">
        <v>0.999</v>
      </c>
      <c r="G1555" s="6" t="n">
        <v>110</v>
      </c>
      <c r="H1555" s="6">
        <f>F1555*G1555</f>
        <v/>
      </c>
      <c r="I1555">
        <f>_xlfn.XLOOKUP(A1555,MktTitle,MktCat,"n/a")</f>
        <v/>
      </c>
      <c r="J1555" s="3">
        <f>_xlfn.XLOOKUP(A1555,MktTitle,MktTotVol,0)</f>
        <v/>
      </c>
      <c r="K1555">
        <f>IF(H1555&gt;WhaleThreshold,"WHALE","")</f>
        <v/>
      </c>
    </row>
    <row r="1556">
      <c r="A1556" t="inlineStr">
        <is>
          <t>Will Egypt win the 2026 FIFA World Cup?</t>
        </is>
      </c>
      <c r="B1556" s="4" t="n">
        <v>46205</v>
      </c>
      <c r="C1556" s="5" t="n">
        <v>46205.97512731481</v>
      </c>
      <c r="D1556" t="inlineStr">
        <is>
          <t>BUY</t>
        </is>
      </c>
      <c r="E1556" t="inlineStr">
        <is>
          <t>No</t>
        </is>
      </c>
      <c r="F1556" s="2" t="n">
        <v>0.999</v>
      </c>
      <c r="G1556" s="6" t="n">
        <v>24.9</v>
      </c>
      <c r="H1556" s="6">
        <f>F1556*G1556</f>
        <v/>
      </c>
      <c r="I1556">
        <f>_xlfn.XLOOKUP(A1556,MktTitle,MktCat,"n/a")</f>
        <v/>
      </c>
      <c r="J1556" s="3">
        <f>_xlfn.XLOOKUP(A1556,MktTitle,MktTotVol,0)</f>
        <v/>
      </c>
      <c r="K1556">
        <f>IF(H1556&gt;WhaleThreshold,"WHALE","")</f>
        <v/>
      </c>
    </row>
    <row r="1557">
      <c r="A1557" t="inlineStr">
        <is>
          <t>Will Egypt win the 2026 FIFA World Cup?</t>
        </is>
      </c>
      <c r="B1557" s="4" t="n">
        <v>46205</v>
      </c>
      <c r="C1557" s="5" t="n">
        <v>46205.97511574074</v>
      </c>
      <c r="D1557" t="inlineStr">
        <is>
          <t>BUY</t>
        </is>
      </c>
      <c r="E1557" t="inlineStr">
        <is>
          <t>No</t>
        </is>
      </c>
      <c r="F1557" s="2" t="n">
        <v>0.999</v>
      </c>
      <c r="G1557" s="6" t="n">
        <v>110</v>
      </c>
      <c r="H1557" s="6">
        <f>F1557*G1557</f>
        <v/>
      </c>
      <c r="I1557">
        <f>_xlfn.XLOOKUP(A1557,MktTitle,MktCat,"n/a")</f>
        <v/>
      </c>
      <c r="J1557" s="3">
        <f>_xlfn.XLOOKUP(A1557,MktTitle,MktTotVol,0)</f>
        <v/>
      </c>
      <c r="K1557">
        <f>IF(H1557&gt;WhaleThreshold,"WHALE","")</f>
        <v/>
      </c>
    </row>
    <row r="1558">
      <c r="A1558" t="inlineStr">
        <is>
          <t>Will Egypt win the 2026 FIFA World Cup?</t>
        </is>
      </c>
      <c r="B1558" s="4" t="n">
        <v>46205</v>
      </c>
      <c r="C1558" s="5" t="n">
        <v>46205.97511574074</v>
      </c>
      <c r="D1558" t="inlineStr">
        <is>
          <t>BUY</t>
        </is>
      </c>
      <c r="E1558" t="inlineStr">
        <is>
          <t>No</t>
        </is>
      </c>
      <c r="F1558" s="2" t="n">
        <v>0.999</v>
      </c>
      <c r="G1558" s="6" t="n">
        <v>49.8</v>
      </c>
      <c r="H1558" s="6">
        <f>F1558*G1558</f>
        <v/>
      </c>
      <c r="I1558">
        <f>_xlfn.XLOOKUP(A1558,MktTitle,MktCat,"n/a")</f>
        <v/>
      </c>
      <c r="J1558" s="3">
        <f>_xlfn.XLOOKUP(A1558,MktTitle,MktTotVol,0)</f>
        <v/>
      </c>
      <c r="K1558">
        <f>IF(H1558&gt;WhaleThreshold,"WHALE","")</f>
        <v/>
      </c>
    </row>
    <row r="1559">
      <c r="A1559" t="inlineStr">
        <is>
          <t>Will Egypt win the 2026 FIFA World Cup?</t>
        </is>
      </c>
      <c r="B1559" s="4" t="n">
        <v>46205</v>
      </c>
      <c r="C1559" s="5" t="n">
        <v>46205.97511574074</v>
      </c>
      <c r="D1559" t="inlineStr">
        <is>
          <t>BUY</t>
        </is>
      </c>
      <c r="E1559" t="inlineStr">
        <is>
          <t>No</t>
        </is>
      </c>
      <c r="F1559" s="2" t="n">
        <v>0.999</v>
      </c>
      <c r="G1559" s="6" t="n">
        <v>110</v>
      </c>
      <c r="H1559" s="6">
        <f>F1559*G1559</f>
        <v/>
      </c>
      <c r="I1559">
        <f>_xlfn.XLOOKUP(A1559,MktTitle,MktCat,"n/a")</f>
        <v/>
      </c>
      <c r="J1559" s="3">
        <f>_xlfn.XLOOKUP(A1559,MktTitle,MktTotVol,0)</f>
        <v/>
      </c>
      <c r="K1559">
        <f>IF(H1559&gt;WhaleThreshold,"WHALE","")</f>
        <v/>
      </c>
    </row>
    <row r="1560">
      <c r="A1560" t="inlineStr">
        <is>
          <t>Will Egypt win the 2026 FIFA World Cup?</t>
        </is>
      </c>
      <c r="B1560" s="4" t="n">
        <v>46205</v>
      </c>
      <c r="C1560" s="5" t="n">
        <v>46205.97511574074</v>
      </c>
      <c r="D1560" t="inlineStr">
        <is>
          <t>BUY</t>
        </is>
      </c>
      <c r="E1560" t="inlineStr">
        <is>
          <t>No</t>
        </is>
      </c>
      <c r="F1560" s="2" t="n">
        <v>0.999</v>
      </c>
      <c r="G1560" s="6" t="n">
        <v>110</v>
      </c>
      <c r="H1560" s="6">
        <f>F1560*G1560</f>
        <v/>
      </c>
      <c r="I1560">
        <f>_xlfn.XLOOKUP(A1560,MktTitle,MktCat,"n/a")</f>
        <v/>
      </c>
      <c r="J1560" s="3">
        <f>_xlfn.XLOOKUP(A1560,MktTitle,MktTotVol,0)</f>
        <v/>
      </c>
      <c r="K1560">
        <f>IF(H1560&gt;WhaleThreshold,"WHALE","")</f>
        <v/>
      </c>
    </row>
    <row r="1561">
      <c r="A1561" t="inlineStr">
        <is>
          <t>Will Egypt win the 2026 FIFA World Cup?</t>
        </is>
      </c>
      <c r="B1561" s="4" t="n">
        <v>46205</v>
      </c>
      <c r="C1561" s="5" t="n">
        <v>46205.97511574074</v>
      </c>
      <c r="D1561" t="inlineStr">
        <is>
          <t>BUY</t>
        </is>
      </c>
      <c r="E1561" t="inlineStr">
        <is>
          <t>No</t>
        </is>
      </c>
      <c r="F1561" s="2" t="n">
        <v>0.999</v>
      </c>
      <c r="G1561" s="6" t="n">
        <v>58.02</v>
      </c>
      <c r="H1561" s="6">
        <f>F1561*G1561</f>
        <v/>
      </c>
      <c r="I1561">
        <f>_xlfn.XLOOKUP(A1561,MktTitle,MktCat,"n/a")</f>
        <v/>
      </c>
      <c r="J1561" s="3">
        <f>_xlfn.XLOOKUP(A1561,MktTitle,MktTotVol,0)</f>
        <v/>
      </c>
      <c r="K1561">
        <f>IF(H1561&gt;WhaleThreshold,"WHALE","")</f>
        <v/>
      </c>
    </row>
    <row r="1562">
      <c r="A1562" t="inlineStr">
        <is>
          <t>Will Egypt win the 2026 FIFA World Cup?</t>
        </is>
      </c>
      <c r="B1562" s="4" t="n">
        <v>46205</v>
      </c>
      <c r="C1562" s="5" t="n">
        <v>46205.97497685185</v>
      </c>
      <c r="D1562" t="inlineStr">
        <is>
          <t>BUY</t>
        </is>
      </c>
      <c r="E1562" t="inlineStr">
        <is>
          <t>No</t>
        </is>
      </c>
      <c r="F1562" s="2" t="n">
        <v>0.999</v>
      </c>
      <c r="G1562" s="6" t="n">
        <v>73.59999999999999</v>
      </c>
      <c r="H1562" s="6">
        <f>F1562*G1562</f>
        <v/>
      </c>
      <c r="I1562">
        <f>_xlfn.XLOOKUP(A1562,MktTitle,MktCat,"n/a")</f>
        <v/>
      </c>
      <c r="J1562" s="3">
        <f>_xlfn.XLOOKUP(A1562,MktTitle,MktTotVol,0)</f>
        <v/>
      </c>
      <c r="K1562">
        <f>IF(H1562&gt;WhaleThreshold,"WHALE","")</f>
        <v/>
      </c>
    </row>
    <row r="1563">
      <c r="A1563" t="inlineStr">
        <is>
          <t>Will Egypt win the 2026 FIFA World Cup?</t>
        </is>
      </c>
      <c r="B1563" s="4" t="n">
        <v>46205</v>
      </c>
      <c r="C1563" s="5" t="n">
        <v>46205.97497685185</v>
      </c>
      <c r="D1563" t="inlineStr">
        <is>
          <t>BUY</t>
        </is>
      </c>
      <c r="E1563" t="inlineStr">
        <is>
          <t>No</t>
        </is>
      </c>
      <c r="F1563" s="2" t="n">
        <v>0.999</v>
      </c>
      <c r="G1563" s="6" t="n">
        <v>107</v>
      </c>
      <c r="H1563" s="6">
        <f>F1563*G1563</f>
        <v/>
      </c>
      <c r="I1563">
        <f>_xlfn.XLOOKUP(A1563,MktTitle,MktCat,"n/a")</f>
        <v/>
      </c>
      <c r="J1563" s="3">
        <f>_xlfn.XLOOKUP(A1563,MktTitle,MktTotVol,0)</f>
        <v/>
      </c>
      <c r="K1563">
        <f>IF(H1563&gt;WhaleThreshold,"WHALE","")</f>
        <v/>
      </c>
    </row>
    <row r="1564">
      <c r="A1564" t="inlineStr">
        <is>
          <t>Will Egypt win the 2026 FIFA World Cup?</t>
        </is>
      </c>
      <c r="B1564" s="4" t="n">
        <v>46205</v>
      </c>
      <c r="C1564" s="5" t="n">
        <v>46205.97495370371</v>
      </c>
      <c r="D1564" t="inlineStr">
        <is>
          <t>BUY</t>
        </is>
      </c>
      <c r="E1564" t="inlineStr">
        <is>
          <t>No</t>
        </is>
      </c>
      <c r="F1564" s="2" t="n">
        <v>0.999</v>
      </c>
      <c r="G1564" s="6" t="n">
        <v>9</v>
      </c>
      <c r="H1564" s="6">
        <f>F1564*G1564</f>
        <v/>
      </c>
      <c r="I1564">
        <f>_xlfn.XLOOKUP(A1564,MktTitle,MktCat,"n/a")</f>
        <v/>
      </c>
      <c r="J1564" s="3">
        <f>_xlfn.XLOOKUP(A1564,MktTitle,MktTotVol,0)</f>
        <v/>
      </c>
      <c r="K1564">
        <f>IF(H1564&gt;WhaleThreshold,"WHALE","")</f>
        <v/>
      </c>
    </row>
    <row r="1565">
      <c r="A1565" t="inlineStr">
        <is>
          <t>Will Egypt win the 2026 FIFA World Cup?</t>
        </is>
      </c>
      <c r="B1565" s="4" t="n">
        <v>46205</v>
      </c>
      <c r="C1565" s="5" t="n">
        <v>46205.97453703704</v>
      </c>
      <c r="D1565" t="inlineStr">
        <is>
          <t>BUY</t>
        </is>
      </c>
      <c r="E1565" t="inlineStr">
        <is>
          <t>No</t>
        </is>
      </c>
      <c r="F1565" s="2" t="n">
        <v>0.999</v>
      </c>
      <c r="G1565" s="6" t="n">
        <v>10</v>
      </c>
      <c r="H1565" s="6">
        <f>F1565*G1565</f>
        <v/>
      </c>
      <c r="I1565">
        <f>_xlfn.XLOOKUP(A1565,MktTitle,MktCat,"n/a")</f>
        <v/>
      </c>
      <c r="J1565" s="3">
        <f>_xlfn.XLOOKUP(A1565,MktTitle,MktTotVol,0)</f>
        <v/>
      </c>
      <c r="K1565">
        <f>IF(H1565&gt;WhaleThreshold,"WHALE","")</f>
        <v/>
      </c>
    </row>
    <row r="1566">
      <c r="A1566" t="inlineStr">
        <is>
          <t>Will Egypt win the 2026 FIFA World Cup?</t>
        </is>
      </c>
      <c r="B1566" s="4" t="n">
        <v>46205</v>
      </c>
      <c r="C1566" s="5" t="n">
        <v>46205.97453703704</v>
      </c>
      <c r="D1566" t="inlineStr">
        <is>
          <t>BUY</t>
        </is>
      </c>
      <c r="E1566" t="inlineStr">
        <is>
          <t>No</t>
        </is>
      </c>
      <c r="F1566" s="2" t="n">
        <v>0.999</v>
      </c>
      <c r="G1566" s="6" t="n">
        <v>15</v>
      </c>
      <c r="H1566" s="6">
        <f>F1566*G1566</f>
        <v/>
      </c>
      <c r="I1566">
        <f>_xlfn.XLOOKUP(A1566,MktTitle,MktCat,"n/a")</f>
        <v/>
      </c>
      <c r="J1566" s="3">
        <f>_xlfn.XLOOKUP(A1566,MktTitle,MktTotVol,0)</f>
        <v/>
      </c>
      <c r="K1566">
        <f>IF(H1566&gt;WhaleThreshold,"WHALE","")</f>
        <v/>
      </c>
    </row>
    <row r="1567">
      <c r="A1567" t="inlineStr">
        <is>
          <t>Will Egypt win the 2026 FIFA World Cup?</t>
        </is>
      </c>
      <c r="B1567" s="4" t="n">
        <v>46205</v>
      </c>
      <c r="C1567" s="5" t="n">
        <v>46205.97275462963</v>
      </c>
      <c r="D1567" t="inlineStr">
        <is>
          <t>BUY</t>
        </is>
      </c>
      <c r="E1567" t="inlineStr">
        <is>
          <t>No</t>
        </is>
      </c>
      <c r="F1567" s="2" t="n">
        <v>0.999</v>
      </c>
      <c r="G1567" s="6" t="n">
        <v>20</v>
      </c>
      <c r="H1567" s="6">
        <f>F1567*G1567</f>
        <v/>
      </c>
      <c r="I1567">
        <f>_xlfn.XLOOKUP(A1567,MktTitle,MktCat,"n/a")</f>
        <v/>
      </c>
      <c r="J1567" s="3">
        <f>_xlfn.XLOOKUP(A1567,MktTitle,MktTotVol,0)</f>
        <v/>
      </c>
      <c r="K1567">
        <f>IF(H1567&gt;WhaleThreshold,"WHALE","")</f>
        <v/>
      </c>
    </row>
    <row r="1568">
      <c r="A1568" t="inlineStr">
        <is>
          <t>Will Egypt win the 2026 FIFA World Cup?</t>
        </is>
      </c>
      <c r="B1568" s="4" t="n">
        <v>46205</v>
      </c>
      <c r="C1568" s="5" t="n">
        <v>46205.97252314815</v>
      </c>
      <c r="D1568" t="inlineStr">
        <is>
          <t>BUY</t>
        </is>
      </c>
      <c r="E1568" t="inlineStr">
        <is>
          <t>No</t>
        </is>
      </c>
      <c r="F1568" s="2" t="n">
        <v>0.999</v>
      </c>
      <c r="G1568" s="6" t="n">
        <v>10</v>
      </c>
      <c r="H1568" s="6">
        <f>F1568*G1568</f>
        <v/>
      </c>
      <c r="I1568">
        <f>_xlfn.XLOOKUP(A1568,MktTitle,MktCat,"n/a")</f>
        <v/>
      </c>
      <c r="J1568" s="3">
        <f>_xlfn.XLOOKUP(A1568,MktTitle,MktTotVol,0)</f>
        <v/>
      </c>
      <c r="K1568">
        <f>IF(H1568&gt;WhaleThreshold,"WHALE","")</f>
        <v/>
      </c>
    </row>
    <row r="1569">
      <c r="A1569" t="inlineStr">
        <is>
          <t>Will Egypt win the 2026 FIFA World Cup?</t>
        </is>
      </c>
      <c r="B1569" s="4" t="n">
        <v>46205</v>
      </c>
      <c r="C1569" s="5" t="n">
        <v>46205.97252314815</v>
      </c>
      <c r="D1569" t="inlineStr">
        <is>
          <t>BUY</t>
        </is>
      </c>
      <c r="E1569" t="inlineStr">
        <is>
          <t>No</t>
        </is>
      </c>
      <c r="F1569" s="2" t="n">
        <v>0.999</v>
      </c>
      <c r="G1569" s="6" t="n">
        <v>18</v>
      </c>
      <c r="H1569" s="6">
        <f>F1569*G1569</f>
        <v/>
      </c>
      <c r="I1569">
        <f>_xlfn.XLOOKUP(A1569,MktTitle,MktCat,"n/a")</f>
        <v/>
      </c>
      <c r="J1569" s="3">
        <f>_xlfn.XLOOKUP(A1569,MktTitle,MktTotVol,0)</f>
        <v/>
      </c>
      <c r="K1569">
        <f>IF(H1569&gt;WhaleThreshold,"WHALE","")</f>
        <v/>
      </c>
    </row>
    <row r="1570">
      <c r="A1570" t="inlineStr">
        <is>
          <t>Will Egypt win the 2026 FIFA World Cup?</t>
        </is>
      </c>
      <c r="B1570" s="4" t="n">
        <v>46205</v>
      </c>
      <c r="C1570" s="5" t="n">
        <v>46205.9716550926</v>
      </c>
      <c r="D1570" t="inlineStr">
        <is>
          <t>SELL</t>
        </is>
      </c>
      <c r="E1570" t="inlineStr">
        <is>
          <t>No</t>
        </is>
      </c>
      <c r="F1570" s="2" t="n">
        <v>0.998</v>
      </c>
      <c r="G1570" s="6" t="n">
        <v>10.9</v>
      </c>
      <c r="H1570" s="6">
        <f>F1570*G1570</f>
        <v/>
      </c>
      <c r="I1570">
        <f>_xlfn.XLOOKUP(A1570,MktTitle,MktCat,"n/a")</f>
        <v/>
      </c>
      <c r="J1570" s="3">
        <f>_xlfn.XLOOKUP(A1570,MktTitle,MktTotVol,0)</f>
        <v/>
      </c>
      <c r="K1570">
        <f>IF(H1570&gt;WhaleThreshold,"WHALE","")</f>
        <v/>
      </c>
    </row>
    <row r="1571">
      <c r="A1571" t="inlineStr">
        <is>
          <t>Will Egypt win the 2026 FIFA World Cup?</t>
        </is>
      </c>
      <c r="B1571" s="4" t="n">
        <v>46205</v>
      </c>
      <c r="C1571" s="5" t="n">
        <v>46205.97153935185</v>
      </c>
      <c r="D1571" t="inlineStr">
        <is>
          <t>SELL</t>
        </is>
      </c>
      <c r="E1571" t="inlineStr">
        <is>
          <t>No</t>
        </is>
      </c>
      <c r="F1571" s="2" t="n">
        <v>0.998</v>
      </c>
      <c r="G1571" s="6" t="n">
        <v>10.9</v>
      </c>
      <c r="H1571" s="6">
        <f>F1571*G1571</f>
        <v/>
      </c>
      <c r="I1571">
        <f>_xlfn.XLOOKUP(A1571,MktTitle,MktCat,"n/a")</f>
        <v/>
      </c>
      <c r="J1571" s="3">
        <f>_xlfn.XLOOKUP(A1571,MktTitle,MktTotVol,0)</f>
        <v/>
      </c>
      <c r="K1571">
        <f>IF(H1571&gt;WhaleThreshold,"WHALE","")</f>
        <v/>
      </c>
    </row>
    <row r="1572">
      <c r="A1572" t="inlineStr">
        <is>
          <t>Will Egypt win the 2026 FIFA World Cup?</t>
        </is>
      </c>
      <c r="B1572" s="4" t="n">
        <v>46205</v>
      </c>
      <c r="C1572" s="5" t="n">
        <v>46205.97113425926</v>
      </c>
      <c r="D1572" t="inlineStr">
        <is>
          <t>BUY</t>
        </is>
      </c>
      <c r="E1572" t="inlineStr">
        <is>
          <t>No</t>
        </is>
      </c>
      <c r="F1572" s="2" t="n">
        <v>0.999</v>
      </c>
      <c r="G1572" s="6" t="n">
        <v>10.9</v>
      </c>
      <c r="H1572" s="6">
        <f>F1572*G1572</f>
        <v/>
      </c>
      <c r="I1572">
        <f>_xlfn.XLOOKUP(A1572,MktTitle,MktCat,"n/a")</f>
        <v/>
      </c>
      <c r="J1572" s="3">
        <f>_xlfn.XLOOKUP(A1572,MktTitle,MktTotVol,0)</f>
        <v/>
      </c>
      <c r="K1572">
        <f>IF(H1572&gt;WhaleThreshold,"WHALE","")</f>
        <v/>
      </c>
    </row>
    <row r="1573">
      <c r="A1573" t="inlineStr">
        <is>
          <t>Will Egypt win the 2026 FIFA World Cup?</t>
        </is>
      </c>
      <c r="B1573" s="4" t="n">
        <v>46205</v>
      </c>
      <c r="C1573" s="5" t="n">
        <v>46205.97113425926</v>
      </c>
      <c r="D1573" t="inlineStr">
        <is>
          <t>BUY</t>
        </is>
      </c>
      <c r="E1573" t="inlineStr">
        <is>
          <t>No</t>
        </is>
      </c>
      <c r="F1573" s="2" t="n">
        <v>0.999</v>
      </c>
      <c r="G1573" s="6" t="n">
        <v>10.9</v>
      </c>
      <c r="H1573" s="6">
        <f>F1573*G1573</f>
        <v/>
      </c>
      <c r="I1573">
        <f>_xlfn.XLOOKUP(A1573,MktTitle,MktCat,"n/a")</f>
        <v/>
      </c>
      <c r="J1573" s="3">
        <f>_xlfn.XLOOKUP(A1573,MktTitle,MktTotVol,0)</f>
        <v/>
      </c>
      <c r="K1573">
        <f>IF(H1573&gt;WhaleThreshold,"WHALE","")</f>
        <v/>
      </c>
    </row>
    <row r="1574">
      <c r="A1574" t="inlineStr">
        <is>
          <t>Will Egypt win the 2026 FIFA World Cup?</t>
        </is>
      </c>
      <c r="B1574" s="4" t="n">
        <v>46205</v>
      </c>
      <c r="C1574" s="5" t="n">
        <v>46205.97016203704</v>
      </c>
      <c r="D1574" t="inlineStr">
        <is>
          <t>BUY</t>
        </is>
      </c>
      <c r="E1574" t="inlineStr">
        <is>
          <t>No</t>
        </is>
      </c>
      <c r="F1574" s="2" t="n">
        <v>0.999</v>
      </c>
      <c r="G1574" s="6" t="n">
        <v>40</v>
      </c>
      <c r="H1574" s="6">
        <f>F1574*G1574</f>
        <v/>
      </c>
      <c r="I1574">
        <f>_xlfn.XLOOKUP(A1574,MktTitle,MktCat,"n/a")</f>
        <v/>
      </c>
      <c r="J1574" s="3">
        <f>_xlfn.XLOOKUP(A1574,MktTitle,MktTotVol,0)</f>
        <v/>
      </c>
      <c r="K1574">
        <f>IF(H1574&gt;WhaleThreshold,"WHALE","")</f>
        <v/>
      </c>
    </row>
    <row r="1575">
      <c r="A1575" t="inlineStr">
        <is>
          <t>Will Egypt win the 2026 FIFA World Cup?</t>
        </is>
      </c>
      <c r="B1575" s="4" t="n">
        <v>46205</v>
      </c>
      <c r="C1575" s="5" t="n">
        <v>46205.97015046296</v>
      </c>
      <c r="D1575" t="inlineStr">
        <is>
          <t>BUY</t>
        </is>
      </c>
      <c r="E1575" t="inlineStr">
        <is>
          <t>No</t>
        </is>
      </c>
      <c r="F1575" s="2" t="n">
        <v>0.999</v>
      </c>
      <c r="G1575" s="6" t="n">
        <v>5</v>
      </c>
      <c r="H1575" s="6">
        <f>F1575*G1575</f>
        <v/>
      </c>
      <c r="I1575">
        <f>_xlfn.XLOOKUP(A1575,MktTitle,MktCat,"n/a")</f>
        <v/>
      </c>
      <c r="J1575" s="3">
        <f>_xlfn.XLOOKUP(A1575,MktTitle,MktTotVol,0)</f>
        <v/>
      </c>
      <c r="K1575">
        <f>IF(H1575&gt;WhaleThreshold,"WHALE","")</f>
        <v/>
      </c>
    </row>
    <row r="1576">
      <c r="A1576" t="inlineStr">
        <is>
          <t>Will Egypt win the 2026 FIFA World Cup?</t>
        </is>
      </c>
      <c r="B1576" s="4" t="n">
        <v>46205</v>
      </c>
      <c r="C1576" s="5" t="n">
        <v>46205.97011574074</v>
      </c>
      <c r="D1576" t="inlineStr">
        <is>
          <t>BUY</t>
        </is>
      </c>
      <c r="E1576" t="inlineStr">
        <is>
          <t>No</t>
        </is>
      </c>
      <c r="F1576" s="2" t="n">
        <v>0.999</v>
      </c>
      <c r="G1576" s="6" t="n">
        <v>20</v>
      </c>
      <c r="H1576" s="6">
        <f>F1576*G1576</f>
        <v/>
      </c>
      <c r="I1576">
        <f>_xlfn.XLOOKUP(A1576,MktTitle,MktCat,"n/a")</f>
        <v/>
      </c>
      <c r="J1576" s="3">
        <f>_xlfn.XLOOKUP(A1576,MktTitle,MktTotVol,0)</f>
        <v/>
      </c>
      <c r="K1576">
        <f>IF(H1576&gt;WhaleThreshold,"WHALE","")</f>
        <v/>
      </c>
    </row>
    <row r="1577">
      <c r="A1577" t="inlineStr">
        <is>
          <t>Will Egypt win the 2026 FIFA World Cup?</t>
        </is>
      </c>
      <c r="B1577" s="4" t="n">
        <v>46205</v>
      </c>
      <c r="C1577" s="5" t="n">
        <v>46205.97011574074</v>
      </c>
      <c r="D1577" t="inlineStr">
        <is>
          <t>BUY</t>
        </is>
      </c>
      <c r="E1577" t="inlineStr">
        <is>
          <t>No</t>
        </is>
      </c>
      <c r="F1577" s="2" t="n">
        <v>0.999</v>
      </c>
      <c r="G1577" s="6" t="n">
        <v>25.3</v>
      </c>
      <c r="H1577" s="6">
        <f>F1577*G1577</f>
        <v/>
      </c>
      <c r="I1577">
        <f>_xlfn.XLOOKUP(A1577,MktTitle,MktCat,"n/a")</f>
        <v/>
      </c>
      <c r="J1577" s="3">
        <f>_xlfn.XLOOKUP(A1577,MktTitle,MktTotVol,0)</f>
        <v/>
      </c>
      <c r="K1577">
        <f>IF(H1577&gt;WhaleThreshold,"WHALE","")</f>
        <v/>
      </c>
    </row>
    <row r="1578">
      <c r="A1578" t="inlineStr">
        <is>
          <t>Will Egypt win the 2026 FIFA World Cup?</t>
        </is>
      </c>
      <c r="B1578" s="4" t="n">
        <v>46205</v>
      </c>
      <c r="C1578" s="5" t="n">
        <v>46205.97009259259</v>
      </c>
      <c r="D1578" t="inlineStr">
        <is>
          <t>BUY</t>
        </is>
      </c>
      <c r="E1578" t="inlineStr">
        <is>
          <t>No</t>
        </is>
      </c>
      <c r="F1578" s="2" t="n">
        <v>0.999</v>
      </c>
      <c r="G1578" s="6" t="n">
        <v>10</v>
      </c>
      <c r="H1578" s="6">
        <f>F1578*G1578</f>
        <v/>
      </c>
      <c r="I1578">
        <f>_xlfn.XLOOKUP(A1578,MktTitle,MktCat,"n/a")</f>
        <v/>
      </c>
      <c r="J1578" s="3">
        <f>_xlfn.XLOOKUP(A1578,MktTitle,MktTotVol,0)</f>
        <v/>
      </c>
      <c r="K1578">
        <f>IF(H1578&gt;WhaleThreshold,"WHALE","")</f>
        <v/>
      </c>
    </row>
    <row r="1579">
      <c r="A1579" t="inlineStr">
        <is>
          <t>Will Egypt win the 2026 FIFA World Cup?</t>
        </is>
      </c>
      <c r="B1579" s="4" t="n">
        <v>46205</v>
      </c>
      <c r="C1579" s="5" t="n">
        <v>46205.97009259259</v>
      </c>
      <c r="D1579" t="inlineStr">
        <is>
          <t>BUY</t>
        </is>
      </c>
      <c r="E1579" t="inlineStr">
        <is>
          <t>No</t>
        </is>
      </c>
      <c r="F1579" s="2" t="n">
        <v>0.999</v>
      </c>
      <c r="G1579" s="6" t="n">
        <v>60</v>
      </c>
      <c r="H1579" s="6">
        <f>F1579*G1579</f>
        <v/>
      </c>
      <c r="I1579">
        <f>_xlfn.XLOOKUP(A1579,MktTitle,MktCat,"n/a")</f>
        <v/>
      </c>
      <c r="J1579" s="3">
        <f>_xlfn.XLOOKUP(A1579,MktTitle,MktTotVol,0)</f>
        <v/>
      </c>
      <c r="K1579">
        <f>IF(H1579&gt;WhaleThreshold,"WHALE","")</f>
        <v/>
      </c>
    </row>
    <row r="1580">
      <c r="A1580" t="inlineStr">
        <is>
          <t>Will Egypt win the 2026 FIFA World Cup?</t>
        </is>
      </c>
      <c r="B1580" s="4" t="n">
        <v>46205</v>
      </c>
      <c r="C1580" s="5" t="n">
        <v>46205.97005787037</v>
      </c>
      <c r="D1580" t="inlineStr">
        <is>
          <t>BUY</t>
        </is>
      </c>
      <c r="E1580" t="inlineStr">
        <is>
          <t>No</t>
        </is>
      </c>
      <c r="F1580" s="2" t="n">
        <v>0.999</v>
      </c>
      <c r="G1580" s="6" t="n">
        <v>5</v>
      </c>
      <c r="H1580" s="6">
        <f>F1580*G1580</f>
        <v/>
      </c>
      <c r="I1580">
        <f>_xlfn.XLOOKUP(A1580,MktTitle,MktCat,"n/a")</f>
        <v/>
      </c>
      <c r="J1580" s="3">
        <f>_xlfn.XLOOKUP(A1580,MktTitle,MktTotVol,0)</f>
        <v/>
      </c>
      <c r="K1580">
        <f>IF(H1580&gt;WhaleThreshold,"WHALE","")</f>
        <v/>
      </c>
    </row>
    <row r="1581">
      <c r="A1581" t="inlineStr">
        <is>
          <t>Will Egypt win the 2026 FIFA World Cup?</t>
        </is>
      </c>
      <c r="B1581" s="4" t="n">
        <v>46205</v>
      </c>
      <c r="C1581" s="5" t="n">
        <v>46205.97005787037</v>
      </c>
      <c r="D1581" t="inlineStr">
        <is>
          <t>BUY</t>
        </is>
      </c>
      <c r="E1581" t="inlineStr">
        <is>
          <t>No</t>
        </is>
      </c>
      <c r="F1581" s="2" t="n">
        <v>0.999</v>
      </c>
      <c r="G1581" s="6" t="n">
        <v>5</v>
      </c>
      <c r="H1581" s="6">
        <f>F1581*G1581</f>
        <v/>
      </c>
      <c r="I1581">
        <f>_xlfn.XLOOKUP(A1581,MktTitle,MktCat,"n/a")</f>
        <v/>
      </c>
      <c r="J1581" s="3">
        <f>_xlfn.XLOOKUP(A1581,MktTitle,MktTotVol,0)</f>
        <v/>
      </c>
      <c r="K1581">
        <f>IF(H1581&gt;WhaleThreshold,"WHALE","")</f>
        <v/>
      </c>
    </row>
    <row r="1582">
      <c r="A1582" t="inlineStr">
        <is>
          <t>Will Egypt win the 2026 FIFA World Cup?</t>
        </is>
      </c>
      <c r="B1582" s="4" t="n">
        <v>46205</v>
      </c>
      <c r="C1582" s="5" t="n">
        <v>46205.97004629629</v>
      </c>
      <c r="D1582" t="inlineStr">
        <is>
          <t>BUY</t>
        </is>
      </c>
      <c r="E1582" t="inlineStr">
        <is>
          <t>No</t>
        </is>
      </c>
      <c r="F1582" s="2" t="n">
        <v>0.999</v>
      </c>
      <c r="G1582" s="6" t="n">
        <v>50.7</v>
      </c>
      <c r="H1582" s="6">
        <f>F1582*G1582</f>
        <v/>
      </c>
      <c r="I1582">
        <f>_xlfn.XLOOKUP(A1582,MktTitle,MktCat,"n/a")</f>
        <v/>
      </c>
      <c r="J1582" s="3">
        <f>_xlfn.XLOOKUP(A1582,MktTitle,MktTotVol,0)</f>
        <v/>
      </c>
      <c r="K1582">
        <f>IF(H1582&gt;WhaleThreshold,"WHALE","")</f>
        <v/>
      </c>
    </row>
    <row r="1583">
      <c r="A1583" t="inlineStr">
        <is>
          <t>Will Egypt win the 2026 FIFA World Cup?</t>
        </is>
      </c>
      <c r="B1583" s="4" t="n">
        <v>46205</v>
      </c>
      <c r="C1583" s="5" t="n">
        <v>46205.97004629629</v>
      </c>
      <c r="D1583" t="inlineStr">
        <is>
          <t>BUY</t>
        </is>
      </c>
      <c r="E1583" t="inlineStr">
        <is>
          <t>No</t>
        </is>
      </c>
      <c r="F1583" s="2" t="n">
        <v>0.999</v>
      </c>
      <c r="G1583" s="6" t="n">
        <v>10</v>
      </c>
      <c r="H1583" s="6">
        <f>F1583*G1583</f>
        <v/>
      </c>
      <c r="I1583">
        <f>_xlfn.XLOOKUP(A1583,MktTitle,MktCat,"n/a")</f>
        <v/>
      </c>
      <c r="J1583" s="3">
        <f>_xlfn.XLOOKUP(A1583,MktTitle,MktTotVol,0)</f>
        <v/>
      </c>
      <c r="K1583">
        <f>IF(H1583&gt;WhaleThreshold,"WHALE","")</f>
        <v/>
      </c>
    </row>
    <row r="1584">
      <c r="A1584" t="inlineStr">
        <is>
          <t>Will Egypt win the 2026 FIFA World Cup?</t>
        </is>
      </c>
      <c r="B1584" s="4" t="n">
        <v>46205</v>
      </c>
      <c r="C1584" s="5" t="n">
        <v>46205.96988425926</v>
      </c>
      <c r="D1584" t="inlineStr">
        <is>
          <t>BUY</t>
        </is>
      </c>
      <c r="E1584" t="inlineStr">
        <is>
          <t>No</t>
        </is>
      </c>
      <c r="F1584" s="2" t="n">
        <v>0.999</v>
      </c>
      <c r="G1584" s="6" t="n">
        <v>86</v>
      </c>
      <c r="H1584" s="6">
        <f>F1584*G1584</f>
        <v/>
      </c>
      <c r="I1584">
        <f>_xlfn.XLOOKUP(A1584,MktTitle,MktCat,"n/a")</f>
        <v/>
      </c>
      <c r="J1584" s="3">
        <f>_xlfn.XLOOKUP(A1584,MktTitle,MktTotVol,0)</f>
        <v/>
      </c>
      <c r="K1584">
        <f>IF(H1584&gt;WhaleThreshold,"WHALE","")</f>
        <v/>
      </c>
    </row>
    <row r="1585">
      <c r="A1585" t="inlineStr">
        <is>
          <t>Will Egypt win the 2026 FIFA World Cup?</t>
        </is>
      </c>
      <c r="B1585" s="4" t="n">
        <v>46205</v>
      </c>
      <c r="C1585" s="5" t="n">
        <v>46205.96988425926</v>
      </c>
      <c r="D1585" t="inlineStr">
        <is>
          <t>BUY</t>
        </is>
      </c>
      <c r="E1585" t="inlineStr">
        <is>
          <t>No</t>
        </is>
      </c>
      <c r="F1585" s="2" t="n">
        <v>0.999</v>
      </c>
      <c r="G1585" s="6" t="n">
        <v>100</v>
      </c>
      <c r="H1585" s="6">
        <f>F1585*G1585</f>
        <v/>
      </c>
      <c r="I1585">
        <f>_xlfn.XLOOKUP(A1585,MktTitle,MktCat,"n/a")</f>
        <v/>
      </c>
      <c r="J1585" s="3">
        <f>_xlfn.XLOOKUP(A1585,MktTitle,MktTotVol,0)</f>
        <v/>
      </c>
      <c r="K1585">
        <f>IF(H1585&gt;WhaleThreshold,"WHALE","")</f>
        <v/>
      </c>
    </row>
    <row r="1586">
      <c r="A1586" t="inlineStr">
        <is>
          <t>Will Egypt win the 2026 FIFA World Cup?</t>
        </is>
      </c>
      <c r="B1586" s="4" t="n">
        <v>46205</v>
      </c>
      <c r="C1586" s="5" t="n">
        <v>46205.96987268519</v>
      </c>
      <c r="D1586" t="inlineStr">
        <is>
          <t>BUY</t>
        </is>
      </c>
      <c r="E1586" t="inlineStr">
        <is>
          <t>No</t>
        </is>
      </c>
      <c r="F1586" s="2" t="n">
        <v>0.999</v>
      </c>
      <c r="G1586" s="6" t="n">
        <v>73.59999999999999</v>
      </c>
      <c r="H1586" s="6">
        <f>F1586*G1586</f>
        <v/>
      </c>
      <c r="I1586">
        <f>_xlfn.XLOOKUP(A1586,MktTitle,MktCat,"n/a")</f>
        <v/>
      </c>
      <c r="J1586" s="3">
        <f>_xlfn.XLOOKUP(A1586,MktTitle,MktTotVol,0)</f>
        <v/>
      </c>
      <c r="K1586">
        <f>IF(H1586&gt;WhaleThreshold,"WHALE","")</f>
        <v/>
      </c>
    </row>
    <row r="1587">
      <c r="A1587" t="inlineStr">
        <is>
          <t>Will Egypt win the 2026 FIFA World Cup?</t>
        </is>
      </c>
      <c r="B1587" s="4" t="n">
        <v>46205</v>
      </c>
      <c r="C1587" s="5" t="n">
        <v>46205.96987268519</v>
      </c>
      <c r="D1587" t="inlineStr">
        <is>
          <t>BUY</t>
        </is>
      </c>
      <c r="E1587" t="inlineStr">
        <is>
          <t>No</t>
        </is>
      </c>
      <c r="F1587" s="2" t="n">
        <v>0.999</v>
      </c>
      <c r="G1587" s="6" t="n">
        <v>80</v>
      </c>
      <c r="H1587" s="6">
        <f>F1587*G1587</f>
        <v/>
      </c>
      <c r="I1587">
        <f>_xlfn.XLOOKUP(A1587,MktTitle,MktCat,"n/a")</f>
        <v/>
      </c>
      <c r="J1587" s="3">
        <f>_xlfn.XLOOKUP(A1587,MktTitle,MktTotVol,0)</f>
        <v/>
      </c>
      <c r="K1587">
        <f>IF(H1587&gt;WhaleThreshold,"WHALE","")</f>
        <v/>
      </c>
    </row>
    <row r="1588">
      <c r="A1588" t="inlineStr">
        <is>
          <t>Will Egypt win the 2026 FIFA World Cup?</t>
        </is>
      </c>
      <c r="B1588" s="4" t="n">
        <v>46205</v>
      </c>
      <c r="C1588" s="5" t="n">
        <v>46205.96980324074</v>
      </c>
      <c r="D1588" t="inlineStr">
        <is>
          <t>BUY</t>
        </is>
      </c>
      <c r="E1588" t="inlineStr">
        <is>
          <t>No</t>
        </is>
      </c>
      <c r="F1588" s="2" t="n">
        <v>0.999</v>
      </c>
      <c r="G1588" s="6" t="n">
        <v>80</v>
      </c>
      <c r="H1588" s="6">
        <f>F1588*G1588</f>
        <v/>
      </c>
      <c r="I1588">
        <f>_xlfn.XLOOKUP(A1588,MktTitle,MktCat,"n/a")</f>
        <v/>
      </c>
      <c r="J1588" s="3">
        <f>_xlfn.XLOOKUP(A1588,MktTitle,MktTotVol,0)</f>
        <v/>
      </c>
      <c r="K1588">
        <f>IF(H1588&gt;WhaleThreshold,"WHALE","")</f>
        <v/>
      </c>
    </row>
    <row r="1589">
      <c r="A1589" t="inlineStr">
        <is>
          <t>Will Egypt win the 2026 FIFA World Cup?</t>
        </is>
      </c>
      <c r="B1589" s="4" t="n">
        <v>46205</v>
      </c>
      <c r="C1589" s="5" t="n">
        <v>46205.9696412037</v>
      </c>
      <c r="D1589" t="inlineStr">
        <is>
          <t>BUY</t>
        </is>
      </c>
      <c r="E1589" t="inlineStr">
        <is>
          <t>No</t>
        </is>
      </c>
      <c r="F1589" s="2" t="n">
        <v>0.999</v>
      </c>
      <c r="G1589" s="6" t="n">
        <v>10</v>
      </c>
      <c r="H1589" s="6">
        <f>F1589*G1589</f>
        <v/>
      </c>
      <c r="I1589">
        <f>_xlfn.XLOOKUP(A1589,MktTitle,MktCat,"n/a")</f>
        <v/>
      </c>
      <c r="J1589" s="3">
        <f>_xlfn.XLOOKUP(A1589,MktTitle,MktTotVol,0)</f>
        <v/>
      </c>
      <c r="K1589">
        <f>IF(H1589&gt;WhaleThreshold,"WHALE","")</f>
        <v/>
      </c>
    </row>
    <row r="1590">
      <c r="A1590" t="inlineStr">
        <is>
          <t>Will Egypt win the 2026 FIFA World Cup?</t>
        </is>
      </c>
      <c r="B1590" s="4" t="n">
        <v>46205</v>
      </c>
      <c r="C1590" s="5" t="n">
        <v>46205.96834490741</v>
      </c>
      <c r="D1590" t="inlineStr">
        <is>
          <t>SELL</t>
        </is>
      </c>
      <c r="E1590" t="inlineStr">
        <is>
          <t>No</t>
        </is>
      </c>
      <c r="F1590" s="2" t="n">
        <v>0.998</v>
      </c>
      <c r="G1590" s="6" t="n">
        <v>10.78</v>
      </c>
      <c r="H1590" s="6">
        <f>F1590*G1590</f>
        <v/>
      </c>
      <c r="I1590">
        <f>_xlfn.XLOOKUP(A1590,MktTitle,MktCat,"n/a")</f>
        <v/>
      </c>
      <c r="J1590" s="3">
        <f>_xlfn.XLOOKUP(A1590,MktTitle,MktTotVol,0)</f>
        <v/>
      </c>
      <c r="K1590">
        <f>IF(H1590&gt;WhaleThreshold,"WHALE","")</f>
        <v/>
      </c>
    </row>
    <row r="1591">
      <c r="A1591" t="inlineStr">
        <is>
          <t>Will Egypt win the 2026 FIFA World Cup?</t>
        </is>
      </c>
      <c r="B1591" s="4" t="n">
        <v>46205</v>
      </c>
      <c r="C1591" s="5" t="n">
        <v>46205.96828703704</v>
      </c>
      <c r="D1591" t="inlineStr">
        <is>
          <t>SELL</t>
        </is>
      </c>
      <c r="E1591" t="inlineStr">
        <is>
          <t>No</t>
        </is>
      </c>
      <c r="F1591" s="2" t="n">
        <v>0.998</v>
      </c>
      <c r="G1591" s="6" t="n">
        <v>10.48</v>
      </c>
      <c r="H1591" s="6">
        <f>F1591*G1591</f>
        <v/>
      </c>
      <c r="I1591">
        <f>_xlfn.XLOOKUP(A1591,MktTitle,MktCat,"n/a")</f>
        <v/>
      </c>
      <c r="J1591" s="3">
        <f>_xlfn.XLOOKUP(A1591,MktTitle,MktTotVol,0)</f>
        <v/>
      </c>
      <c r="K1591">
        <f>IF(H1591&gt;WhaleThreshold,"WHALE","")</f>
        <v/>
      </c>
    </row>
    <row r="1592">
      <c r="A1592" t="inlineStr">
        <is>
          <t>Will Egypt win the 2026 FIFA World Cup?</t>
        </is>
      </c>
      <c r="B1592" s="4" t="n">
        <v>46205</v>
      </c>
      <c r="C1592" s="5" t="n">
        <v>46205.96828703704</v>
      </c>
      <c r="D1592" t="inlineStr">
        <is>
          <t>SELL</t>
        </is>
      </c>
      <c r="E1592" t="inlineStr">
        <is>
          <t>No</t>
        </is>
      </c>
      <c r="F1592" s="2" t="n">
        <v>0.998</v>
      </c>
      <c r="G1592" s="6" t="n">
        <v>10.64</v>
      </c>
      <c r="H1592" s="6">
        <f>F1592*G1592</f>
        <v/>
      </c>
      <c r="I1592">
        <f>_xlfn.XLOOKUP(A1592,MktTitle,MktCat,"n/a")</f>
        <v/>
      </c>
      <c r="J1592" s="3">
        <f>_xlfn.XLOOKUP(A1592,MktTitle,MktTotVol,0)</f>
        <v/>
      </c>
      <c r="K1592">
        <f>IF(H1592&gt;WhaleThreshold,"WHALE","")</f>
        <v/>
      </c>
    </row>
    <row r="1593">
      <c r="A1593" t="inlineStr">
        <is>
          <t>Will Egypt win the 2026 FIFA World Cup?</t>
        </is>
      </c>
      <c r="B1593" s="4" t="n">
        <v>46205</v>
      </c>
      <c r="C1593" s="5" t="n">
        <v>46205.96730324074</v>
      </c>
      <c r="D1593" t="inlineStr">
        <is>
          <t>BUY</t>
        </is>
      </c>
      <c r="E1593" t="inlineStr">
        <is>
          <t>No</t>
        </is>
      </c>
      <c r="F1593" s="2" t="n">
        <v>0.999</v>
      </c>
      <c r="G1593" s="6" t="n">
        <v>1.1</v>
      </c>
      <c r="H1593" s="6">
        <f>F1593*G1593</f>
        <v/>
      </c>
      <c r="I1593">
        <f>_xlfn.XLOOKUP(A1593,MktTitle,MktCat,"n/a")</f>
        <v/>
      </c>
      <c r="J1593" s="3">
        <f>_xlfn.XLOOKUP(A1593,MktTitle,MktTotVol,0)</f>
        <v/>
      </c>
      <c r="K1593">
        <f>IF(H1593&gt;WhaleThreshold,"WHALE","")</f>
        <v/>
      </c>
    </row>
    <row r="1594">
      <c r="A1594" t="inlineStr">
        <is>
          <t>Will Egypt win the 2026 FIFA World Cup?</t>
        </is>
      </c>
      <c r="B1594" s="4" t="n">
        <v>46205</v>
      </c>
      <c r="C1594" s="5" t="n">
        <v>46205.9672337963</v>
      </c>
      <c r="D1594" t="inlineStr">
        <is>
          <t>BUY</t>
        </is>
      </c>
      <c r="E1594" t="inlineStr">
        <is>
          <t>No</t>
        </is>
      </c>
      <c r="F1594" s="2" t="n">
        <v>0.999</v>
      </c>
      <c r="G1594" s="6" t="n">
        <v>32.4</v>
      </c>
      <c r="H1594" s="6">
        <f>F1594*G1594</f>
        <v/>
      </c>
      <c r="I1594">
        <f>_xlfn.XLOOKUP(A1594,MktTitle,MktCat,"n/a")</f>
        <v/>
      </c>
      <c r="J1594" s="3">
        <f>_xlfn.XLOOKUP(A1594,MktTitle,MktTotVol,0)</f>
        <v/>
      </c>
      <c r="K1594">
        <f>IF(H1594&gt;WhaleThreshold,"WHALE","")</f>
        <v/>
      </c>
    </row>
    <row r="1595">
      <c r="A1595" t="inlineStr">
        <is>
          <t>Will Egypt win the 2026 FIFA World Cup?</t>
        </is>
      </c>
      <c r="B1595" s="4" t="n">
        <v>46205</v>
      </c>
      <c r="C1595" s="5" t="n">
        <v>46205.96717592593</v>
      </c>
      <c r="D1595" t="inlineStr">
        <is>
          <t>BUY</t>
        </is>
      </c>
      <c r="E1595" t="inlineStr">
        <is>
          <t>No</t>
        </is>
      </c>
      <c r="F1595" s="2" t="n">
        <v>0.999</v>
      </c>
      <c r="G1595" s="6" t="n">
        <v>110</v>
      </c>
      <c r="H1595" s="6">
        <f>F1595*G1595</f>
        <v/>
      </c>
      <c r="I1595">
        <f>_xlfn.XLOOKUP(A1595,MktTitle,MktCat,"n/a")</f>
        <v/>
      </c>
      <c r="J1595" s="3">
        <f>_xlfn.XLOOKUP(A1595,MktTitle,MktTotVol,0)</f>
        <v/>
      </c>
      <c r="K1595">
        <f>IF(H1595&gt;WhaleThreshold,"WHALE","")</f>
        <v/>
      </c>
    </row>
    <row r="1596">
      <c r="A1596" t="inlineStr">
        <is>
          <t>Will Egypt win the 2026 FIFA World Cup?</t>
        </is>
      </c>
      <c r="B1596" s="4" t="n">
        <v>46205</v>
      </c>
      <c r="C1596" s="5" t="n">
        <v>46205.96716435185</v>
      </c>
      <c r="D1596" t="inlineStr">
        <is>
          <t>BUY</t>
        </is>
      </c>
      <c r="E1596" t="inlineStr">
        <is>
          <t>No</t>
        </is>
      </c>
      <c r="F1596" s="2" t="n">
        <v>0.999</v>
      </c>
      <c r="G1596" s="6" t="n">
        <v>5</v>
      </c>
      <c r="H1596" s="6">
        <f>F1596*G1596</f>
        <v/>
      </c>
      <c r="I1596">
        <f>_xlfn.XLOOKUP(A1596,MktTitle,MktCat,"n/a")</f>
        <v/>
      </c>
      <c r="J1596" s="3">
        <f>_xlfn.XLOOKUP(A1596,MktTitle,MktTotVol,0)</f>
        <v/>
      </c>
      <c r="K1596">
        <f>IF(H1596&gt;WhaleThreshold,"WHALE","")</f>
        <v/>
      </c>
    </row>
    <row r="1597">
      <c r="A1597" t="inlineStr">
        <is>
          <t>Will Egypt win the 2026 FIFA World Cup?</t>
        </is>
      </c>
      <c r="B1597" s="4" t="n">
        <v>46205</v>
      </c>
      <c r="C1597" s="5" t="n">
        <v>46205.96714120371</v>
      </c>
      <c r="D1597" t="inlineStr">
        <is>
          <t>BUY</t>
        </is>
      </c>
      <c r="E1597" t="inlineStr">
        <is>
          <t>No</t>
        </is>
      </c>
      <c r="F1597" s="2" t="n">
        <v>0.999</v>
      </c>
      <c r="G1597" s="6" t="n">
        <v>22.8</v>
      </c>
      <c r="H1597" s="6">
        <f>F1597*G1597</f>
        <v/>
      </c>
      <c r="I1597">
        <f>_xlfn.XLOOKUP(A1597,MktTitle,MktCat,"n/a")</f>
        <v/>
      </c>
      <c r="J1597" s="3">
        <f>_xlfn.XLOOKUP(A1597,MktTitle,MktTotVol,0)</f>
        <v/>
      </c>
      <c r="K1597">
        <f>IF(H1597&gt;WhaleThreshold,"WHALE","")</f>
        <v/>
      </c>
    </row>
    <row r="1598">
      <c r="A1598" t="inlineStr">
        <is>
          <t>Will Egypt win the 2026 FIFA World Cup?</t>
        </is>
      </c>
      <c r="B1598" s="4" t="n">
        <v>46205</v>
      </c>
      <c r="C1598" s="5" t="n">
        <v>46205.96714120371</v>
      </c>
      <c r="D1598" t="inlineStr">
        <is>
          <t>BUY</t>
        </is>
      </c>
      <c r="E1598" t="inlineStr">
        <is>
          <t>No</t>
        </is>
      </c>
      <c r="F1598" s="2" t="n">
        <v>0.999</v>
      </c>
      <c r="G1598" s="6" t="n">
        <v>40</v>
      </c>
      <c r="H1598" s="6">
        <f>F1598*G1598</f>
        <v/>
      </c>
      <c r="I1598">
        <f>_xlfn.XLOOKUP(A1598,MktTitle,MktCat,"n/a")</f>
        <v/>
      </c>
      <c r="J1598" s="3">
        <f>_xlfn.XLOOKUP(A1598,MktTitle,MktTotVol,0)</f>
        <v/>
      </c>
      <c r="K1598">
        <f>IF(H1598&gt;WhaleThreshold,"WHALE","")</f>
        <v/>
      </c>
    </row>
    <row r="1599">
      <c r="A1599" t="inlineStr">
        <is>
          <t>Will Egypt win the 2026 FIFA World Cup?</t>
        </is>
      </c>
      <c r="B1599" s="4" t="n">
        <v>46205</v>
      </c>
      <c r="C1599" s="5" t="n">
        <v>46205.96712962963</v>
      </c>
      <c r="D1599" t="inlineStr">
        <is>
          <t>BUY</t>
        </is>
      </c>
      <c r="E1599" t="inlineStr">
        <is>
          <t>No</t>
        </is>
      </c>
      <c r="F1599" s="2" t="n">
        <v>0.999</v>
      </c>
      <c r="G1599" s="6" t="n">
        <v>30</v>
      </c>
      <c r="H1599" s="6">
        <f>F1599*G1599</f>
        <v/>
      </c>
      <c r="I1599">
        <f>_xlfn.XLOOKUP(A1599,MktTitle,MktCat,"n/a")</f>
        <v/>
      </c>
      <c r="J1599" s="3">
        <f>_xlfn.XLOOKUP(A1599,MktTitle,MktTotVol,0)</f>
        <v/>
      </c>
      <c r="K1599">
        <f>IF(H1599&gt;WhaleThreshold,"WHALE","")</f>
        <v/>
      </c>
    </row>
    <row r="1600">
      <c r="A1600" t="inlineStr">
        <is>
          <t>Will Egypt win the 2026 FIFA World Cup?</t>
        </is>
      </c>
      <c r="B1600" s="4" t="n">
        <v>46205</v>
      </c>
      <c r="C1600" s="5" t="n">
        <v>46205.96712962963</v>
      </c>
      <c r="D1600" t="inlineStr">
        <is>
          <t>BUY</t>
        </is>
      </c>
      <c r="E1600" t="inlineStr">
        <is>
          <t>No</t>
        </is>
      </c>
      <c r="F1600" s="2" t="n">
        <v>0.999</v>
      </c>
      <c r="G1600" s="6" t="n">
        <v>90</v>
      </c>
      <c r="H1600" s="6">
        <f>F1600*G1600</f>
        <v/>
      </c>
      <c r="I1600">
        <f>_xlfn.XLOOKUP(A1600,MktTitle,MktCat,"n/a")</f>
        <v/>
      </c>
      <c r="J1600" s="3">
        <f>_xlfn.XLOOKUP(A1600,MktTitle,MktTotVol,0)</f>
        <v/>
      </c>
      <c r="K1600">
        <f>IF(H1600&gt;WhaleThreshold,"WHALE","")</f>
        <v/>
      </c>
    </row>
    <row r="1601">
      <c r="A1601" t="inlineStr">
        <is>
          <t>Will Egypt win the 2026 FIFA World Cup?</t>
        </is>
      </c>
      <c r="B1601" s="4" t="n">
        <v>46205</v>
      </c>
      <c r="C1601" s="5" t="n">
        <v>46205.96712962963</v>
      </c>
      <c r="D1601" t="inlineStr">
        <is>
          <t>BUY</t>
        </is>
      </c>
      <c r="E1601" t="inlineStr">
        <is>
          <t>No</t>
        </is>
      </c>
      <c r="F1601" s="2" t="n">
        <v>0.999</v>
      </c>
      <c r="G1601" s="6" t="n">
        <v>45.6</v>
      </c>
      <c r="H1601" s="6">
        <f>F1601*G1601</f>
        <v/>
      </c>
      <c r="I1601">
        <f>_xlfn.XLOOKUP(A1601,MktTitle,MktCat,"n/a")</f>
        <v/>
      </c>
      <c r="J1601" s="3">
        <f>_xlfn.XLOOKUP(A1601,MktTitle,MktTotVol,0)</f>
        <v/>
      </c>
      <c r="K1601">
        <f>IF(H1601&gt;WhaleThreshold,"WHALE","")</f>
        <v/>
      </c>
    </row>
    <row r="1602">
      <c r="A1602" t="inlineStr">
        <is>
          <t>Will Egypt win the 2026 FIFA World Cup?</t>
        </is>
      </c>
      <c r="B1602" s="4" t="n">
        <v>46205</v>
      </c>
      <c r="C1602" s="5" t="n">
        <v>46205.96685185185</v>
      </c>
      <c r="D1602" t="inlineStr">
        <is>
          <t>BUY</t>
        </is>
      </c>
      <c r="E1602" t="inlineStr">
        <is>
          <t>No</t>
        </is>
      </c>
      <c r="F1602" s="2" t="n">
        <v>0.999</v>
      </c>
      <c r="G1602" s="6" t="n">
        <v>116</v>
      </c>
      <c r="H1602" s="6">
        <f>F1602*G1602</f>
        <v/>
      </c>
      <c r="I1602">
        <f>_xlfn.XLOOKUP(A1602,MktTitle,MktCat,"n/a")</f>
        <v/>
      </c>
      <c r="J1602" s="3">
        <f>_xlfn.XLOOKUP(A1602,MktTitle,MktTotVol,0)</f>
        <v/>
      </c>
      <c r="K1602">
        <f>IF(H1602&gt;WhaleThreshold,"WHALE","")</f>
        <v/>
      </c>
    </row>
    <row r="1603">
      <c r="A1603" t="inlineStr">
        <is>
          <t>Will Egypt win the 2026 FIFA World Cup?</t>
        </is>
      </c>
      <c r="B1603" s="4" t="n">
        <v>46205</v>
      </c>
      <c r="C1603" s="5" t="n">
        <v>46205.96682870371</v>
      </c>
      <c r="D1603" t="inlineStr">
        <is>
          <t>BUY</t>
        </is>
      </c>
      <c r="E1603" t="inlineStr">
        <is>
          <t>No</t>
        </is>
      </c>
      <c r="F1603" s="2" t="n">
        <v>0.999</v>
      </c>
      <c r="G1603" s="6" t="n">
        <v>8.4</v>
      </c>
      <c r="H1603" s="6">
        <f>F1603*G1603</f>
        <v/>
      </c>
      <c r="I1603">
        <f>_xlfn.XLOOKUP(A1603,MktTitle,MktCat,"n/a")</f>
        <v/>
      </c>
      <c r="J1603" s="3">
        <f>_xlfn.XLOOKUP(A1603,MktTitle,MktTotVol,0)</f>
        <v/>
      </c>
      <c r="K1603">
        <f>IF(H1603&gt;WhaleThreshold,"WHALE","")</f>
        <v/>
      </c>
    </row>
    <row r="1604">
      <c r="A1604" t="inlineStr">
        <is>
          <t>Will Egypt win the 2026 FIFA World Cup?</t>
        </is>
      </c>
      <c r="B1604" s="4" t="n">
        <v>46205</v>
      </c>
      <c r="C1604" s="5" t="n">
        <v>46205.96682870371</v>
      </c>
      <c r="D1604" t="inlineStr">
        <is>
          <t>BUY</t>
        </is>
      </c>
      <c r="E1604" t="inlineStr">
        <is>
          <t>No</t>
        </is>
      </c>
      <c r="F1604" s="2" t="n">
        <v>0.999</v>
      </c>
      <c r="G1604" s="6" t="n">
        <v>40</v>
      </c>
      <c r="H1604" s="6">
        <f>F1604*G1604</f>
        <v/>
      </c>
      <c r="I1604">
        <f>_xlfn.XLOOKUP(A1604,MktTitle,MktCat,"n/a")</f>
        <v/>
      </c>
      <c r="J1604" s="3">
        <f>_xlfn.XLOOKUP(A1604,MktTitle,MktTotVol,0)</f>
        <v/>
      </c>
      <c r="K1604">
        <f>IF(H1604&gt;WhaleThreshold,"WHALE","")</f>
        <v/>
      </c>
    </row>
    <row r="1605">
      <c r="A1605" t="inlineStr">
        <is>
          <t>Will Egypt win the 2026 FIFA World Cup?</t>
        </is>
      </c>
      <c r="B1605" s="4" t="n">
        <v>46205</v>
      </c>
      <c r="C1605" s="5" t="n">
        <v>46205.96681712963</v>
      </c>
      <c r="D1605" t="inlineStr">
        <is>
          <t>BUY</t>
        </is>
      </c>
      <c r="E1605" t="inlineStr">
        <is>
          <t>No</t>
        </is>
      </c>
      <c r="F1605" s="2" t="n">
        <v>0.999</v>
      </c>
      <c r="G1605" s="6" t="n">
        <v>73.59999999999999</v>
      </c>
      <c r="H1605" s="6">
        <f>F1605*G1605</f>
        <v/>
      </c>
      <c r="I1605">
        <f>_xlfn.XLOOKUP(A1605,MktTitle,MktCat,"n/a")</f>
        <v/>
      </c>
      <c r="J1605" s="3">
        <f>_xlfn.XLOOKUP(A1605,MktTitle,MktTotVol,0)</f>
        <v/>
      </c>
      <c r="K1605">
        <f>IF(H1605&gt;WhaleThreshold,"WHALE","")</f>
        <v/>
      </c>
    </row>
    <row r="1606">
      <c r="A1606" t="inlineStr">
        <is>
          <t>Will Egypt win the 2026 FIFA World Cup?</t>
        </is>
      </c>
      <c r="B1606" s="4" t="n">
        <v>46205</v>
      </c>
      <c r="C1606" s="5" t="n">
        <v>46205.96681712963</v>
      </c>
      <c r="D1606" t="inlineStr">
        <is>
          <t>BUY</t>
        </is>
      </c>
      <c r="E1606" t="inlineStr">
        <is>
          <t>No</t>
        </is>
      </c>
      <c r="F1606" s="2" t="n">
        <v>0.999</v>
      </c>
      <c r="G1606" s="6" t="n">
        <v>100</v>
      </c>
      <c r="H1606" s="6">
        <f>F1606*G1606</f>
        <v/>
      </c>
      <c r="I1606">
        <f>_xlfn.XLOOKUP(A1606,MktTitle,MktCat,"n/a")</f>
        <v/>
      </c>
      <c r="J1606" s="3">
        <f>_xlfn.XLOOKUP(A1606,MktTitle,MktTotVol,0)</f>
        <v/>
      </c>
      <c r="K1606">
        <f>IF(H1606&gt;WhaleThreshold,"WHALE","")</f>
        <v/>
      </c>
    </row>
    <row r="1607">
      <c r="A1607" t="inlineStr">
        <is>
          <t>Will Egypt win the 2026 FIFA World Cup?</t>
        </is>
      </c>
      <c r="B1607" s="4" t="n">
        <v>46205</v>
      </c>
      <c r="C1607" s="5" t="n">
        <v>46205.96679398148</v>
      </c>
      <c r="D1607" t="inlineStr">
        <is>
          <t>BUY</t>
        </is>
      </c>
      <c r="E1607" t="inlineStr">
        <is>
          <t>No</t>
        </is>
      </c>
      <c r="F1607" s="2" t="n">
        <v>0.999</v>
      </c>
      <c r="G1607" s="6" t="n">
        <v>10</v>
      </c>
      <c r="H1607" s="6">
        <f>F1607*G1607</f>
        <v/>
      </c>
      <c r="I1607">
        <f>_xlfn.XLOOKUP(A1607,MktTitle,MktCat,"n/a")</f>
        <v/>
      </c>
      <c r="J1607" s="3">
        <f>_xlfn.XLOOKUP(A1607,MktTitle,MktTotVol,0)</f>
        <v/>
      </c>
      <c r="K1607">
        <f>IF(H1607&gt;WhaleThreshold,"WHALE","")</f>
        <v/>
      </c>
    </row>
    <row r="1608">
      <c r="A1608" t="inlineStr">
        <is>
          <t>Will Egypt win the 2026 FIFA World Cup?</t>
        </is>
      </c>
      <c r="B1608" s="4" t="n">
        <v>46205</v>
      </c>
      <c r="C1608" s="5" t="n">
        <v>46205.96679398148</v>
      </c>
      <c r="D1608" t="inlineStr">
        <is>
          <t>BUY</t>
        </is>
      </c>
      <c r="E1608" t="inlineStr">
        <is>
          <t>No</t>
        </is>
      </c>
      <c r="F1608" s="2" t="n">
        <v>0.999</v>
      </c>
      <c r="G1608" s="6" t="n">
        <v>15</v>
      </c>
      <c r="H1608" s="6">
        <f>F1608*G1608</f>
        <v/>
      </c>
      <c r="I1608">
        <f>_xlfn.XLOOKUP(A1608,MktTitle,MktCat,"n/a")</f>
        <v/>
      </c>
      <c r="J1608" s="3">
        <f>_xlfn.XLOOKUP(A1608,MktTitle,MktTotVol,0)</f>
        <v/>
      </c>
      <c r="K1608">
        <f>IF(H1608&gt;WhaleThreshold,"WHALE","")</f>
        <v/>
      </c>
    </row>
    <row r="1609">
      <c r="A1609" t="inlineStr">
        <is>
          <t>Will Egypt win the 2026 FIFA World Cup?</t>
        </is>
      </c>
      <c r="B1609" s="4" t="n">
        <v>46205</v>
      </c>
      <c r="C1609" s="5" t="n">
        <v>46205.96655092593</v>
      </c>
      <c r="D1609" t="inlineStr">
        <is>
          <t>BUY</t>
        </is>
      </c>
      <c r="E1609" t="inlineStr">
        <is>
          <t>No</t>
        </is>
      </c>
      <c r="F1609" s="2" t="n">
        <v>0.999</v>
      </c>
      <c r="G1609" s="6" t="n">
        <v>5</v>
      </c>
      <c r="H1609" s="6">
        <f>F1609*G1609</f>
        <v/>
      </c>
      <c r="I1609">
        <f>_xlfn.XLOOKUP(A1609,MktTitle,MktCat,"n/a")</f>
        <v/>
      </c>
      <c r="J1609" s="3">
        <f>_xlfn.XLOOKUP(A1609,MktTitle,MktTotVol,0)</f>
        <v/>
      </c>
      <c r="K1609">
        <f>IF(H1609&gt;WhaleThreshold,"WHALE","")</f>
        <v/>
      </c>
    </row>
    <row r="1610">
      <c r="A1610" t="inlineStr">
        <is>
          <t>Will Egypt win the 2026 FIFA World Cup?</t>
        </is>
      </c>
      <c r="B1610" s="4" t="n">
        <v>46205</v>
      </c>
      <c r="C1610" s="5" t="n">
        <v>46205.96655092593</v>
      </c>
      <c r="D1610" t="inlineStr">
        <is>
          <t>BUY</t>
        </is>
      </c>
      <c r="E1610" t="inlineStr">
        <is>
          <t>No</t>
        </is>
      </c>
      <c r="F1610" s="2" t="n">
        <v>0.999</v>
      </c>
      <c r="G1610" s="6" t="n">
        <v>115</v>
      </c>
      <c r="H1610" s="6">
        <f>F1610*G1610</f>
        <v/>
      </c>
      <c r="I1610">
        <f>_xlfn.XLOOKUP(A1610,MktTitle,MktCat,"n/a")</f>
        <v/>
      </c>
      <c r="J1610" s="3">
        <f>_xlfn.XLOOKUP(A1610,MktTitle,MktTotVol,0)</f>
        <v/>
      </c>
      <c r="K1610">
        <f>IF(H1610&gt;WhaleThreshold,"WHALE","")</f>
        <v/>
      </c>
    </row>
    <row r="1611">
      <c r="A1611" t="inlineStr">
        <is>
          <t>Will Egypt win the 2026 FIFA World Cup?</t>
        </is>
      </c>
      <c r="B1611" s="4" t="n">
        <v>46205</v>
      </c>
      <c r="C1611" s="5" t="n">
        <v>46205.96655092593</v>
      </c>
      <c r="D1611" t="inlineStr">
        <is>
          <t>BUY</t>
        </is>
      </c>
      <c r="E1611" t="inlineStr">
        <is>
          <t>No</t>
        </is>
      </c>
      <c r="F1611" s="2" t="n">
        <v>0.999</v>
      </c>
      <c r="G1611" s="6" t="n">
        <v>73.59999999999999</v>
      </c>
      <c r="H1611" s="6">
        <f>F1611*G1611</f>
        <v/>
      </c>
      <c r="I1611">
        <f>_xlfn.XLOOKUP(A1611,MktTitle,MktCat,"n/a")</f>
        <v/>
      </c>
      <c r="J1611" s="3">
        <f>_xlfn.XLOOKUP(A1611,MktTitle,MktTotVol,0)</f>
        <v/>
      </c>
      <c r="K1611">
        <f>IF(H1611&gt;WhaleThreshold,"WHALE","")</f>
        <v/>
      </c>
    </row>
    <row r="1612">
      <c r="A1612" t="inlineStr">
        <is>
          <t>Will Egypt win the 2026 FIFA World Cup?</t>
        </is>
      </c>
      <c r="B1612" s="4" t="n">
        <v>46205</v>
      </c>
      <c r="C1612" s="5" t="n">
        <v>46205.96653935185</v>
      </c>
      <c r="D1612" t="inlineStr">
        <is>
          <t>BUY</t>
        </is>
      </c>
      <c r="E1612" t="inlineStr">
        <is>
          <t>No</t>
        </is>
      </c>
      <c r="F1612" s="2" t="n">
        <v>0.999</v>
      </c>
      <c r="G1612" s="6" t="n">
        <v>115</v>
      </c>
      <c r="H1612" s="6">
        <f>F1612*G1612</f>
        <v/>
      </c>
      <c r="I1612">
        <f>_xlfn.XLOOKUP(A1612,MktTitle,MktCat,"n/a")</f>
        <v/>
      </c>
      <c r="J1612" s="3">
        <f>_xlfn.XLOOKUP(A1612,MktTitle,MktTotVol,0)</f>
        <v/>
      </c>
      <c r="K1612">
        <f>IF(H1612&gt;WhaleThreshold,"WHALE","")</f>
        <v/>
      </c>
    </row>
    <row r="1613">
      <c r="A1613" t="inlineStr">
        <is>
          <t>Will Egypt win the 2026 FIFA World Cup?</t>
        </is>
      </c>
      <c r="B1613" s="4" t="n">
        <v>46205</v>
      </c>
      <c r="C1613" s="5" t="n">
        <v>46205.96626157407</v>
      </c>
      <c r="D1613" t="inlineStr">
        <is>
          <t>BUY</t>
        </is>
      </c>
      <c r="E1613" t="inlineStr">
        <is>
          <t>No</t>
        </is>
      </c>
      <c r="F1613" s="2" t="n">
        <v>0.999</v>
      </c>
      <c r="G1613" s="6" t="n">
        <v>10.48</v>
      </c>
      <c r="H1613" s="6">
        <f>F1613*G1613</f>
        <v/>
      </c>
      <c r="I1613">
        <f>_xlfn.XLOOKUP(A1613,MktTitle,MktCat,"n/a")</f>
        <v/>
      </c>
      <c r="J1613" s="3">
        <f>_xlfn.XLOOKUP(A1613,MktTitle,MktTotVol,0)</f>
        <v/>
      </c>
      <c r="K1613">
        <f>IF(H1613&gt;WhaleThreshold,"WHALE","")</f>
        <v/>
      </c>
    </row>
    <row r="1614">
      <c r="A1614" t="inlineStr">
        <is>
          <t>Will Egypt win the 2026 FIFA World Cup?</t>
        </is>
      </c>
      <c r="B1614" s="4" t="n">
        <v>46205</v>
      </c>
      <c r="C1614" s="5" t="n">
        <v>46205.96626157407</v>
      </c>
      <c r="D1614" t="inlineStr">
        <is>
          <t>BUY</t>
        </is>
      </c>
      <c r="E1614" t="inlineStr">
        <is>
          <t>No</t>
        </is>
      </c>
      <c r="F1614" s="2" t="n">
        <v>0.999</v>
      </c>
      <c r="G1614" s="6" t="n">
        <v>10.64</v>
      </c>
      <c r="H1614" s="6">
        <f>F1614*G1614</f>
        <v/>
      </c>
      <c r="I1614">
        <f>_xlfn.XLOOKUP(A1614,MktTitle,MktCat,"n/a")</f>
        <v/>
      </c>
      <c r="J1614" s="3">
        <f>_xlfn.XLOOKUP(A1614,MktTitle,MktTotVol,0)</f>
        <v/>
      </c>
      <c r="K1614">
        <f>IF(H1614&gt;WhaleThreshold,"WHALE","")</f>
        <v/>
      </c>
    </row>
    <row r="1615">
      <c r="A1615" t="inlineStr">
        <is>
          <t>Will Egypt win the 2026 FIFA World Cup?</t>
        </is>
      </c>
      <c r="B1615" s="4" t="n">
        <v>46205</v>
      </c>
      <c r="C1615" s="5" t="n">
        <v>46205.96623842593</v>
      </c>
      <c r="D1615" t="inlineStr">
        <is>
          <t>BUY</t>
        </is>
      </c>
      <c r="E1615" t="inlineStr">
        <is>
          <t>No</t>
        </is>
      </c>
      <c r="F1615" s="2" t="n">
        <v>0.999</v>
      </c>
      <c r="G1615" s="6" t="n">
        <v>10.79</v>
      </c>
      <c r="H1615" s="6">
        <f>F1615*G1615</f>
        <v/>
      </c>
      <c r="I1615">
        <f>_xlfn.XLOOKUP(A1615,MktTitle,MktCat,"n/a")</f>
        <v/>
      </c>
      <c r="J1615" s="3">
        <f>_xlfn.XLOOKUP(A1615,MktTitle,MktTotVol,0)</f>
        <v/>
      </c>
      <c r="K1615">
        <f>IF(H1615&gt;WhaleThreshold,"WHALE","")</f>
        <v/>
      </c>
    </row>
    <row r="1616">
      <c r="A1616" t="inlineStr">
        <is>
          <t>Will Egypt win the 2026 FIFA World Cup?</t>
        </is>
      </c>
      <c r="B1616" s="4" t="n">
        <v>46205</v>
      </c>
      <c r="C1616" s="5" t="n">
        <v>46205.96622685185</v>
      </c>
      <c r="D1616" t="inlineStr">
        <is>
          <t>BUY</t>
        </is>
      </c>
      <c r="E1616" t="inlineStr">
        <is>
          <t>No</t>
        </is>
      </c>
      <c r="F1616" s="2" t="n">
        <v>0.999</v>
      </c>
      <c r="G1616" s="6" t="n">
        <v>10</v>
      </c>
      <c r="H1616" s="6">
        <f>F1616*G1616</f>
        <v/>
      </c>
      <c r="I1616">
        <f>_xlfn.XLOOKUP(A1616,MktTitle,MktCat,"n/a")</f>
        <v/>
      </c>
      <c r="J1616" s="3">
        <f>_xlfn.XLOOKUP(A1616,MktTitle,MktTotVol,0)</f>
        <v/>
      </c>
      <c r="K1616">
        <f>IF(H1616&gt;WhaleThreshold,"WHALE","")</f>
        <v/>
      </c>
    </row>
    <row r="1617">
      <c r="A1617" t="inlineStr">
        <is>
          <t>Will Egypt win the 2026 FIFA World Cup?</t>
        </is>
      </c>
      <c r="B1617" s="4" t="n">
        <v>46205</v>
      </c>
      <c r="C1617" s="5" t="n">
        <v>46205.96622685185</v>
      </c>
      <c r="D1617" t="inlineStr">
        <is>
          <t>BUY</t>
        </is>
      </c>
      <c r="E1617" t="inlineStr">
        <is>
          <t>No</t>
        </is>
      </c>
      <c r="F1617" s="2" t="n">
        <v>0.999</v>
      </c>
      <c r="G1617" s="6" t="n">
        <v>54</v>
      </c>
      <c r="H1617" s="6">
        <f>F1617*G1617</f>
        <v/>
      </c>
      <c r="I1617">
        <f>_xlfn.XLOOKUP(A1617,MktTitle,MktCat,"n/a")</f>
        <v/>
      </c>
      <c r="J1617" s="3">
        <f>_xlfn.XLOOKUP(A1617,MktTitle,MktTotVol,0)</f>
        <v/>
      </c>
      <c r="K1617">
        <f>IF(H1617&gt;WhaleThreshold,"WHALE","")</f>
        <v/>
      </c>
    </row>
    <row r="1618">
      <c r="A1618" t="inlineStr">
        <is>
          <t>Will Egypt win the 2026 FIFA World Cup?</t>
        </is>
      </c>
      <c r="B1618" s="4" t="n">
        <v>46205</v>
      </c>
      <c r="C1618" s="5" t="n">
        <v>46205.96594907407</v>
      </c>
      <c r="D1618" t="inlineStr">
        <is>
          <t>BUY</t>
        </is>
      </c>
      <c r="E1618" t="inlineStr">
        <is>
          <t>No</t>
        </is>
      </c>
      <c r="F1618" s="2" t="n">
        <v>0.999</v>
      </c>
      <c r="G1618" s="6" t="n">
        <v>10</v>
      </c>
      <c r="H1618" s="6">
        <f>F1618*G1618</f>
        <v/>
      </c>
      <c r="I1618">
        <f>_xlfn.XLOOKUP(A1618,MktTitle,MktCat,"n/a")</f>
        <v/>
      </c>
      <c r="J1618" s="3">
        <f>_xlfn.XLOOKUP(A1618,MktTitle,MktTotVol,0)</f>
        <v/>
      </c>
      <c r="K1618">
        <f>IF(H1618&gt;WhaleThreshold,"WHALE","")</f>
        <v/>
      </c>
    </row>
    <row r="1619">
      <c r="A1619" t="inlineStr">
        <is>
          <t>Will Egypt win the 2026 FIFA World Cup?</t>
        </is>
      </c>
      <c r="B1619" s="4" t="n">
        <v>46205</v>
      </c>
      <c r="C1619" s="5" t="n">
        <v>46205.96594907407</v>
      </c>
      <c r="D1619" t="inlineStr">
        <is>
          <t>BUY</t>
        </is>
      </c>
      <c r="E1619" t="inlineStr">
        <is>
          <t>No</t>
        </is>
      </c>
      <c r="F1619" s="2" t="n">
        <v>0.999</v>
      </c>
      <c r="G1619" s="6" t="n">
        <v>28</v>
      </c>
      <c r="H1619" s="6">
        <f>F1619*G1619</f>
        <v/>
      </c>
      <c r="I1619">
        <f>_xlfn.XLOOKUP(A1619,MktTitle,MktCat,"n/a")</f>
        <v/>
      </c>
      <c r="J1619" s="3">
        <f>_xlfn.XLOOKUP(A1619,MktTitle,MktTotVol,0)</f>
        <v/>
      </c>
      <c r="K1619">
        <f>IF(H1619&gt;WhaleThreshold,"WHALE","")</f>
        <v/>
      </c>
    </row>
    <row r="1620">
      <c r="A1620" t="inlineStr">
        <is>
          <t>Will Egypt win the 2026 FIFA World Cup?</t>
        </is>
      </c>
      <c r="B1620" s="4" t="n">
        <v>46205</v>
      </c>
      <c r="C1620" s="5" t="n">
        <v>46205.96582175926</v>
      </c>
      <c r="D1620" t="inlineStr">
        <is>
          <t>BUY</t>
        </is>
      </c>
      <c r="E1620" t="inlineStr">
        <is>
          <t>No</t>
        </is>
      </c>
      <c r="F1620" s="2" t="n">
        <v>0.999</v>
      </c>
      <c r="G1620" s="6" t="n">
        <v>5</v>
      </c>
      <c r="H1620" s="6">
        <f>F1620*G1620</f>
        <v/>
      </c>
      <c r="I1620">
        <f>_xlfn.XLOOKUP(A1620,MktTitle,MktCat,"n/a")</f>
        <v/>
      </c>
      <c r="J1620" s="3">
        <f>_xlfn.XLOOKUP(A1620,MktTitle,MktTotVol,0)</f>
        <v/>
      </c>
      <c r="K1620">
        <f>IF(H1620&gt;WhaleThreshold,"WHALE","")</f>
        <v/>
      </c>
    </row>
    <row r="1621">
      <c r="A1621" t="inlineStr">
        <is>
          <t>Will Egypt win the 2026 FIFA World Cup?</t>
        </is>
      </c>
      <c r="B1621" s="4" t="n">
        <v>46205</v>
      </c>
      <c r="C1621" s="5" t="n">
        <v>46205.96581018518</v>
      </c>
      <c r="D1621" t="inlineStr">
        <is>
          <t>BUY</t>
        </is>
      </c>
      <c r="E1621" t="inlineStr">
        <is>
          <t>No</t>
        </is>
      </c>
      <c r="F1621" s="2" t="n">
        <v>0.999</v>
      </c>
      <c r="G1621" s="6" t="n">
        <v>37.4</v>
      </c>
      <c r="H1621" s="6">
        <f>F1621*G1621</f>
        <v/>
      </c>
      <c r="I1621">
        <f>_xlfn.XLOOKUP(A1621,MktTitle,MktCat,"n/a")</f>
        <v/>
      </c>
      <c r="J1621" s="3">
        <f>_xlfn.XLOOKUP(A1621,MktTitle,MktTotVol,0)</f>
        <v/>
      </c>
      <c r="K1621">
        <f>IF(H1621&gt;WhaleThreshold,"WHALE","")</f>
        <v/>
      </c>
    </row>
    <row r="1622">
      <c r="A1622" t="inlineStr">
        <is>
          <t>Will Egypt win the 2026 FIFA World Cup?</t>
        </is>
      </c>
      <c r="B1622" s="4" t="n">
        <v>46205</v>
      </c>
      <c r="C1622" s="5" t="n">
        <v>46205.96581018518</v>
      </c>
      <c r="D1622" t="inlineStr">
        <is>
          <t>BUY</t>
        </is>
      </c>
      <c r="E1622" t="inlineStr">
        <is>
          <t>No</t>
        </is>
      </c>
      <c r="F1622" s="2" t="n">
        <v>0.999</v>
      </c>
      <c r="G1622" s="6" t="n">
        <v>115</v>
      </c>
      <c r="H1622" s="6">
        <f>F1622*G1622</f>
        <v/>
      </c>
      <c r="I1622">
        <f>_xlfn.XLOOKUP(A1622,MktTitle,MktCat,"n/a")</f>
        <v/>
      </c>
      <c r="J1622" s="3">
        <f>_xlfn.XLOOKUP(A1622,MktTitle,MktTotVol,0)</f>
        <v/>
      </c>
      <c r="K1622">
        <f>IF(H1622&gt;WhaleThreshold,"WHALE","")</f>
        <v/>
      </c>
    </row>
    <row r="1623">
      <c r="A1623" t="inlineStr">
        <is>
          <t>Will Egypt win the 2026 FIFA World Cup?</t>
        </is>
      </c>
      <c r="B1623" s="4" t="n">
        <v>46205</v>
      </c>
      <c r="C1623" s="5" t="n">
        <v>46205.9641550926</v>
      </c>
      <c r="D1623" t="inlineStr">
        <is>
          <t>BUY</t>
        </is>
      </c>
      <c r="E1623" t="inlineStr">
        <is>
          <t>No</t>
        </is>
      </c>
      <c r="F1623" s="2" t="n">
        <v>0.999</v>
      </c>
      <c r="G1623" s="6" t="n">
        <v>15</v>
      </c>
      <c r="H1623" s="6">
        <f>F1623*G1623</f>
        <v/>
      </c>
      <c r="I1623">
        <f>_xlfn.XLOOKUP(A1623,MktTitle,MktCat,"n/a")</f>
        <v/>
      </c>
      <c r="J1623" s="3">
        <f>_xlfn.XLOOKUP(A1623,MktTitle,MktTotVol,0)</f>
        <v/>
      </c>
      <c r="K1623">
        <f>IF(H1623&gt;WhaleThreshold,"WHALE","")</f>
        <v/>
      </c>
    </row>
    <row r="1624">
      <c r="A1624" t="inlineStr">
        <is>
          <t>Will Egypt win the 2026 FIFA World Cup?</t>
        </is>
      </c>
      <c r="B1624" s="4" t="n">
        <v>46205</v>
      </c>
      <c r="C1624" s="5" t="n">
        <v>46205.9641550926</v>
      </c>
      <c r="D1624" t="inlineStr">
        <is>
          <t>BUY</t>
        </is>
      </c>
      <c r="E1624" t="inlineStr">
        <is>
          <t>No</t>
        </is>
      </c>
      <c r="F1624" s="2" t="n">
        <v>0.999</v>
      </c>
      <c r="G1624" s="6" t="n">
        <v>39</v>
      </c>
      <c r="H1624" s="6">
        <f>F1624*G1624</f>
        <v/>
      </c>
      <c r="I1624">
        <f>_xlfn.XLOOKUP(A1624,MktTitle,MktCat,"n/a")</f>
        <v/>
      </c>
      <c r="J1624" s="3">
        <f>_xlfn.XLOOKUP(A1624,MktTitle,MktTotVol,0)</f>
        <v/>
      </c>
      <c r="K1624">
        <f>IF(H1624&gt;WhaleThreshold,"WHALE","")</f>
        <v/>
      </c>
    </row>
    <row r="1625">
      <c r="A1625" t="inlineStr">
        <is>
          <t>Will Egypt win the 2026 FIFA World Cup?</t>
        </is>
      </c>
      <c r="B1625" s="4" t="n">
        <v>46205</v>
      </c>
      <c r="C1625" s="5" t="n">
        <v>46205.96412037037</v>
      </c>
      <c r="D1625" t="inlineStr">
        <is>
          <t>BUY</t>
        </is>
      </c>
      <c r="E1625" t="inlineStr">
        <is>
          <t>No</t>
        </is>
      </c>
      <c r="F1625" s="2" t="n">
        <v>0.999</v>
      </c>
      <c r="G1625" s="6" t="n">
        <v>116</v>
      </c>
      <c r="H1625" s="6">
        <f>F1625*G1625</f>
        <v/>
      </c>
      <c r="I1625">
        <f>_xlfn.XLOOKUP(A1625,MktTitle,MktCat,"n/a")</f>
        <v/>
      </c>
      <c r="J1625" s="3">
        <f>_xlfn.XLOOKUP(A1625,MktTitle,MktTotVol,0)</f>
        <v/>
      </c>
      <c r="K1625">
        <f>IF(H1625&gt;WhaleThreshold,"WHALE","")</f>
        <v/>
      </c>
    </row>
    <row r="1626">
      <c r="A1626" t="inlineStr">
        <is>
          <t>Will Egypt win the 2026 FIFA World Cup?</t>
        </is>
      </c>
      <c r="B1626" s="4" t="n">
        <v>46205</v>
      </c>
      <c r="C1626" s="5" t="n">
        <v>46205.96412037037</v>
      </c>
      <c r="D1626" t="inlineStr">
        <is>
          <t>BUY</t>
        </is>
      </c>
      <c r="E1626" t="inlineStr">
        <is>
          <t>No</t>
        </is>
      </c>
      <c r="F1626" s="2" t="n">
        <v>0.999</v>
      </c>
      <c r="G1626" s="6" t="n">
        <v>62</v>
      </c>
      <c r="H1626" s="6">
        <f>F1626*G1626</f>
        <v/>
      </c>
      <c r="I1626">
        <f>_xlfn.XLOOKUP(A1626,MktTitle,MktCat,"n/a")</f>
        <v/>
      </c>
      <c r="J1626" s="3">
        <f>_xlfn.XLOOKUP(A1626,MktTitle,MktTotVol,0)</f>
        <v/>
      </c>
      <c r="K1626">
        <f>IF(H1626&gt;WhaleThreshold,"WHALE","")</f>
        <v/>
      </c>
    </row>
    <row r="1627">
      <c r="A1627" t="inlineStr">
        <is>
          <t>Will Egypt win the 2026 FIFA World Cup?</t>
        </is>
      </c>
      <c r="B1627" s="4" t="n">
        <v>46205</v>
      </c>
      <c r="C1627" s="5" t="n">
        <v>46205.9641087963</v>
      </c>
      <c r="D1627" t="inlineStr">
        <is>
          <t>BUY</t>
        </is>
      </c>
      <c r="E1627" t="inlineStr">
        <is>
          <t>No</t>
        </is>
      </c>
      <c r="F1627" s="2" t="n">
        <v>0.999</v>
      </c>
      <c r="G1627" s="6" t="n">
        <v>110</v>
      </c>
      <c r="H1627" s="6">
        <f>F1627*G1627</f>
        <v/>
      </c>
      <c r="I1627">
        <f>_xlfn.XLOOKUP(A1627,MktTitle,MktCat,"n/a")</f>
        <v/>
      </c>
      <c r="J1627" s="3">
        <f>_xlfn.XLOOKUP(A1627,MktTitle,MktTotVol,0)</f>
        <v/>
      </c>
      <c r="K1627">
        <f>IF(H1627&gt;WhaleThreshold,"WHALE","")</f>
        <v/>
      </c>
    </row>
    <row r="1628">
      <c r="A1628" t="inlineStr">
        <is>
          <t>Will Egypt win the 2026 FIFA World Cup?</t>
        </is>
      </c>
      <c r="B1628" s="4" t="n">
        <v>46205</v>
      </c>
      <c r="C1628" s="5" t="n">
        <v>46205.9641087963</v>
      </c>
      <c r="D1628" t="inlineStr">
        <is>
          <t>BUY</t>
        </is>
      </c>
      <c r="E1628" t="inlineStr">
        <is>
          <t>No</t>
        </is>
      </c>
      <c r="F1628" s="2" t="n">
        <v>0.999</v>
      </c>
      <c r="G1628" s="6" t="n">
        <v>25.5</v>
      </c>
      <c r="H1628" s="6">
        <f>F1628*G1628</f>
        <v/>
      </c>
      <c r="I1628">
        <f>_xlfn.XLOOKUP(A1628,MktTitle,MktCat,"n/a")</f>
        <v/>
      </c>
      <c r="J1628" s="3">
        <f>_xlfn.XLOOKUP(A1628,MktTitle,MktTotVol,0)</f>
        <v/>
      </c>
      <c r="K1628">
        <f>IF(H1628&gt;WhaleThreshold,"WHALE","")</f>
        <v/>
      </c>
    </row>
    <row r="1629">
      <c r="A1629" t="inlineStr">
        <is>
          <t>Will Egypt win the 2026 FIFA World Cup?</t>
        </is>
      </c>
      <c r="B1629" s="4" t="n">
        <v>46205</v>
      </c>
      <c r="C1629" s="5" t="n">
        <v>46205.96408564815</v>
      </c>
      <c r="D1629" t="inlineStr">
        <is>
          <t>BUY</t>
        </is>
      </c>
      <c r="E1629" t="inlineStr">
        <is>
          <t>No</t>
        </is>
      </c>
      <c r="F1629" s="2" t="n">
        <v>0.999</v>
      </c>
      <c r="G1629" s="6" t="n">
        <v>51.1</v>
      </c>
      <c r="H1629" s="6">
        <f>F1629*G1629</f>
        <v/>
      </c>
      <c r="I1629">
        <f>_xlfn.XLOOKUP(A1629,MktTitle,MktCat,"n/a")</f>
        <v/>
      </c>
      <c r="J1629" s="3">
        <f>_xlfn.XLOOKUP(A1629,MktTitle,MktTotVol,0)</f>
        <v/>
      </c>
      <c r="K1629">
        <f>IF(H1629&gt;WhaleThreshold,"WHALE","")</f>
        <v/>
      </c>
    </row>
    <row r="1630">
      <c r="A1630" t="inlineStr">
        <is>
          <t>Will Egypt win the 2026 FIFA World Cup?</t>
        </is>
      </c>
      <c r="B1630" s="4" t="n">
        <v>46205</v>
      </c>
      <c r="C1630" s="5" t="n">
        <v>46205.96408564815</v>
      </c>
      <c r="D1630" t="inlineStr">
        <is>
          <t>BUY</t>
        </is>
      </c>
      <c r="E1630" t="inlineStr">
        <is>
          <t>No</t>
        </is>
      </c>
      <c r="F1630" s="2" t="n">
        <v>0.999</v>
      </c>
      <c r="G1630" s="6" t="n">
        <v>110</v>
      </c>
      <c r="H1630" s="6">
        <f>F1630*G1630</f>
        <v/>
      </c>
      <c r="I1630">
        <f>_xlfn.XLOOKUP(A1630,MktTitle,MktCat,"n/a")</f>
        <v/>
      </c>
      <c r="J1630" s="3">
        <f>_xlfn.XLOOKUP(A1630,MktTitle,MktTotVol,0)</f>
        <v/>
      </c>
      <c r="K1630">
        <f>IF(H1630&gt;WhaleThreshold,"WHALE","")</f>
        <v/>
      </c>
    </row>
    <row r="1631">
      <c r="A1631" t="inlineStr">
        <is>
          <t>Will Egypt win the 2026 FIFA World Cup?</t>
        </is>
      </c>
      <c r="B1631" s="4" t="n">
        <v>46205</v>
      </c>
      <c r="C1631" s="5" t="n">
        <v>46205.96408564815</v>
      </c>
      <c r="D1631" t="inlineStr">
        <is>
          <t>BUY</t>
        </is>
      </c>
      <c r="E1631" t="inlineStr">
        <is>
          <t>No</t>
        </is>
      </c>
      <c r="F1631" s="2" t="n">
        <v>0.999</v>
      </c>
      <c r="G1631" s="6" t="n">
        <v>110</v>
      </c>
      <c r="H1631" s="6">
        <f>F1631*G1631</f>
        <v/>
      </c>
      <c r="I1631">
        <f>_xlfn.XLOOKUP(A1631,MktTitle,MktCat,"n/a")</f>
        <v/>
      </c>
      <c r="J1631" s="3">
        <f>_xlfn.XLOOKUP(A1631,MktTitle,MktTotVol,0)</f>
        <v/>
      </c>
      <c r="K1631">
        <f>IF(H1631&gt;WhaleThreshold,"WHALE","")</f>
        <v/>
      </c>
    </row>
    <row r="1632">
      <c r="A1632" t="inlineStr">
        <is>
          <t>Will Egypt win the 2026 FIFA World Cup?</t>
        </is>
      </c>
      <c r="B1632" s="4" t="n">
        <v>46205</v>
      </c>
      <c r="C1632" s="5" t="n">
        <v>46205.96408564815</v>
      </c>
      <c r="D1632" t="inlineStr">
        <is>
          <t>BUY</t>
        </is>
      </c>
      <c r="E1632" t="inlineStr">
        <is>
          <t>No</t>
        </is>
      </c>
      <c r="F1632" s="2" t="n">
        <v>0.999</v>
      </c>
      <c r="G1632" s="6" t="n">
        <v>10</v>
      </c>
      <c r="H1632" s="6">
        <f>F1632*G1632</f>
        <v/>
      </c>
      <c r="I1632">
        <f>_xlfn.XLOOKUP(A1632,MktTitle,MktCat,"n/a")</f>
        <v/>
      </c>
      <c r="J1632" s="3">
        <f>_xlfn.XLOOKUP(A1632,MktTitle,MktTotVol,0)</f>
        <v/>
      </c>
      <c r="K1632">
        <f>IF(H1632&gt;WhaleThreshold,"WHALE","")</f>
        <v/>
      </c>
    </row>
    <row r="1633">
      <c r="A1633" t="inlineStr">
        <is>
          <t>Will Egypt win the 2026 FIFA World Cup?</t>
        </is>
      </c>
      <c r="B1633" s="4" t="n">
        <v>46205</v>
      </c>
      <c r="C1633" s="5" t="n">
        <v>46205.96407407407</v>
      </c>
      <c r="D1633" t="inlineStr">
        <is>
          <t>BUY</t>
        </is>
      </c>
      <c r="E1633" t="inlineStr">
        <is>
          <t>No</t>
        </is>
      </c>
      <c r="F1633" s="2" t="n">
        <v>0.999</v>
      </c>
      <c r="G1633" s="6" t="n">
        <v>5</v>
      </c>
      <c r="H1633" s="6">
        <f>F1633*G1633</f>
        <v/>
      </c>
      <c r="I1633">
        <f>_xlfn.XLOOKUP(A1633,MktTitle,MktCat,"n/a")</f>
        <v/>
      </c>
      <c r="J1633" s="3">
        <f>_xlfn.XLOOKUP(A1633,MktTitle,MktTotVol,0)</f>
        <v/>
      </c>
      <c r="K1633">
        <f>IF(H1633&gt;WhaleThreshold,"WHALE","")</f>
        <v/>
      </c>
    </row>
    <row r="1634">
      <c r="A1634" t="inlineStr">
        <is>
          <t>Will Egypt win the 2026 FIFA World Cup?</t>
        </is>
      </c>
      <c r="B1634" s="4" t="n">
        <v>46205</v>
      </c>
      <c r="C1634" s="5" t="n">
        <v>46205.96407407407</v>
      </c>
      <c r="D1634" t="inlineStr">
        <is>
          <t>BUY</t>
        </is>
      </c>
      <c r="E1634" t="inlineStr">
        <is>
          <t>No</t>
        </is>
      </c>
      <c r="F1634" s="2" t="n">
        <v>0.999</v>
      </c>
      <c r="G1634" s="6" t="n">
        <v>73.59999999999999</v>
      </c>
      <c r="H1634" s="6">
        <f>F1634*G1634</f>
        <v/>
      </c>
      <c r="I1634">
        <f>_xlfn.XLOOKUP(A1634,MktTitle,MktCat,"n/a")</f>
        <v/>
      </c>
      <c r="J1634" s="3">
        <f>_xlfn.XLOOKUP(A1634,MktTitle,MktTotVol,0)</f>
        <v/>
      </c>
      <c r="K1634">
        <f>IF(H1634&gt;WhaleThreshold,"WHALE","")</f>
        <v/>
      </c>
    </row>
    <row r="1635">
      <c r="A1635" t="inlineStr">
        <is>
          <t>Will Egypt win the 2026 FIFA World Cup?</t>
        </is>
      </c>
      <c r="B1635" s="4" t="n">
        <v>46205</v>
      </c>
      <c r="C1635" s="5" t="n">
        <v>46205.96403935185</v>
      </c>
      <c r="D1635" t="inlineStr">
        <is>
          <t>BUY</t>
        </is>
      </c>
      <c r="E1635" t="inlineStr">
        <is>
          <t>No</t>
        </is>
      </c>
      <c r="F1635" s="2" t="n">
        <v>0.999</v>
      </c>
      <c r="G1635" s="6" t="n">
        <v>115</v>
      </c>
      <c r="H1635" s="6">
        <f>F1635*G1635</f>
        <v/>
      </c>
      <c r="I1635">
        <f>_xlfn.XLOOKUP(A1635,MktTitle,MktCat,"n/a")</f>
        <v/>
      </c>
      <c r="J1635" s="3">
        <f>_xlfn.XLOOKUP(A1635,MktTitle,MktTotVol,0)</f>
        <v/>
      </c>
      <c r="K1635">
        <f>IF(H1635&gt;WhaleThreshold,"WHALE","")</f>
        <v/>
      </c>
    </row>
    <row r="1636">
      <c r="A1636" t="inlineStr">
        <is>
          <t>Will Egypt win the 2026 FIFA World Cup?</t>
        </is>
      </c>
      <c r="B1636" s="4" t="n">
        <v>46205</v>
      </c>
      <c r="C1636" s="5" t="n">
        <v>46205.96325231482</v>
      </c>
      <c r="D1636" t="inlineStr">
        <is>
          <t>BUY</t>
        </is>
      </c>
      <c r="E1636" t="inlineStr">
        <is>
          <t>No</t>
        </is>
      </c>
      <c r="F1636" s="2" t="n">
        <v>0.999</v>
      </c>
      <c r="G1636" s="6" t="n">
        <v>20</v>
      </c>
      <c r="H1636" s="6">
        <f>F1636*G1636</f>
        <v/>
      </c>
      <c r="I1636">
        <f>_xlfn.XLOOKUP(A1636,MktTitle,MktCat,"n/a")</f>
        <v/>
      </c>
      <c r="J1636" s="3">
        <f>_xlfn.XLOOKUP(A1636,MktTitle,MktTotVol,0)</f>
        <v/>
      </c>
      <c r="K1636">
        <f>IF(H1636&gt;WhaleThreshold,"WHALE","")</f>
        <v/>
      </c>
    </row>
    <row r="1637">
      <c r="A1637" t="inlineStr">
        <is>
          <t>Will Egypt win the 2026 FIFA World Cup?</t>
        </is>
      </c>
      <c r="B1637" s="4" t="n">
        <v>46205</v>
      </c>
      <c r="C1637" s="5" t="n">
        <v>46205.96325231482</v>
      </c>
      <c r="D1637" t="inlineStr">
        <is>
          <t>BUY</t>
        </is>
      </c>
      <c r="E1637" t="inlineStr">
        <is>
          <t>No</t>
        </is>
      </c>
      <c r="F1637" s="2" t="n">
        <v>0.999</v>
      </c>
      <c r="G1637" s="6" t="n">
        <v>16</v>
      </c>
      <c r="H1637" s="6">
        <f>F1637*G1637</f>
        <v/>
      </c>
      <c r="I1637">
        <f>_xlfn.XLOOKUP(A1637,MktTitle,MktCat,"n/a")</f>
        <v/>
      </c>
      <c r="J1637" s="3">
        <f>_xlfn.XLOOKUP(A1637,MktTitle,MktTotVol,0)</f>
        <v/>
      </c>
      <c r="K1637">
        <f>IF(H1637&gt;WhaleThreshold,"WHALE","")</f>
        <v/>
      </c>
    </row>
    <row r="1638">
      <c r="A1638" t="inlineStr">
        <is>
          <t>Will Egypt win the 2026 FIFA World Cup?</t>
        </is>
      </c>
      <c r="B1638" s="4" t="n">
        <v>46205</v>
      </c>
      <c r="C1638" s="5" t="n">
        <v>46205.96321759259</v>
      </c>
      <c r="D1638" t="inlineStr">
        <is>
          <t>BUY</t>
        </is>
      </c>
      <c r="E1638" t="inlineStr">
        <is>
          <t>No</t>
        </is>
      </c>
      <c r="F1638" s="2" t="n">
        <v>0.999</v>
      </c>
      <c r="G1638" s="6" t="n">
        <v>2.1</v>
      </c>
      <c r="H1638" s="6">
        <f>F1638*G1638</f>
        <v/>
      </c>
      <c r="I1638">
        <f>_xlfn.XLOOKUP(A1638,MktTitle,MktCat,"n/a")</f>
        <v/>
      </c>
      <c r="J1638" s="3">
        <f>_xlfn.XLOOKUP(A1638,MktTitle,MktTotVol,0)</f>
        <v/>
      </c>
      <c r="K1638">
        <f>IF(H1638&gt;WhaleThreshold,"WHALE","")</f>
        <v/>
      </c>
    </row>
    <row r="1639">
      <c r="A1639" t="inlineStr">
        <is>
          <t>Will Egypt win the 2026 FIFA World Cup?</t>
        </is>
      </c>
      <c r="B1639" s="4" t="n">
        <v>46205</v>
      </c>
      <c r="C1639" s="5" t="n">
        <v>46205.96318287037</v>
      </c>
      <c r="D1639" t="inlineStr">
        <is>
          <t>SELL</t>
        </is>
      </c>
      <c r="E1639" t="inlineStr">
        <is>
          <t>No</t>
        </is>
      </c>
      <c r="F1639" s="2" t="n">
        <v>0.998</v>
      </c>
      <c r="G1639" s="6" t="n">
        <v>10.36</v>
      </c>
      <c r="H1639" s="6">
        <f>F1639*G1639</f>
        <v/>
      </c>
      <c r="I1639">
        <f>_xlfn.XLOOKUP(A1639,MktTitle,MktCat,"n/a")</f>
        <v/>
      </c>
      <c r="J1639" s="3">
        <f>_xlfn.XLOOKUP(A1639,MktTitle,MktTotVol,0)</f>
        <v/>
      </c>
      <c r="K1639">
        <f>IF(H1639&gt;WhaleThreshold,"WHALE","")</f>
        <v/>
      </c>
    </row>
    <row r="1640">
      <c r="A1640" t="inlineStr">
        <is>
          <t>Will Egypt win the 2026 FIFA World Cup?</t>
        </is>
      </c>
      <c r="B1640" s="4" t="n">
        <v>46205</v>
      </c>
      <c r="C1640" s="5" t="n">
        <v>46205.96317129629</v>
      </c>
      <c r="D1640" t="inlineStr">
        <is>
          <t>SELL</t>
        </is>
      </c>
      <c r="E1640" t="inlineStr">
        <is>
          <t>No</t>
        </is>
      </c>
      <c r="F1640" s="2" t="n">
        <v>0.998</v>
      </c>
      <c r="G1640" s="6" t="n">
        <v>10.49</v>
      </c>
      <c r="H1640" s="6">
        <f>F1640*G1640</f>
        <v/>
      </c>
      <c r="I1640">
        <f>_xlfn.XLOOKUP(A1640,MktTitle,MktCat,"n/a")</f>
        <v/>
      </c>
      <c r="J1640" s="3">
        <f>_xlfn.XLOOKUP(A1640,MktTitle,MktTotVol,0)</f>
        <v/>
      </c>
      <c r="K1640">
        <f>IF(H1640&gt;WhaleThreshold,"WHALE","")</f>
        <v/>
      </c>
    </row>
    <row r="1641">
      <c r="A1641" t="inlineStr">
        <is>
          <t>Will Egypt win the 2026 FIFA World Cup?</t>
        </is>
      </c>
      <c r="B1641" s="4" t="n">
        <v>46205</v>
      </c>
      <c r="C1641" s="5" t="n">
        <v>46205.96313657407</v>
      </c>
      <c r="D1641" t="inlineStr">
        <is>
          <t>SELL</t>
        </is>
      </c>
      <c r="E1641" t="inlineStr">
        <is>
          <t>No</t>
        </is>
      </c>
      <c r="F1641" s="2" t="n">
        <v>0.998</v>
      </c>
      <c r="G1641" s="6" t="n">
        <v>10.49</v>
      </c>
      <c r="H1641" s="6">
        <f>F1641*G1641</f>
        <v/>
      </c>
      <c r="I1641">
        <f>_xlfn.XLOOKUP(A1641,MktTitle,MktCat,"n/a")</f>
        <v/>
      </c>
      <c r="J1641" s="3">
        <f>_xlfn.XLOOKUP(A1641,MktTitle,MktTotVol,0)</f>
        <v/>
      </c>
      <c r="K1641">
        <f>IF(H1641&gt;WhaleThreshold,"WHALE","")</f>
        <v/>
      </c>
    </row>
    <row r="1642">
      <c r="A1642" t="inlineStr">
        <is>
          <t>Will Egypt win the 2026 FIFA World Cup?</t>
        </is>
      </c>
      <c r="B1642" s="4" t="n">
        <v>46205</v>
      </c>
      <c r="C1642" s="5" t="n">
        <v>46205.9630787037</v>
      </c>
      <c r="D1642" t="inlineStr">
        <is>
          <t>SELL</t>
        </is>
      </c>
      <c r="E1642" t="inlineStr">
        <is>
          <t>No</t>
        </is>
      </c>
      <c r="F1642" s="2" t="n">
        <v>0.998</v>
      </c>
      <c r="G1642" s="6" t="n">
        <v>10.49</v>
      </c>
      <c r="H1642" s="6">
        <f>F1642*G1642</f>
        <v/>
      </c>
      <c r="I1642">
        <f>_xlfn.XLOOKUP(A1642,MktTitle,MktCat,"n/a")</f>
        <v/>
      </c>
      <c r="J1642" s="3">
        <f>_xlfn.XLOOKUP(A1642,MktTitle,MktTotVol,0)</f>
        <v/>
      </c>
      <c r="K1642">
        <f>IF(H1642&gt;WhaleThreshold,"WHALE","")</f>
        <v/>
      </c>
    </row>
    <row r="1643">
      <c r="A1643" t="inlineStr">
        <is>
          <t>Will Egypt win the 2026 FIFA World Cup?</t>
        </is>
      </c>
      <c r="B1643" s="4" t="n">
        <v>46205</v>
      </c>
      <c r="C1643" s="5" t="n">
        <v>46205.96300925926</v>
      </c>
      <c r="D1643" t="inlineStr">
        <is>
          <t>BUY</t>
        </is>
      </c>
      <c r="E1643" t="inlineStr">
        <is>
          <t>No</t>
        </is>
      </c>
      <c r="F1643" s="2" t="n">
        <v>0.999</v>
      </c>
      <c r="G1643" s="6" t="n">
        <v>10</v>
      </c>
      <c r="H1643" s="6">
        <f>F1643*G1643</f>
        <v/>
      </c>
      <c r="I1643">
        <f>_xlfn.XLOOKUP(A1643,MktTitle,MktCat,"n/a")</f>
        <v/>
      </c>
      <c r="J1643" s="3">
        <f>_xlfn.XLOOKUP(A1643,MktTitle,MktTotVol,0)</f>
        <v/>
      </c>
      <c r="K1643">
        <f>IF(H1643&gt;WhaleThreshold,"WHALE","")</f>
        <v/>
      </c>
    </row>
    <row r="1644">
      <c r="A1644" t="inlineStr">
        <is>
          <t>Will Egypt win the 2026 FIFA World Cup?</t>
        </is>
      </c>
      <c r="B1644" s="4" t="n">
        <v>46205</v>
      </c>
      <c r="C1644" s="5" t="n">
        <v>46205.96278935186</v>
      </c>
      <c r="D1644" t="inlineStr">
        <is>
          <t>BUY</t>
        </is>
      </c>
      <c r="E1644" t="inlineStr">
        <is>
          <t>No</t>
        </is>
      </c>
      <c r="F1644" s="2" t="n">
        <v>0.999</v>
      </c>
      <c r="G1644" s="6" t="n">
        <v>10.49</v>
      </c>
      <c r="H1644" s="6">
        <f>F1644*G1644</f>
        <v/>
      </c>
      <c r="I1644">
        <f>_xlfn.XLOOKUP(A1644,MktTitle,MktCat,"n/a")</f>
        <v/>
      </c>
      <c r="J1644" s="3">
        <f>_xlfn.XLOOKUP(A1644,MktTitle,MktTotVol,0)</f>
        <v/>
      </c>
      <c r="K1644">
        <f>IF(H1644&gt;WhaleThreshold,"WHALE","")</f>
        <v/>
      </c>
    </row>
    <row r="1645">
      <c r="A1645" t="inlineStr">
        <is>
          <t>Will Egypt win the 2026 FIFA World Cup?</t>
        </is>
      </c>
      <c r="B1645" s="4" t="n">
        <v>46205</v>
      </c>
      <c r="C1645" s="5" t="n">
        <v>46205.96278935186</v>
      </c>
      <c r="D1645" t="inlineStr">
        <is>
          <t>BUY</t>
        </is>
      </c>
      <c r="E1645" t="inlineStr">
        <is>
          <t>No</t>
        </is>
      </c>
      <c r="F1645" s="2" t="n">
        <v>0.999</v>
      </c>
      <c r="G1645" s="6" t="n">
        <v>10.37</v>
      </c>
      <c r="H1645" s="6">
        <f>F1645*G1645</f>
        <v/>
      </c>
      <c r="I1645">
        <f>_xlfn.XLOOKUP(A1645,MktTitle,MktCat,"n/a")</f>
        <v/>
      </c>
      <c r="J1645" s="3">
        <f>_xlfn.XLOOKUP(A1645,MktTitle,MktTotVol,0)</f>
        <v/>
      </c>
      <c r="K1645">
        <f>IF(H1645&gt;WhaleThreshold,"WHALE","")</f>
        <v/>
      </c>
    </row>
    <row r="1646">
      <c r="A1646" t="inlineStr">
        <is>
          <t>Will Egypt win the 2026 FIFA World Cup?</t>
        </is>
      </c>
      <c r="B1646" s="4" t="n">
        <v>46205</v>
      </c>
      <c r="C1646" s="5" t="n">
        <v>46205.96278935186</v>
      </c>
      <c r="D1646" t="inlineStr">
        <is>
          <t>BUY</t>
        </is>
      </c>
      <c r="E1646" t="inlineStr">
        <is>
          <t>No</t>
        </is>
      </c>
      <c r="F1646" s="2" t="n">
        <v>0.999</v>
      </c>
      <c r="G1646" s="6" t="n">
        <v>10.49</v>
      </c>
      <c r="H1646" s="6">
        <f>F1646*G1646</f>
        <v/>
      </c>
      <c r="I1646">
        <f>_xlfn.XLOOKUP(A1646,MktTitle,MktCat,"n/a")</f>
        <v/>
      </c>
      <c r="J1646" s="3">
        <f>_xlfn.XLOOKUP(A1646,MktTitle,MktTotVol,0)</f>
        <v/>
      </c>
      <c r="K1646">
        <f>IF(H1646&gt;WhaleThreshold,"WHALE","")</f>
        <v/>
      </c>
    </row>
    <row r="1647">
      <c r="A1647" t="inlineStr">
        <is>
          <t>Will Egypt win the 2026 FIFA World Cup?</t>
        </is>
      </c>
      <c r="B1647" s="4" t="n">
        <v>46205</v>
      </c>
      <c r="C1647" s="5" t="n">
        <v>46205.96278935186</v>
      </c>
      <c r="D1647" t="inlineStr">
        <is>
          <t>BUY</t>
        </is>
      </c>
      <c r="E1647" t="inlineStr">
        <is>
          <t>No</t>
        </is>
      </c>
      <c r="F1647" s="2" t="n">
        <v>0.999</v>
      </c>
      <c r="G1647" s="6" t="n">
        <v>10.49</v>
      </c>
      <c r="H1647" s="6">
        <f>F1647*G1647</f>
        <v/>
      </c>
      <c r="I1647">
        <f>_xlfn.XLOOKUP(A1647,MktTitle,MktCat,"n/a")</f>
        <v/>
      </c>
      <c r="J1647" s="3">
        <f>_xlfn.XLOOKUP(A1647,MktTitle,MktTotVol,0)</f>
        <v/>
      </c>
      <c r="K1647">
        <f>IF(H1647&gt;WhaleThreshold,"WHALE","")</f>
        <v/>
      </c>
    </row>
    <row r="1648">
      <c r="A1648" t="inlineStr">
        <is>
          <t>Will Egypt win the 2026 FIFA World Cup?</t>
        </is>
      </c>
      <c r="B1648" s="4" t="n">
        <v>46205</v>
      </c>
      <c r="C1648" s="5" t="n">
        <v>46205.96275462963</v>
      </c>
      <c r="D1648" t="inlineStr">
        <is>
          <t>BUY</t>
        </is>
      </c>
      <c r="E1648" t="inlineStr">
        <is>
          <t>No</t>
        </is>
      </c>
      <c r="F1648" s="2" t="n">
        <v>0.999</v>
      </c>
      <c r="G1648" s="6" t="n">
        <v>50</v>
      </c>
      <c r="H1648" s="6">
        <f>F1648*G1648</f>
        <v/>
      </c>
      <c r="I1648">
        <f>_xlfn.XLOOKUP(A1648,MktTitle,MktCat,"n/a")</f>
        <v/>
      </c>
      <c r="J1648" s="3">
        <f>_xlfn.XLOOKUP(A1648,MktTitle,MktTotVol,0)</f>
        <v/>
      </c>
      <c r="K1648">
        <f>IF(H1648&gt;WhaleThreshold,"WHALE","")</f>
        <v/>
      </c>
    </row>
    <row r="1649">
      <c r="A1649" t="inlineStr">
        <is>
          <t>Will Egypt win the 2026 FIFA World Cup?</t>
        </is>
      </c>
      <c r="B1649" s="4" t="n">
        <v>46205</v>
      </c>
      <c r="C1649" s="5" t="n">
        <v>46205.96266203704</v>
      </c>
      <c r="D1649" t="inlineStr">
        <is>
          <t>BUY</t>
        </is>
      </c>
      <c r="E1649" t="inlineStr">
        <is>
          <t>No</t>
        </is>
      </c>
      <c r="F1649" s="2" t="n">
        <v>0.999</v>
      </c>
      <c r="G1649" s="6" t="n">
        <v>38.3</v>
      </c>
      <c r="H1649" s="6">
        <f>F1649*G1649</f>
        <v/>
      </c>
      <c r="I1649">
        <f>_xlfn.XLOOKUP(A1649,MktTitle,MktCat,"n/a")</f>
        <v/>
      </c>
      <c r="J1649" s="3">
        <f>_xlfn.XLOOKUP(A1649,MktTitle,MktTotVol,0)</f>
        <v/>
      </c>
      <c r="K1649">
        <f>IF(H1649&gt;WhaleThreshold,"WHALE","")</f>
        <v/>
      </c>
    </row>
    <row r="1650">
      <c r="A1650" t="inlineStr">
        <is>
          <t>Will Egypt win the 2026 FIFA World Cup?</t>
        </is>
      </c>
      <c r="B1650" s="4" t="n">
        <v>46205</v>
      </c>
      <c r="C1650" s="5" t="n">
        <v>46205.96266203704</v>
      </c>
      <c r="D1650" t="inlineStr">
        <is>
          <t>BUY</t>
        </is>
      </c>
      <c r="E1650" t="inlineStr">
        <is>
          <t>No</t>
        </is>
      </c>
      <c r="F1650" s="2" t="n">
        <v>0.999</v>
      </c>
      <c r="G1650" s="6" t="n">
        <v>115</v>
      </c>
      <c r="H1650" s="6">
        <f>F1650*G1650</f>
        <v/>
      </c>
      <c r="I1650">
        <f>_xlfn.XLOOKUP(A1650,MktTitle,MktCat,"n/a")</f>
        <v/>
      </c>
      <c r="J1650" s="3">
        <f>_xlfn.XLOOKUP(A1650,MktTitle,MktTotVol,0)</f>
        <v/>
      </c>
      <c r="K1650">
        <f>IF(H1650&gt;WhaleThreshold,"WHALE","")</f>
        <v/>
      </c>
    </row>
    <row r="1651">
      <c r="A1651" t="inlineStr">
        <is>
          <t>Will Egypt win the 2026 FIFA World Cup?</t>
        </is>
      </c>
      <c r="B1651" s="4" t="n">
        <v>46205</v>
      </c>
      <c r="C1651" s="5" t="n">
        <v>46205.96266203704</v>
      </c>
      <c r="D1651" t="inlineStr">
        <is>
          <t>BUY</t>
        </is>
      </c>
      <c r="E1651" t="inlineStr">
        <is>
          <t>No</t>
        </is>
      </c>
      <c r="F1651" s="2" t="n">
        <v>0.999</v>
      </c>
      <c r="G1651" s="6" t="n">
        <v>10</v>
      </c>
      <c r="H1651" s="6">
        <f>F1651*G1651</f>
        <v/>
      </c>
      <c r="I1651">
        <f>_xlfn.XLOOKUP(A1651,MktTitle,MktCat,"n/a")</f>
        <v/>
      </c>
      <c r="J1651" s="3">
        <f>_xlfn.XLOOKUP(A1651,MktTitle,MktTotVol,0)</f>
        <v/>
      </c>
      <c r="K1651">
        <f>IF(H1651&gt;WhaleThreshold,"WHALE","")</f>
        <v/>
      </c>
    </row>
    <row r="1652">
      <c r="A1652" t="inlineStr">
        <is>
          <t>Will Egypt win the 2026 FIFA World Cup?</t>
        </is>
      </c>
      <c r="B1652" s="4" t="n">
        <v>46205</v>
      </c>
      <c r="C1652" s="5" t="n">
        <v>46205.96266203704</v>
      </c>
      <c r="D1652" t="inlineStr">
        <is>
          <t>BUY</t>
        </is>
      </c>
      <c r="E1652" t="inlineStr">
        <is>
          <t>No</t>
        </is>
      </c>
      <c r="F1652" s="2" t="n">
        <v>0.999</v>
      </c>
      <c r="G1652" s="6" t="n">
        <v>73.59999999999999</v>
      </c>
      <c r="H1652" s="6">
        <f>F1652*G1652</f>
        <v/>
      </c>
      <c r="I1652">
        <f>_xlfn.XLOOKUP(A1652,MktTitle,MktCat,"n/a")</f>
        <v/>
      </c>
      <c r="J1652" s="3">
        <f>_xlfn.XLOOKUP(A1652,MktTitle,MktTotVol,0)</f>
        <v/>
      </c>
      <c r="K1652">
        <f>IF(H1652&gt;WhaleThreshold,"WHALE","")</f>
        <v/>
      </c>
    </row>
    <row r="1653">
      <c r="A1653" t="inlineStr">
        <is>
          <t>Will Egypt win the 2026 FIFA World Cup?</t>
        </is>
      </c>
      <c r="B1653" s="4" t="n">
        <v>46205</v>
      </c>
      <c r="C1653" s="5" t="n">
        <v>46205.96265046296</v>
      </c>
      <c r="D1653" t="inlineStr">
        <is>
          <t>BUY</t>
        </is>
      </c>
      <c r="E1653" t="inlineStr">
        <is>
          <t>No</t>
        </is>
      </c>
      <c r="F1653" s="2" t="n">
        <v>0.999</v>
      </c>
      <c r="G1653" s="6" t="n">
        <v>50</v>
      </c>
      <c r="H1653" s="6">
        <f>F1653*G1653</f>
        <v/>
      </c>
      <c r="I1653">
        <f>_xlfn.XLOOKUP(A1653,MktTitle,MktCat,"n/a")</f>
        <v/>
      </c>
      <c r="J1653" s="3">
        <f>_xlfn.XLOOKUP(A1653,MktTitle,MktTotVol,0)</f>
        <v/>
      </c>
      <c r="K1653">
        <f>IF(H1653&gt;WhaleThreshold,"WHALE","")</f>
        <v/>
      </c>
    </row>
    <row r="1654">
      <c r="A1654" t="inlineStr">
        <is>
          <t>Will Egypt win the 2026 FIFA World Cup?</t>
        </is>
      </c>
      <c r="B1654" s="4" t="n">
        <v>46205</v>
      </c>
      <c r="C1654" s="5" t="n">
        <v>46205.96259259259</v>
      </c>
      <c r="D1654" t="inlineStr">
        <is>
          <t>BUY</t>
        </is>
      </c>
      <c r="E1654" t="inlineStr">
        <is>
          <t>No</t>
        </is>
      </c>
      <c r="F1654" s="2" t="n">
        <v>0.999</v>
      </c>
      <c r="G1654" s="6" t="n">
        <v>26.1</v>
      </c>
      <c r="H1654" s="6">
        <f>F1654*G1654</f>
        <v/>
      </c>
      <c r="I1654">
        <f>_xlfn.XLOOKUP(A1654,MktTitle,MktCat,"n/a")</f>
        <v/>
      </c>
      <c r="J1654" s="3">
        <f>_xlfn.XLOOKUP(A1654,MktTitle,MktTotVol,0)</f>
        <v/>
      </c>
      <c r="K1654">
        <f>IF(H1654&gt;WhaleThreshold,"WHALE","")</f>
        <v/>
      </c>
    </row>
    <row r="1655">
      <c r="A1655" t="inlineStr">
        <is>
          <t>Will Egypt win the 2026 FIFA World Cup?</t>
        </is>
      </c>
      <c r="B1655" s="4" t="n">
        <v>46205</v>
      </c>
      <c r="C1655" s="5" t="n">
        <v>46205.96255787037</v>
      </c>
      <c r="D1655" t="inlineStr">
        <is>
          <t>BUY</t>
        </is>
      </c>
      <c r="E1655" t="inlineStr">
        <is>
          <t>No</t>
        </is>
      </c>
      <c r="F1655" s="2" t="n">
        <v>0.999</v>
      </c>
      <c r="G1655" s="6" t="n">
        <v>20</v>
      </c>
      <c r="H1655" s="6">
        <f>F1655*G1655</f>
        <v/>
      </c>
      <c r="I1655">
        <f>_xlfn.XLOOKUP(A1655,MktTitle,MktCat,"n/a")</f>
        <v/>
      </c>
      <c r="J1655" s="3">
        <f>_xlfn.XLOOKUP(A1655,MktTitle,MktTotVol,0)</f>
        <v/>
      </c>
      <c r="K1655">
        <f>IF(H1655&gt;WhaleThreshold,"WHALE","")</f>
        <v/>
      </c>
    </row>
    <row r="1656">
      <c r="A1656" t="inlineStr">
        <is>
          <t>Will Egypt win the 2026 FIFA World Cup?</t>
        </is>
      </c>
      <c r="B1656" s="4" t="n">
        <v>46205</v>
      </c>
      <c r="C1656" s="5" t="n">
        <v>46205.96254629629</v>
      </c>
      <c r="D1656" t="inlineStr">
        <is>
          <t>BUY</t>
        </is>
      </c>
      <c r="E1656" t="inlineStr">
        <is>
          <t>No</t>
        </is>
      </c>
      <c r="F1656" s="2" t="n">
        <v>0.999</v>
      </c>
      <c r="G1656" s="6" t="n">
        <v>10</v>
      </c>
      <c r="H1656" s="6">
        <f>F1656*G1656</f>
        <v/>
      </c>
      <c r="I1656">
        <f>_xlfn.XLOOKUP(A1656,MktTitle,MktCat,"n/a")</f>
        <v/>
      </c>
      <c r="J1656" s="3">
        <f>_xlfn.XLOOKUP(A1656,MktTitle,MktTotVol,0)</f>
        <v/>
      </c>
      <c r="K1656">
        <f>IF(H1656&gt;WhaleThreshold,"WHALE","")</f>
        <v/>
      </c>
    </row>
    <row r="1657">
      <c r="A1657" t="inlineStr">
        <is>
          <t>Will Egypt win the 2026 FIFA World Cup?</t>
        </is>
      </c>
      <c r="B1657" s="4" t="n">
        <v>46205</v>
      </c>
      <c r="C1657" s="5" t="n">
        <v>46205.9624537037</v>
      </c>
      <c r="D1657" t="inlineStr">
        <is>
          <t>SELL</t>
        </is>
      </c>
      <c r="E1657" t="inlineStr">
        <is>
          <t>Yes</t>
        </is>
      </c>
      <c r="F1657" s="2" t="n">
        <v>0.001</v>
      </c>
      <c r="G1657" s="6" t="n">
        <v>252</v>
      </c>
      <c r="H1657" s="6">
        <f>F1657*G1657</f>
        <v/>
      </c>
      <c r="I1657">
        <f>_xlfn.XLOOKUP(A1657,MktTitle,MktCat,"n/a")</f>
        <v/>
      </c>
      <c r="J1657" s="3">
        <f>_xlfn.XLOOKUP(A1657,MktTitle,MktTotVol,0)</f>
        <v/>
      </c>
      <c r="K1657">
        <f>IF(H1657&gt;WhaleThreshold,"WHALE","")</f>
        <v/>
      </c>
    </row>
    <row r="1658">
      <c r="A1658" t="inlineStr">
        <is>
          <t>Will Egypt win the 2026 FIFA World Cup?</t>
        </is>
      </c>
      <c r="B1658" s="4" t="n">
        <v>46205</v>
      </c>
      <c r="C1658" s="5" t="n">
        <v>46205.96209490741</v>
      </c>
      <c r="D1658" t="inlineStr">
        <is>
          <t>SELL</t>
        </is>
      </c>
      <c r="E1658" t="inlineStr">
        <is>
          <t>Yes</t>
        </is>
      </c>
      <c r="F1658" s="2" t="n">
        <v>0.001</v>
      </c>
      <c r="G1658" s="6" t="n">
        <v>80.42</v>
      </c>
      <c r="H1658" s="6">
        <f>F1658*G1658</f>
        <v/>
      </c>
      <c r="I1658">
        <f>_xlfn.XLOOKUP(A1658,MktTitle,MktCat,"n/a")</f>
        <v/>
      </c>
      <c r="J1658" s="3">
        <f>_xlfn.XLOOKUP(A1658,MktTitle,MktTotVol,0)</f>
        <v/>
      </c>
      <c r="K1658">
        <f>IF(H1658&gt;WhaleThreshold,"WHALE","")</f>
        <v/>
      </c>
    </row>
    <row r="1659">
      <c r="A1659" t="inlineStr">
        <is>
          <t>Will Egypt win the 2026 FIFA World Cup?</t>
        </is>
      </c>
      <c r="B1659" s="4" t="n">
        <v>46205</v>
      </c>
      <c r="C1659" s="5" t="n">
        <v>46205.96200231482</v>
      </c>
      <c r="D1659" t="inlineStr">
        <is>
          <t>BUY</t>
        </is>
      </c>
      <c r="E1659" t="inlineStr">
        <is>
          <t>No</t>
        </is>
      </c>
      <c r="F1659" s="2" t="n">
        <v>0.999</v>
      </c>
      <c r="G1659" s="6" t="n">
        <v>10</v>
      </c>
      <c r="H1659" s="6">
        <f>F1659*G1659</f>
        <v/>
      </c>
      <c r="I1659">
        <f>_xlfn.XLOOKUP(A1659,MktTitle,MktCat,"n/a")</f>
        <v/>
      </c>
      <c r="J1659" s="3">
        <f>_xlfn.XLOOKUP(A1659,MktTitle,MktTotVol,0)</f>
        <v/>
      </c>
      <c r="K1659">
        <f>IF(H1659&gt;WhaleThreshold,"WHALE","")</f>
        <v/>
      </c>
    </row>
    <row r="1660">
      <c r="A1660" t="inlineStr">
        <is>
          <t>Will Egypt win the 2026 FIFA World Cup?</t>
        </is>
      </c>
      <c r="B1660" s="4" t="n">
        <v>46205</v>
      </c>
      <c r="C1660" s="5" t="n">
        <v>46205.96199074074</v>
      </c>
      <c r="D1660" t="inlineStr">
        <is>
          <t>BUY</t>
        </is>
      </c>
      <c r="E1660" t="inlineStr">
        <is>
          <t>No</t>
        </is>
      </c>
      <c r="F1660" s="2" t="n">
        <v>0.999</v>
      </c>
      <c r="G1660" s="6" t="n">
        <v>10</v>
      </c>
      <c r="H1660" s="6">
        <f>F1660*G1660</f>
        <v/>
      </c>
      <c r="I1660">
        <f>_xlfn.XLOOKUP(A1660,MktTitle,MktCat,"n/a")</f>
        <v/>
      </c>
      <c r="J1660" s="3">
        <f>_xlfn.XLOOKUP(A1660,MktTitle,MktTotVol,0)</f>
        <v/>
      </c>
      <c r="K1660">
        <f>IF(H1660&gt;WhaleThreshold,"WHALE","")</f>
        <v/>
      </c>
    </row>
    <row r="1661">
      <c r="A1661" t="inlineStr">
        <is>
          <t>Will Egypt win the 2026 FIFA World Cup?</t>
        </is>
      </c>
      <c r="B1661" s="4" t="n">
        <v>46205</v>
      </c>
      <c r="C1661" s="5" t="n">
        <v>46205.96195601852</v>
      </c>
      <c r="D1661" t="inlineStr">
        <is>
          <t>BUY</t>
        </is>
      </c>
      <c r="E1661" t="inlineStr">
        <is>
          <t>No</t>
        </is>
      </c>
      <c r="F1661" s="2" t="n">
        <v>0.999</v>
      </c>
      <c r="G1661" s="6" t="n">
        <v>10</v>
      </c>
      <c r="H1661" s="6">
        <f>F1661*G1661</f>
        <v/>
      </c>
      <c r="I1661">
        <f>_xlfn.XLOOKUP(A1661,MktTitle,MktCat,"n/a")</f>
        <v/>
      </c>
      <c r="J1661" s="3">
        <f>_xlfn.XLOOKUP(A1661,MktTitle,MktTotVol,0)</f>
        <v/>
      </c>
      <c r="K1661">
        <f>IF(H1661&gt;WhaleThreshold,"WHALE","")</f>
        <v/>
      </c>
    </row>
    <row r="1662">
      <c r="A1662" t="inlineStr">
        <is>
          <t>Will Egypt win the 2026 FIFA World Cup?</t>
        </is>
      </c>
      <c r="B1662" s="4" t="n">
        <v>46205</v>
      </c>
      <c r="C1662" s="5" t="n">
        <v>46205.96193287037</v>
      </c>
      <c r="D1662" t="inlineStr">
        <is>
          <t>BUY</t>
        </is>
      </c>
      <c r="E1662" t="inlineStr">
        <is>
          <t>No</t>
        </is>
      </c>
      <c r="F1662" s="2" t="n">
        <v>0.999</v>
      </c>
      <c r="G1662" s="6" t="n">
        <v>10</v>
      </c>
      <c r="H1662" s="6">
        <f>F1662*G1662</f>
        <v/>
      </c>
      <c r="I1662">
        <f>_xlfn.XLOOKUP(A1662,MktTitle,MktCat,"n/a")</f>
        <v/>
      </c>
      <c r="J1662" s="3">
        <f>_xlfn.XLOOKUP(A1662,MktTitle,MktTotVol,0)</f>
        <v/>
      </c>
      <c r="K1662">
        <f>IF(H1662&gt;WhaleThreshold,"WHALE","")</f>
        <v/>
      </c>
    </row>
    <row r="1663">
      <c r="A1663" t="inlineStr">
        <is>
          <t>Will Egypt win the 2026 FIFA World Cup?</t>
        </is>
      </c>
      <c r="B1663" s="4" t="n">
        <v>46205</v>
      </c>
      <c r="C1663" s="5" t="n">
        <v>46205.96192129629</v>
      </c>
      <c r="D1663" t="inlineStr">
        <is>
          <t>BUY</t>
        </is>
      </c>
      <c r="E1663" t="inlineStr">
        <is>
          <t>No</t>
        </is>
      </c>
      <c r="F1663" s="2" t="n">
        <v>0.999</v>
      </c>
      <c r="G1663" s="6" t="n">
        <v>10</v>
      </c>
      <c r="H1663" s="6">
        <f>F1663*G1663</f>
        <v/>
      </c>
      <c r="I1663">
        <f>_xlfn.XLOOKUP(A1663,MktTitle,MktCat,"n/a")</f>
        <v/>
      </c>
      <c r="J1663" s="3">
        <f>_xlfn.XLOOKUP(A1663,MktTitle,MktTotVol,0)</f>
        <v/>
      </c>
      <c r="K1663">
        <f>IF(H1663&gt;WhaleThreshold,"WHALE","")</f>
        <v/>
      </c>
    </row>
    <row r="1664">
      <c r="A1664" t="inlineStr">
        <is>
          <t>Will Egypt win the 2026 FIFA World Cup?</t>
        </is>
      </c>
      <c r="B1664" s="4" t="n">
        <v>46205</v>
      </c>
      <c r="C1664" s="5" t="n">
        <v>46205.96188657408</v>
      </c>
      <c r="D1664" t="inlineStr">
        <is>
          <t>BUY</t>
        </is>
      </c>
      <c r="E1664" t="inlineStr">
        <is>
          <t>No</t>
        </is>
      </c>
      <c r="F1664" s="2" t="n">
        <v>0.999</v>
      </c>
      <c r="G1664" s="6" t="n">
        <v>10</v>
      </c>
      <c r="H1664" s="6">
        <f>F1664*G1664</f>
        <v/>
      </c>
      <c r="I1664">
        <f>_xlfn.XLOOKUP(A1664,MktTitle,MktCat,"n/a")</f>
        <v/>
      </c>
      <c r="J1664" s="3">
        <f>_xlfn.XLOOKUP(A1664,MktTitle,MktTotVol,0)</f>
        <v/>
      </c>
      <c r="K1664">
        <f>IF(H1664&gt;WhaleThreshold,"WHALE","")</f>
        <v/>
      </c>
    </row>
    <row r="1665">
      <c r="A1665" t="inlineStr">
        <is>
          <t>Will Egypt win the 2026 FIFA World Cup?</t>
        </is>
      </c>
      <c r="B1665" s="4" t="n">
        <v>46205</v>
      </c>
      <c r="C1665" s="5" t="n">
        <v>46205.96185185185</v>
      </c>
      <c r="D1665" t="inlineStr">
        <is>
          <t>BUY</t>
        </is>
      </c>
      <c r="E1665" t="inlineStr">
        <is>
          <t>No</t>
        </is>
      </c>
      <c r="F1665" s="2" t="n">
        <v>0.999</v>
      </c>
      <c r="G1665" s="6" t="n">
        <v>10</v>
      </c>
      <c r="H1665" s="6">
        <f>F1665*G1665</f>
        <v/>
      </c>
      <c r="I1665">
        <f>_xlfn.XLOOKUP(A1665,MktTitle,MktCat,"n/a")</f>
        <v/>
      </c>
      <c r="J1665" s="3">
        <f>_xlfn.XLOOKUP(A1665,MktTitle,MktTotVol,0)</f>
        <v/>
      </c>
      <c r="K1665">
        <f>IF(H1665&gt;WhaleThreshold,"WHALE","")</f>
        <v/>
      </c>
    </row>
    <row r="1666">
      <c r="A1666" t="inlineStr">
        <is>
          <t>Will Egypt win the 2026 FIFA World Cup?</t>
        </is>
      </c>
      <c r="B1666" s="4" t="n">
        <v>46205</v>
      </c>
      <c r="C1666" s="5" t="n">
        <v>46205.9618287037</v>
      </c>
      <c r="D1666" t="inlineStr">
        <is>
          <t>BUY</t>
        </is>
      </c>
      <c r="E1666" t="inlineStr">
        <is>
          <t>No</t>
        </is>
      </c>
      <c r="F1666" s="2" t="n">
        <v>0.999</v>
      </c>
      <c r="G1666" s="6" t="n">
        <v>10</v>
      </c>
      <c r="H1666" s="6">
        <f>F1666*G1666</f>
        <v/>
      </c>
      <c r="I1666">
        <f>_xlfn.XLOOKUP(A1666,MktTitle,MktCat,"n/a")</f>
        <v/>
      </c>
      <c r="J1666" s="3">
        <f>_xlfn.XLOOKUP(A1666,MktTitle,MktTotVol,0)</f>
        <v/>
      </c>
      <c r="K1666">
        <f>IF(H1666&gt;WhaleThreshold,"WHALE","")</f>
        <v/>
      </c>
    </row>
    <row r="1667">
      <c r="A1667" t="inlineStr">
        <is>
          <t>Will Egypt win the 2026 FIFA World Cup?</t>
        </is>
      </c>
      <c r="B1667" s="4" t="n">
        <v>46205</v>
      </c>
      <c r="C1667" s="5" t="n">
        <v>46205.9618287037</v>
      </c>
      <c r="D1667" t="inlineStr">
        <is>
          <t>BUY</t>
        </is>
      </c>
      <c r="E1667" t="inlineStr">
        <is>
          <t>No</t>
        </is>
      </c>
      <c r="F1667" s="2" t="n">
        <v>0.999</v>
      </c>
      <c r="G1667" s="6" t="n">
        <v>10</v>
      </c>
      <c r="H1667" s="6">
        <f>F1667*G1667</f>
        <v/>
      </c>
      <c r="I1667">
        <f>_xlfn.XLOOKUP(A1667,MktTitle,MktCat,"n/a")</f>
        <v/>
      </c>
      <c r="J1667" s="3">
        <f>_xlfn.XLOOKUP(A1667,MktTitle,MktTotVol,0)</f>
        <v/>
      </c>
      <c r="K1667">
        <f>IF(H1667&gt;WhaleThreshold,"WHALE","")</f>
        <v/>
      </c>
    </row>
    <row r="1668">
      <c r="A1668" t="inlineStr">
        <is>
          <t>Will Egypt win the 2026 FIFA World Cup?</t>
        </is>
      </c>
      <c r="B1668" s="4" t="n">
        <v>46205</v>
      </c>
      <c r="C1668" s="5" t="n">
        <v>46205.96181712963</v>
      </c>
      <c r="D1668" t="inlineStr">
        <is>
          <t>BUY</t>
        </is>
      </c>
      <c r="E1668" t="inlineStr">
        <is>
          <t>No</t>
        </is>
      </c>
      <c r="F1668" s="2" t="n">
        <v>0.999</v>
      </c>
      <c r="G1668" s="6" t="n">
        <v>10</v>
      </c>
      <c r="H1668" s="6">
        <f>F1668*G1668</f>
        <v/>
      </c>
      <c r="I1668">
        <f>_xlfn.XLOOKUP(A1668,MktTitle,MktCat,"n/a")</f>
        <v/>
      </c>
      <c r="J1668" s="3">
        <f>_xlfn.XLOOKUP(A1668,MktTitle,MktTotVol,0)</f>
        <v/>
      </c>
      <c r="K1668">
        <f>IF(H1668&gt;WhaleThreshold,"WHALE","")</f>
        <v/>
      </c>
    </row>
    <row r="1669">
      <c r="A1669" t="inlineStr">
        <is>
          <t>Will Egypt win the 2026 FIFA World Cup?</t>
        </is>
      </c>
      <c r="B1669" s="4" t="n">
        <v>46205</v>
      </c>
      <c r="C1669" s="5" t="n">
        <v>46205.96181712963</v>
      </c>
      <c r="D1669" t="inlineStr">
        <is>
          <t>BUY</t>
        </is>
      </c>
      <c r="E1669" t="inlineStr">
        <is>
          <t>No</t>
        </is>
      </c>
      <c r="F1669" s="2" t="n">
        <v>0.999</v>
      </c>
      <c r="G1669" s="6" t="n">
        <v>10</v>
      </c>
      <c r="H1669" s="6">
        <f>F1669*G1669</f>
        <v/>
      </c>
      <c r="I1669">
        <f>_xlfn.XLOOKUP(A1669,MktTitle,MktCat,"n/a")</f>
        <v/>
      </c>
      <c r="J1669" s="3">
        <f>_xlfn.XLOOKUP(A1669,MktTitle,MktTotVol,0)</f>
        <v/>
      </c>
      <c r="K1669">
        <f>IF(H1669&gt;WhaleThreshold,"WHALE","")</f>
        <v/>
      </c>
    </row>
    <row r="1670">
      <c r="A1670" t="inlineStr">
        <is>
          <t>Will Egypt win the 2026 FIFA World Cup?</t>
        </is>
      </c>
      <c r="B1670" s="4" t="n">
        <v>46205</v>
      </c>
      <c r="C1670" s="5" t="n">
        <v>46205.96179398148</v>
      </c>
      <c r="D1670" t="inlineStr">
        <is>
          <t>BUY</t>
        </is>
      </c>
      <c r="E1670" t="inlineStr">
        <is>
          <t>No</t>
        </is>
      </c>
      <c r="F1670" s="2" t="n">
        <v>0.999</v>
      </c>
      <c r="G1670" s="6" t="n">
        <v>20</v>
      </c>
      <c r="H1670" s="6">
        <f>F1670*G1670</f>
        <v/>
      </c>
      <c r="I1670">
        <f>_xlfn.XLOOKUP(A1670,MktTitle,MktCat,"n/a")</f>
        <v/>
      </c>
      <c r="J1670" s="3">
        <f>_xlfn.XLOOKUP(A1670,MktTitle,MktTotVol,0)</f>
        <v/>
      </c>
      <c r="K1670">
        <f>IF(H1670&gt;WhaleThreshold,"WHALE","")</f>
        <v/>
      </c>
    </row>
    <row r="1671">
      <c r="A1671" t="inlineStr">
        <is>
          <t>Will Egypt win the 2026 FIFA World Cup?</t>
        </is>
      </c>
      <c r="B1671" s="4" t="n">
        <v>46205</v>
      </c>
      <c r="C1671" s="5" t="n">
        <v>46205.96175925926</v>
      </c>
      <c r="D1671" t="inlineStr">
        <is>
          <t>BUY</t>
        </is>
      </c>
      <c r="E1671" t="inlineStr">
        <is>
          <t>No</t>
        </is>
      </c>
      <c r="F1671" s="2" t="n">
        <v>0.999</v>
      </c>
      <c r="G1671" s="6" t="n">
        <v>20</v>
      </c>
      <c r="H1671" s="6">
        <f>F1671*G1671</f>
        <v/>
      </c>
      <c r="I1671">
        <f>_xlfn.XLOOKUP(A1671,MktTitle,MktCat,"n/a")</f>
        <v/>
      </c>
      <c r="J1671" s="3">
        <f>_xlfn.XLOOKUP(A1671,MktTitle,MktTotVol,0)</f>
        <v/>
      </c>
      <c r="K1671">
        <f>IF(H1671&gt;WhaleThreshold,"WHALE","")</f>
        <v/>
      </c>
    </row>
    <row r="1672">
      <c r="A1672" t="inlineStr">
        <is>
          <t>Will Egypt win the 2026 FIFA World Cup?</t>
        </is>
      </c>
      <c r="B1672" s="4" t="n">
        <v>46205</v>
      </c>
      <c r="C1672" s="5" t="n">
        <v>46205.96175925926</v>
      </c>
      <c r="D1672" t="inlineStr">
        <is>
          <t>BUY</t>
        </is>
      </c>
      <c r="E1672" t="inlineStr">
        <is>
          <t>No</t>
        </is>
      </c>
      <c r="F1672" s="2" t="n">
        <v>0.999</v>
      </c>
      <c r="G1672" s="6" t="n">
        <v>10</v>
      </c>
      <c r="H1672" s="6">
        <f>F1672*G1672</f>
        <v/>
      </c>
      <c r="I1672">
        <f>_xlfn.XLOOKUP(A1672,MktTitle,MktCat,"n/a")</f>
        <v/>
      </c>
      <c r="J1672" s="3">
        <f>_xlfn.XLOOKUP(A1672,MktTitle,MktTotVol,0)</f>
        <v/>
      </c>
      <c r="K1672">
        <f>IF(H1672&gt;WhaleThreshold,"WHALE","")</f>
        <v/>
      </c>
    </row>
    <row r="1673">
      <c r="A1673" t="inlineStr">
        <is>
          <t>Will Egypt win the 2026 FIFA World Cup?</t>
        </is>
      </c>
      <c r="B1673" s="4" t="n">
        <v>46205</v>
      </c>
      <c r="C1673" s="5" t="n">
        <v>46205.96175925926</v>
      </c>
      <c r="D1673" t="inlineStr">
        <is>
          <t>BUY</t>
        </is>
      </c>
      <c r="E1673" t="inlineStr">
        <is>
          <t>No</t>
        </is>
      </c>
      <c r="F1673" s="2" t="n">
        <v>0.999</v>
      </c>
      <c r="G1673" s="6" t="n">
        <v>10</v>
      </c>
      <c r="H1673" s="6">
        <f>F1673*G1673</f>
        <v/>
      </c>
      <c r="I1673">
        <f>_xlfn.XLOOKUP(A1673,MktTitle,MktCat,"n/a")</f>
        <v/>
      </c>
      <c r="J1673" s="3">
        <f>_xlfn.XLOOKUP(A1673,MktTitle,MktTotVol,0)</f>
        <v/>
      </c>
      <c r="K1673">
        <f>IF(H1673&gt;WhaleThreshold,"WHALE","")</f>
        <v/>
      </c>
    </row>
    <row r="1674">
      <c r="A1674" t="inlineStr">
        <is>
          <t>Will Egypt win the 2026 FIFA World Cup?</t>
        </is>
      </c>
      <c r="B1674" s="4" t="n">
        <v>46205</v>
      </c>
      <c r="C1674" s="5" t="n">
        <v>46205.96134259259</v>
      </c>
      <c r="D1674" t="inlineStr">
        <is>
          <t>SELL</t>
        </is>
      </c>
      <c r="E1674" t="inlineStr">
        <is>
          <t>Yes</t>
        </is>
      </c>
      <c r="F1674" s="2" t="n">
        <v>0.001</v>
      </c>
      <c r="G1674" s="6" t="n">
        <v>49.02</v>
      </c>
      <c r="H1674" s="6">
        <f>F1674*G1674</f>
        <v/>
      </c>
      <c r="I1674">
        <f>_xlfn.XLOOKUP(A1674,MktTitle,MktCat,"n/a")</f>
        <v/>
      </c>
      <c r="J1674" s="3">
        <f>_xlfn.XLOOKUP(A1674,MktTitle,MktTotVol,0)</f>
        <v/>
      </c>
      <c r="K1674">
        <f>IF(H1674&gt;WhaleThreshold,"WHALE","")</f>
        <v/>
      </c>
    </row>
    <row r="1675">
      <c r="A1675" t="inlineStr">
        <is>
          <t>Will Egypt win the 2026 FIFA World Cup?</t>
        </is>
      </c>
      <c r="B1675" s="4" t="n">
        <v>46205</v>
      </c>
      <c r="C1675" s="5" t="n">
        <v>46205.96099537037</v>
      </c>
      <c r="D1675" t="inlineStr">
        <is>
          <t>SELL</t>
        </is>
      </c>
      <c r="E1675" t="inlineStr">
        <is>
          <t>No</t>
        </is>
      </c>
      <c r="F1675" s="2" t="n">
        <v>0.998</v>
      </c>
      <c r="G1675" s="6" t="n">
        <v>10.01</v>
      </c>
      <c r="H1675" s="6">
        <f>F1675*G1675</f>
        <v/>
      </c>
      <c r="I1675">
        <f>_xlfn.XLOOKUP(A1675,MktTitle,MktCat,"n/a")</f>
        <v/>
      </c>
      <c r="J1675" s="3">
        <f>_xlfn.XLOOKUP(A1675,MktTitle,MktTotVol,0)</f>
        <v/>
      </c>
      <c r="K1675">
        <f>IF(H1675&gt;WhaleThreshold,"WHALE","")</f>
        <v/>
      </c>
    </row>
    <row r="1676">
      <c r="A1676" t="inlineStr">
        <is>
          <t>Will Egypt win the 2026 FIFA World Cup?</t>
        </is>
      </c>
      <c r="B1676" s="4" t="n">
        <v>46205</v>
      </c>
      <c r="C1676" s="5" t="n">
        <v>46205.96096064815</v>
      </c>
      <c r="D1676" t="inlineStr">
        <is>
          <t>SELL</t>
        </is>
      </c>
      <c r="E1676" t="inlineStr">
        <is>
          <t>Yes</t>
        </is>
      </c>
      <c r="F1676" s="2" t="n">
        <v>0.001</v>
      </c>
      <c r="G1676" s="6" t="n">
        <v>1.1</v>
      </c>
      <c r="H1676" s="6">
        <f>F1676*G1676</f>
        <v/>
      </c>
      <c r="I1676">
        <f>_xlfn.XLOOKUP(A1676,MktTitle,MktCat,"n/a")</f>
        <v/>
      </c>
      <c r="J1676" s="3">
        <f>_xlfn.XLOOKUP(A1676,MktTitle,MktTotVol,0)</f>
        <v/>
      </c>
      <c r="K1676">
        <f>IF(H1676&gt;WhaleThreshold,"WHALE","")</f>
        <v/>
      </c>
    </row>
    <row r="1677">
      <c r="A1677" t="inlineStr">
        <is>
          <t>Will Egypt win the 2026 FIFA World Cup?</t>
        </is>
      </c>
      <c r="B1677" s="4" t="n">
        <v>46205</v>
      </c>
      <c r="C1677" s="5" t="n">
        <v>46205.96077546296</v>
      </c>
      <c r="D1677" t="inlineStr">
        <is>
          <t>BUY</t>
        </is>
      </c>
      <c r="E1677" t="inlineStr">
        <is>
          <t>No</t>
        </is>
      </c>
      <c r="F1677" s="2" t="n">
        <v>0.999</v>
      </c>
      <c r="G1677" s="6" t="n">
        <v>95</v>
      </c>
      <c r="H1677" s="6">
        <f>F1677*G1677</f>
        <v/>
      </c>
      <c r="I1677">
        <f>_xlfn.XLOOKUP(A1677,MktTitle,MktCat,"n/a")</f>
        <v/>
      </c>
      <c r="J1677" s="3">
        <f>_xlfn.XLOOKUP(A1677,MktTitle,MktTotVol,0)</f>
        <v/>
      </c>
      <c r="K1677">
        <f>IF(H1677&gt;WhaleThreshold,"WHALE","")</f>
        <v/>
      </c>
    </row>
    <row r="1678">
      <c r="A1678" t="inlineStr">
        <is>
          <t>Will Egypt win the 2026 FIFA World Cup?</t>
        </is>
      </c>
      <c r="B1678" s="4" t="n">
        <v>46205</v>
      </c>
      <c r="C1678" s="5" t="n">
        <v>46205.96068287037</v>
      </c>
      <c r="D1678" t="inlineStr">
        <is>
          <t>BUY</t>
        </is>
      </c>
      <c r="E1678" t="inlineStr">
        <is>
          <t>No</t>
        </is>
      </c>
      <c r="F1678" s="2" t="n">
        <v>0.999</v>
      </c>
      <c r="G1678" s="6" t="n">
        <v>85</v>
      </c>
      <c r="H1678" s="6">
        <f>F1678*G1678</f>
        <v/>
      </c>
      <c r="I1678">
        <f>_xlfn.XLOOKUP(A1678,MktTitle,MktCat,"n/a")</f>
        <v/>
      </c>
      <c r="J1678" s="3">
        <f>_xlfn.XLOOKUP(A1678,MktTitle,MktTotVol,0)</f>
        <v/>
      </c>
      <c r="K1678">
        <f>IF(H1678&gt;WhaleThreshold,"WHALE","")</f>
        <v/>
      </c>
    </row>
    <row r="1679">
      <c r="A1679" t="inlineStr">
        <is>
          <t>Will Egypt win the 2026 FIFA World Cup?</t>
        </is>
      </c>
      <c r="B1679" s="4" t="n">
        <v>46205</v>
      </c>
      <c r="C1679" s="5" t="n">
        <v>46205.9606712963</v>
      </c>
      <c r="D1679" t="inlineStr">
        <is>
          <t>BUY</t>
        </is>
      </c>
      <c r="E1679" t="inlineStr">
        <is>
          <t>No</t>
        </is>
      </c>
      <c r="F1679" s="2" t="n">
        <v>0.999</v>
      </c>
      <c r="G1679" s="6" t="n">
        <v>8</v>
      </c>
      <c r="H1679" s="6">
        <f>F1679*G1679</f>
        <v/>
      </c>
      <c r="I1679">
        <f>_xlfn.XLOOKUP(A1679,MktTitle,MktCat,"n/a")</f>
        <v/>
      </c>
      <c r="J1679" s="3">
        <f>_xlfn.XLOOKUP(A1679,MktTitle,MktTotVol,0)</f>
        <v/>
      </c>
      <c r="K1679">
        <f>IF(H1679&gt;WhaleThreshold,"WHALE","")</f>
        <v/>
      </c>
    </row>
    <row r="1680">
      <c r="A1680" t="inlineStr">
        <is>
          <t>Will Egypt win the 2026 FIFA World Cup?</t>
        </is>
      </c>
      <c r="B1680" s="4" t="n">
        <v>46205</v>
      </c>
      <c r="C1680" s="5" t="n">
        <v>46205.96060185185</v>
      </c>
      <c r="D1680" t="inlineStr">
        <is>
          <t>BUY</t>
        </is>
      </c>
      <c r="E1680" t="inlineStr">
        <is>
          <t>No</t>
        </is>
      </c>
      <c r="F1680" s="2" t="n">
        <v>0.999</v>
      </c>
      <c r="G1680" s="6" t="n">
        <v>70</v>
      </c>
      <c r="H1680" s="6">
        <f>F1680*G1680</f>
        <v/>
      </c>
      <c r="I1680">
        <f>_xlfn.XLOOKUP(A1680,MktTitle,MktCat,"n/a")</f>
        <v/>
      </c>
      <c r="J1680" s="3">
        <f>_xlfn.XLOOKUP(A1680,MktTitle,MktTotVol,0)</f>
        <v/>
      </c>
      <c r="K1680">
        <f>IF(H1680&gt;WhaleThreshold,"WHALE","")</f>
        <v/>
      </c>
    </row>
    <row r="1681">
      <c r="A1681" t="inlineStr">
        <is>
          <t>Will Egypt win the 2026 FIFA World Cup?</t>
        </is>
      </c>
      <c r="B1681" s="4" t="n">
        <v>46205</v>
      </c>
      <c r="C1681" s="5" t="n">
        <v>46205.96060185185</v>
      </c>
      <c r="D1681" t="inlineStr">
        <is>
          <t>SELL</t>
        </is>
      </c>
      <c r="E1681" t="inlineStr">
        <is>
          <t>Yes</t>
        </is>
      </c>
      <c r="F1681" s="2" t="n">
        <v>0.001</v>
      </c>
      <c r="G1681" s="6" t="n">
        <v>66.76000000000001</v>
      </c>
      <c r="H1681" s="6">
        <f>F1681*G1681</f>
        <v/>
      </c>
      <c r="I1681">
        <f>_xlfn.XLOOKUP(A1681,MktTitle,MktCat,"n/a")</f>
        <v/>
      </c>
      <c r="J1681" s="3">
        <f>_xlfn.XLOOKUP(A1681,MktTitle,MktTotVol,0)</f>
        <v/>
      </c>
      <c r="K1681">
        <f>IF(H1681&gt;WhaleThreshold,"WHALE","")</f>
        <v/>
      </c>
    </row>
    <row r="1682">
      <c r="A1682" t="inlineStr">
        <is>
          <t>Will Egypt win the 2026 FIFA World Cup?</t>
        </is>
      </c>
      <c r="B1682" s="4" t="n">
        <v>46205</v>
      </c>
      <c r="C1682" s="5" t="n">
        <v>46205.96057870371</v>
      </c>
      <c r="D1682" t="inlineStr">
        <is>
          <t>BUY</t>
        </is>
      </c>
      <c r="E1682" t="inlineStr">
        <is>
          <t>No</t>
        </is>
      </c>
      <c r="F1682" s="2" t="n">
        <v>0.999</v>
      </c>
      <c r="G1682" s="6" t="n">
        <v>45</v>
      </c>
      <c r="H1682" s="6">
        <f>F1682*G1682</f>
        <v/>
      </c>
      <c r="I1682">
        <f>_xlfn.XLOOKUP(A1682,MktTitle,MktCat,"n/a")</f>
        <v/>
      </c>
      <c r="J1682" s="3">
        <f>_xlfn.XLOOKUP(A1682,MktTitle,MktTotVol,0)</f>
        <v/>
      </c>
      <c r="K1682">
        <f>IF(H1682&gt;WhaleThreshold,"WHALE","")</f>
        <v/>
      </c>
    </row>
    <row r="1683">
      <c r="A1683" t="inlineStr">
        <is>
          <t>Will Egypt win the 2026 FIFA World Cup?</t>
        </is>
      </c>
      <c r="B1683" s="4" t="n">
        <v>46205</v>
      </c>
      <c r="C1683" s="5" t="n">
        <v>46205.96019675926</v>
      </c>
      <c r="D1683" t="inlineStr">
        <is>
          <t>SELL</t>
        </is>
      </c>
      <c r="E1683" t="inlineStr">
        <is>
          <t>Yes</t>
        </is>
      </c>
      <c r="F1683" s="2" t="n">
        <v>0.001</v>
      </c>
      <c r="G1683" s="6" t="n">
        <v>64.34</v>
      </c>
      <c r="H1683" s="6">
        <f>F1683*G1683</f>
        <v/>
      </c>
      <c r="I1683">
        <f>_xlfn.XLOOKUP(A1683,MktTitle,MktCat,"n/a")</f>
        <v/>
      </c>
      <c r="J1683" s="3">
        <f>_xlfn.XLOOKUP(A1683,MktTitle,MktTotVol,0)</f>
        <v/>
      </c>
      <c r="K1683">
        <f>IF(H1683&gt;WhaleThreshold,"WHALE","")</f>
        <v/>
      </c>
    </row>
    <row r="1684">
      <c r="A1684" t="inlineStr">
        <is>
          <t>Will Egypt win the 2026 FIFA World Cup?</t>
        </is>
      </c>
      <c r="B1684" s="4" t="n">
        <v>46205</v>
      </c>
      <c r="C1684" s="5" t="n">
        <v>46205.96015046296</v>
      </c>
      <c r="D1684" t="inlineStr">
        <is>
          <t>BUY</t>
        </is>
      </c>
      <c r="E1684" t="inlineStr">
        <is>
          <t>No</t>
        </is>
      </c>
      <c r="F1684" s="2" t="n">
        <v>0.999</v>
      </c>
      <c r="G1684" s="6" t="n">
        <v>5</v>
      </c>
      <c r="H1684" s="6">
        <f>F1684*G1684</f>
        <v/>
      </c>
      <c r="I1684">
        <f>_xlfn.XLOOKUP(A1684,MktTitle,MktCat,"n/a")</f>
        <v/>
      </c>
      <c r="J1684" s="3">
        <f>_xlfn.XLOOKUP(A1684,MktTitle,MktTotVol,0)</f>
        <v/>
      </c>
      <c r="K1684">
        <f>IF(H1684&gt;WhaleThreshold,"WHALE","")</f>
        <v/>
      </c>
    </row>
    <row r="1685">
      <c r="A1685" t="inlineStr">
        <is>
          <t>Will Egypt win the 2026 FIFA World Cup?</t>
        </is>
      </c>
      <c r="B1685" s="4" t="n">
        <v>46205</v>
      </c>
      <c r="C1685" s="5" t="n">
        <v>46205.96011574074</v>
      </c>
      <c r="D1685" t="inlineStr">
        <is>
          <t>SELL</t>
        </is>
      </c>
      <c r="E1685" t="inlineStr">
        <is>
          <t>Yes</t>
        </is>
      </c>
      <c r="F1685" s="2" t="n">
        <v>0.001</v>
      </c>
      <c r="G1685" s="6" t="n">
        <v>61.62</v>
      </c>
      <c r="H1685" s="6">
        <f>F1685*G1685</f>
        <v/>
      </c>
      <c r="I1685">
        <f>_xlfn.XLOOKUP(A1685,MktTitle,MktCat,"n/a")</f>
        <v/>
      </c>
      <c r="J1685" s="3">
        <f>_xlfn.XLOOKUP(A1685,MktTitle,MktTotVol,0)</f>
        <v/>
      </c>
      <c r="K1685">
        <f>IF(H1685&gt;WhaleThreshold,"WHALE","")</f>
        <v/>
      </c>
    </row>
    <row r="1686">
      <c r="A1686" t="inlineStr">
        <is>
          <t>Will Egypt win the 2026 FIFA World Cup?</t>
        </is>
      </c>
      <c r="B1686" s="4" t="n">
        <v>46205</v>
      </c>
      <c r="C1686" s="5" t="n">
        <v>46205.95994212963</v>
      </c>
      <c r="D1686" t="inlineStr">
        <is>
          <t>SELL</t>
        </is>
      </c>
      <c r="E1686" t="inlineStr">
        <is>
          <t>Yes</t>
        </is>
      </c>
      <c r="F1686" s="2" t="n">
        <v>0.001</v>
      </c>
      <c r="G1686" s="6" t="n">
        <v>20.92</v>
      </c>
      <c r="H1686" s="6">
        <f>F1686*G1686</f>
        <v/>
      </c>
      <c r="I1686">
        <f>_xlfn.XLOOKUP(A1686,MktTitle,MktCat,"n/a")</f>
        <v/>
      </c>
      <c r="J1686" s="3">
        <f>_xlfn.XLOOKUP(A1686,MktTitle,MktTotVol,0)</f>
        <v/>
      </c>
      <c r="K1686">
        <f>IF(H1686&gt;WhaleThreshold,"WHALE","")</f>
        <v/>
      </c>
    </row>
    <row r="1687">
      <c r="A1687" t="inlineStr">
        <is>
          <t>Will Egypt win the 2026 FIFA World Cup?</t>
        </is>
      </c>
      <c r="B1687" s="4" t="n">
        <v>46205</v>
      </c>
      <c r="C1687" s="5" t="n">
        <v>46205.95994212963</v>
      </c>
      <c r="D1687" t="inlineStr">
        <is>
          <t>BUY</t>
        </is>
      </c>
      <c r="E1687" t="inlineStr">
        <is>
          <t>No</t>
        </is>
      </c>
      <c r="F1687" s="2" t="n">
        <v>0.999</v>
      </c>
      <c r="G1687" s="6" t="n">
        <v>25.2</v>
      </c>
      <c r="H1687" s="6">
        <f>F1687*G1687</f>
        <v/>
      </c>
      <c r="I1687">
        <f>_xlfn.XLOOKUP(A1687,MktTitle,MktCat,"n/a")</f>
        <v/>
      </c>
      <c r="J1687" s="3">
        <f>_xlfn.XLOOKUP(A1687,MktTitle,MktTotVol,0)</f>
        <v/>
      </c>
      <c r="K1687">
        <f>IF(H1687&gt;WhaleThreshold,"WHALE","")</f>
        <v/>
      </c>
    </row>
    <row r="1688">
      <c r="A1688" t="inlineStr">
        <is>
          <t>Will Egypt win the 2026 FIFA World Cup?</t>
        </is>
      </c>
      <c r="B1688" s="4" t="n">
        <v>46205</v>
      </c>
      <c r="C1688" s="5" t="n">
        <v>46205.95991898148</v>
      </c>
      <c r="D1688" t="inlineStr">
        <is>
          <t>BUY</t>
        </is>
      </c>
      <c r="E1688" t="inlineStr">
        <is>
          <t>No</t>
        </is>
      </c>
      <c r="F1688" s="2" t="n">
        <v>0.999</v>
      </c>
      <c r="G1688" s="6" t="n">
        <v>50.4</v>
      </c>
      <c r="H1688" s="6">
        <f>F1688*G1688</f>
        <v/>
      </c>
      <c r="I1688">
        <f>_xlfn.XLOOKUP(A1688,MktTitle,MktCat,"n/a")</f>
        <v/>
      </c>
      <c r="J1688" s="3">
        <f>_xlfn.XLOOKUP(A1688,MktTitle,MktTotVol,0)</f>
        <v/>
      </c>
      <c r="K1688">
        <f>IF(H1688&gt;WhaleThreshold,"WHALE","")</f>
        <v/>
      </c>
    </row>
    <row r="1689">
      <c r="A1689" t="inlineStr">
        <is>
          <t>Will Egypt win the 2026 FIFA World Cup?</t>
        </is>
      </c>
      <c r="B1689" s="4" t="n">
        <v>46205</v>
      </c>
      <c r="C1689" s="5" t="n">
        <v>46205.95988425926</v>
      </c>
      <c r="D1689" t="inlineStr">
        <is>
          <t>BUY</t>
        </is>
      </c>
      <c r="E1689" t="inlineStr">
        <is>
          <t>No</t>
        </is>
      </c>
      <c r="F1689" s="2" t="n">
        <v>0.999</v>
      </c>
      <c r="G1689" s="6" t="n">
        <v>5</v>
      </c>
      <c r="H1689" s="6">
        <f>F1689*G1689</f>
        <v/>
      </c>
      <c r="I1689">
        <f>_xlfn.XLOOKUP(A1689,MktTitle,MktCat,"n/a")</f>
        <v/>
      </c>
      <c r="J1689" s="3">
        <f>_xlfn.XLOOKUP(A1689,MktTitle,MktTotVol,0)</f>
        <v/>
      </c>
      <c r="K1689">
        <f>IF(H1689&gt;WhaleThreshold,"WHALE","")</f>
        <v/>
      </c>
    </row>
    <row r="1690">
      <c r="A1690" t="inlineStr">
        <is>
          <t>Will Egypt win the 2026 FIFA World Cup?</t>
        </is>
      </c>
      <c r="B1690" s="4" t="n">
        <v>46205</v>
      </c>
      <c r="C1690" s="5" t="n">
        <v>46205.95988425926</v>
      </c>
      <c r="D1690" t="inlineStr">
        <is>
          <t>BUY</t>
        </is>
      </c>
      <c r="E1690" t="inlineStr">
        <is>
          <t>No</t>
        </is>
      </c>
      <c r="F1690" s="2" t="n">
        <v>0.999</v>
      </c>
      <c r="G1690" s="6" t="n">
        <v>20</v>
      </c>
      <c r="H1690" s="6">
        <f>F1690*G1690</f>
        <v/>
      </c>
      <c r="I1690">
        <f>_xlfn.XLOOKUP(A1690,MktTitle,MktCat,"n/a")</f>
        <v/>
      </c>
      <c r="J1690" s="3">
        <f>_xlfn.XLOOKUP(A1690,MktTitle,MktTotVol,0)</f>
        <v/>
      </c>
      <c r="K1690">
        <f>IF(H1690&gt;WhaleThreshold,"WHALE","")</f>
        <v/>
      </c>
    </row>
    <row r="1691">
      <c r="A1691" t="inlineStr">
        <is>
          <t>Will Egypt win the 2026 FIFA World Cup?</t>
        </is>
      </c>
      <c r="B1691" s="4" t="n">
        <v>46205</v>
      </c>
      <c r="C1691" s="5" t="n">
        <v>46205.95978009259</v>
      </c>
      <c r="D1691" t="inlineStr">
        <is>
          <t>BUY</t>
        </is>
      </c>
      <c r="E1691" t="inlineStr">
        <is>
          <t>No</t>
        </is>
      </c>
      <c r="F1691" s="2" t="n">
        <v>0.999</v>
      </c>
      <c r="G1691" s="6" t="n">
        <v>65</v>
      </c>
      <c r="H1691" s="6">
        <f>F1691*G1691</f>
        <v/>
      </c>
      <c r="I1691">
        <f>_xlfn.XLOOKUP(A1691,MktTitle,MktCat,"n/a")</f>
        <v/>
      </c>
      <c r="J1691" s="3">
        <f>_xlfn.XLOOKUP(A1691,MktTitle,MktTotVol,0)</f>
        <v/>
      </c>
      <c r="K1691">
        <f>IF(H1691&gt;WhaleThreshold,"WHALE","")</f>
        <v/>
      </c>
    </row>
    <row r="1692">
      <c r="A1692" t="inlineStr">
        <is>
          <t>Will Egypt win the 2026 FIFA World Cup?</t>
        </is>
      </c>
      <c r="B1692" s="4" t="n">
        <v>46205</v>
      </c>
      <c r="C1692" s="5" t="n">
        <v>46205.95978009259</v>
      </c>
      <c r="D1692" t="inlineStr">
        <is>
          <t>BUY</t>
        </is>
      </c>
      <c r="E1692" t="inlineStr">
        <is>
          <t>No</t>
        </is>
      </c>
      <c r="F1692" s="2" t="n">
        <v>0.999</v>
      </c>
      <c r="G1692" s="6" t="n">
        <v>115</v>
      </c>
      <c r="H1692" s="6">
        <f>F1692*G1692</f>
        <v/>
      </c>
      <c r="I1692">
        <f>_xlfn.XLOOKUP(A1692,MktTitle,MktCat,"n/a")</f>
        <v/>
      </c>
      <c r="J1692" s="3">
        <f>_xlfn.XLOOKUP(A1692,MktTitle,MktTotVol,0)</f>
        <v/>
      </c>
      <c r="K1692">
        <f>IF(H1692&gt;WhaleThreshold,"WHALE","")</f>
        <v/>
      </c>
    </row>
    <row r="1693">
      <c r="A1693" t="inlineStr">
        <is>
          <t>Will Egypt win the 2026 FIFA World Cup?</t>
        </is>
      </c>
      <c r="B1693" s="4" t="n">
        <v>46205</v>
      </c>
      <c r="C1693" s="5" t="n">
        <v>46205.95976851852</v>
      </c>
      <c r="D1693" t="inlineStr">
        <is>
          <t>BUY</t>
        </is>
      </c>
      <c r="E1693" t="inlineStr">
        <is>
          <t>No</t>
        </is>
      </c>
      <c r="F1693" s="2" t="n">
        <v>0.999</v>
      </c>
      <c r="G1693" s="6" t="n">
        <v>115</v>
      </c>
      <c r="H1693" s="6">
        <f>F1693*G1693</f>
        <v/>
      </c>
      <c r="I1693">
        <f>_xlfn.XLOOKUP(A1693,MktTitle,MktCat,"n/a")</f>
        <v/>
      </c>
      <c r="J1693" s="3">
        <f>_xlfn.XLOOKUP(A1693,MktTitle,MktTotVol,0)</f>
        <v/>
      </c>
      <c r="K1693">
        <f>IF(H1693&gt;WhaleThreshold,"WHALE","")</f>
        <v/>
      </c>
    </row>
    <row r="1694">
      <c r="A1694" t="inlineStr">
        <is>
          <t>Will Egypt win the 2026 FIFA World Cup?</t>
        </is>
      </c>
      <c r="B1694" s="4" t="n">
        <v>46205</v>
      </c>
      <c r="C1694" s="5" t="n">
        <v>46205.95976851852</v>
      </c>
      <c r="D1694" t="inlineStr">
        <is>
          <t>BUY</t>
        </is>
      </c>
      <c r="E1694" t="inlineStr">
        <is>
          <t>No</t>
        </is>
      </c>
      <c r="F1694" s="2" t="n">
        <v>0.999</v>
      </c>
      <c r="G1694" s="6" t="n">
        <v>60</v>
      </c>
      <c r="H1694" s="6">
        <f>F1694*G1694</f>
        <v/>
      </c>
      <c r="I1694">
        <f>_xlfn.XLOOKUP(A1694,MktTitle,MktCat,"n/a")</f>
        <v/>
      </c>
      <c r="J1694" s="3">
        <f>_xlfn.XLOOKUP(A1694,MktTitle,MktTotVol,0)</f>
        <v/>
      </c>
      <c r="K1694">
        <f>IF(H1694&gt;WhaleThreshold,"WHALE","")</f>
        <v/>
      </c>
    </row>
    <row r="1695">
      <c r="A1695" t="inlineStr">
        <is>
          <t>Will Egypt win the 2026 FIFA World Cup?</t>
        </is>
      </c>
      <c r="B1695" s="4" t="n">
        <v>46205</v>
      </c>
      <c r="C1695" s="5" t="n">
        <v>46205.95974537037</v>
      </c>
      <c r="D1695" t="inlineStr">
        <is>
          <t>BUY</t>
        </is>
      </c>
      <c r="E1695" t="inlineStr">
        <is>
          <t>No</t>
        </is>
      </c>
      <c r="F1695" s="2" t="n">
        <v>0.999</v>
      </c>
      <c r="G1695" s="6" t="n">
        <v>55</v>
      </c>
      <c r="H1695" s="6">
        <f>F1695*G1695</f>
        <v/>
      </c>
      <c r="I1695">
        <f>_xlfn.XLOOKUP(A1695,MktTitle,MktCat,"n/a")</f>
        <v/>
      </c>
      <c r="J1695" s="3">
        <f>_xlfn.XLOOKUP(A1695,MktTitle,MktTotVol,0)</f>
        <v/>
      </c>
      <c r="K1695">
        <f>IF(H1695&gt;WhaleThreshold,"WHALE","")</f>
        <v/>
      </c>
    </row>
    <row r="1696">
      <c r="A1696" t="inlineStr">
        <is>
          <t>Will Egypt win the 2026 FIFA World Cup?</t>
        </is>
      </c>
      <c r="B1696" s="4" t="n">
        <v>46205</v>
      </c>
      <c r="C1696" s="5" t="n">
        <v>46205.9597337963</v>
      </c>
      <c r="D1696" t="inlineStr">
        <is>
          <t>BUY</t>
        </is>
      </c>
      <c r="E1696" t="inlineStr">
        <is>
          <t>No</t>
        </is>
      </c>
      <c r="F1696" s="2" t="n">
        <v>0.999</v>
      </c>
      <c r="G1696" s="6" t="n">
        <v>23.4</v>
      </c>
      <c r="H1696" s="6">
        <f>F1696*G1696</f>
        <v/>
      </c>
      <c r="I1696">
        <f>_xlfn.XLOOKUP(A1696,MktTitle,MktCat,"n/a")</f>
        <v/>
      </c>
      <c r="J1696" s="3">
        <f>_xlfn.XLOOKUP(A1696,MktTitle,MktTotVol,0)</f>
        <v/>
      </c>
      <c r="K1696">
        <f>IF(H1696&gt;WhaleThreshold,"WHALE","")</f>
        <v/>
      </c>
    </row>
    <row r="1697">
      <c r="A1697" t="inlineStr">
        <is>
          <t>Will Egypt win the 2026 FIFA World Cup?</t>
        </is>
      </c>
      <c r="B1697" s="4" t="n">
        <v>46205</v>
      </c>
      <c r="C1697" s="5" t="n">
        <v>46205.9597337963</v>
      </c>
      <c r="D1697" t="inlineStr">
        <is>
          <t>BUY</t>
        </is>
      </c>
      <c r="E1697" t="inlineStr">
        <is>
          <t>No</t>
        </is>
      </c>
      <c r="F1697" s="2" t="n">
        <v>0.999</v>
      </c>
      <c r="G1697" s="6" t="n">
        <v>115</v>
      </c>
      <c r="H1697" s="6">
        <f>F1697*G1697</f>
        <v/>
      </c>
      <c r="I1697">
        <f>_xlfn.XLOOKUP(A1697,MktTitle,MktCat,"n/a")</f>
        <v/>
      </c>
      <c r="J1697" s="3">
        <f>_xlfn.XLOOKUP(A1697,MktTitle,MktTotVol,0)</f>
        <v/>
      </c>
      <c r="K1697">
        <f>IF(H1697&gt;WhaleThreshold,"WHALE","")</f>
        <v/>
      </c>
    </row>
    <row r="1698">
      <c r="A1698" t="inlineStr">
        <is>
          <t>Will Egypt win the 2026 FIFA World Cup?</t>
        </is>
      </c>
      <c r="B1698" s="4" t="n">
        <v>46205</v>
      </c>
      <c r="C1698" s="5" t="n">
        <v>46205.9597337963</v>
      </c>
      <c r="D1698" t="inlineStr">
        <is>
          <t>BUY</t>
        </is>
      </c>
      <c r="E1698" t="inlineStr">
        <is>
          <t>No</t>
        </is>
      </c>
      <c r="F1698" s="2" t="n">
        <v>0.999</v>
      </c>
      <c r="G1698" s="6" t="n">
        <v>46.8</v>
      </c>
      <c r="H1698" s="6">
        <f>F1698*G1698</f>
        <v/>
      </c>
      <c r="I1698">
        <f>_xlfn.XLOOKUP(A1698,MktTitle,MktCat,"n/a")</f>
        <v/>
      </c>
      <c r="J1698" s="3">
        <f>_xlfn.XLOOKUP(A1698,MktTitle,MktTotVol,0)</f>
        <v/>
      </c>
      <c r="K1698">
        <f>IF(H1698&gt;WhaleThreshold,"WHALE","")</f>
        <v/>
      </c>
    </row>
    <row r="1699">
      <c r="A1699" t="inlineStr">
        <is>
          <t>Will Egypt win the 2026 FIFA World Cup?</t>
        </is>
      </c>
      <c r="B1699" s="4" t="n">
        <v>46205</v>
      </c>
      <c r="C1699" s="5" t="n">
        <v>46205.9597337963</v>
      </c>
      <c r="D1699" t="inlineStr">
        <is>
          <t>BUY</t>
        </is>
      </c>
      <c r="E1699" t="inlineStr">
        <is>
          <t>No</t>
        </is>
      </c>
      <c r="F1699" s="2" t="n">
        <v>0.999</v>
      </c>
      <c r="G1699" s="6" t="n">
        <v>115</v>
      </c>
      <c r="H1699" s="6">
        <f>F1699*G1699</f>
        <v/>
      </c>
      <c r="I1699">
        <f>_xlfn.XLOOKUP(A1699,MktTitle,MktCat,"n/a")</f>
        <v/>
      </c>
      <c r="J1699" s="3">
        <f>_xlfn.XLOOKUP(A1699,MktTitle,MktTotVol,0)</f>
        <v/>
      </c>
      <c r="K1699">
        <f>IF(H1699&gt;WhaleThreshold,"WHALE","")</f>
        <v/>
      </c>
    </row>
    <row r="1700">
      <c r="A1700" t="inlineStr">
        <is>
          <t>Will Egypt win the 2026 FIFA World Cup?</t>
        </is>
      </c>
      <c r="B1700" s="4" t="n">
        <v>46205</v>
      </c>
      <c r="C1700" s="5" t="n">
        <v>46205.95894675926</v>
      </c>
      <c r="D1700" t="inlineStr">
        <is>
          <t>BUY</t>
        </is>
      </c>
      <c r="E1700" t="inlineStr">
        <is>
          <t>No</t>
        </is>
      </c>
      <c r="F1700" s="2" t="n">
        <v>0.999</v>
      </c>
      <c r="G1700" s="6" t="n">
        <v>2.94</v>
      </c>
      <c r="H1700" s="6">
        <f>F1700*G1700</f>
        <v/>
      </c>
      <c r="I1700">
        <f>_xlfn.XLOOKUP(A1700,MktTitle,MktCat,"n/a")</f>
        <v/>
      </c>
      <c r="J1700" s="3">
        <f>_xlfn.XLOOKUP(A1700,MktTitle,MktTotVol,0)</f>
        <v/>
      </c>
      <c r="K1700">
        <f>IF(H1700&gt;WhaleThreshold,"WHALE","")</f>
        <v/>
      </c>
    </row>
    <row r="1701">
      <c r="A1701" t="inlineStr">
        <is>
          <t>Will Egypt win the 2026 FIFA World Cup?</t>
        </is>
      </c>
      <c r="B1701" s="4" t="n">
        <v>46205</v>
      </c>
      <c r="C1701" s="5" t="n">
        <v>46205.95893518518</v>
      </c>
      <c r="D1701" t="inlineStr">
        <is>
          <t>BUY</t>
        </is>
      </c>
      <c r="E1701" t="inlineStr">
        <is>
          <t>No</t>
        </is>
      </c>
      <c r="F1701" s="2" t="n">
        <v>0.999</v>
      </c>
      <c r="G1701" s="6" t="n">
        <v>5</v>
      </c>
      <c r="H1701" s="6">
        <f>F1701*G1701</f>
        <v/>
      </c>
      <c r="I1701">
        <f>_xlfn.XLOOKUP(A1701,MktTitle,MktCat,"n/a")</f>
        <v/>
      </c>
      <c r="J1701" s="3">
        <f>_xlfn.XLOOKUP(A1701,MktTitle,MktTotVol,0)</f>
        <v/>
      </c>
      <c r="K1701">
        <f>IF(H1701&gt;WhaleThreshold,"WHALE","")</f>
        <v/>
      </c>
    </row>
    <row r="1702">
      <c r="A1702" t="inlineStr">
        <is>
          <t>Will Egypt win the 2026 FIFA World Cup?</t>
        </is>
      </c>
      <c r="B1702" s="4" t="n">
        <v>46205</v>
      </c>
      <c r="C1702" s="5" t="n">
        <v>46205.95890046296</v>
      </c>
      <c r="D1702" t="inlineStr">
        <is>
          <t>BUY</t>
        </is>
      </c>
      <c r="E1702" t="inlineStr">
        <is>
          <t>No</t>
        </is>
      </c>
      <c r="F1702" s="2" t="n">
        <v>0.999</v>
      </c>
      <c r="G1702" s="6" t="n">
        <v>5</v>
      </c>
      <c r="H1702" s="6">
        <f>F1702*G1702</f>
        <v/>
      </c>
      <c r="I1702">
        <f>_xlfn.XLOOKUP(A1702,MktTitle,MktCat,"n/a")</f>
        <v/>
      </c>
      <c r="J1702" s="3">
        <f>_xlfn.XLOOKUP(A1702,MktTitle,MktTotVol,0)</f>
        <v/>
      </c>
      <c r="K1702">
        <f>IF(H1702&gt;WhaleThreshold,"WHALE","")</f>
        <v/>
      </c>
    </row>
    <row r="1703">
      <c r="A1703" t="inlineStr">
        <is>
          <t>Will Egypt win the 2026 FIFA World Cup?</t>
        </is>
      </c>
      <c r="B1703" s="4" t="n">
        <v>46205</v>
      </c>
      <c r="C1703" s="5" t="n">
        <v>46205.95887731481</v>
      </c>
      <c r="D1703" t="inlineStr">
        <is>
          <t>BUY</t>
        </is>
      </c>
      <c r="E1703" t="inlineStr">
        <is>
          <t>No</t>
        </is>
      </c>
      <c r="F1703" s="2" t="n">
        <v>0.999</v>
      </c>
      <c r="G1703" s="6" t="n">
        <v>10</v>
      </c>
      <c r="H1703" s="6">
        <f>F1703*G1703</f>
        <v/>
      </c>
      <c r="I1703">
        <f>_xlfn.XLOOKUP(A1703,MktTitle,MktCat,"n/a")</f>
        <v/>
      </c>
      <c r="J1703" s="3">
        <f>_xlfn.XLOOKUP(A1703,MktTitle,MktTotVol,0)</f>
        <v/>
      </c>
      <c r="K1703">
        <f>IF(H1703&gt;WhaleThreshold,"WHALE","")</f>
        <v/>
      </c>
    </row>
    <row r="1704">
      <c r="A1704" t="inlineStr">
        <is>
          <t>Will Egypt win the 2026 FIFA World Cup?</t>
        </is>
      </c>
      <c r="B1704" s="4" t="n">
        <v>46205</v>
      </c>
      <c r="C1704" s="5" t="n">
        <v>46205.95886574074</v>
      </c>
      <c r="D1704" t="inlineStr">
        <is>
          <t>BUY</t>
        </is>
      </c>
      <c r="E1704" t="inlineStr">
        <is>
          <t>No</t>
        </is>
      </c>
      <c r="F1704" s="2" t="n">
        <v>0.999</v>
      </c>
      <c r="G1704" s="6" t="n">
        <v>10</v>
      </c>
      <c r="H1704" s="6">
        <f>F1704*G1704</f>
        <v/>
      </c>
      <c r="I1704">
        <f>_xlfn.XLOOKUP(A1704,MktTitle,MktCat,"n/a")</f>
        <v/>
      </c>
      <c r="J1704" s="3">
        <f>_xlfn.XLOOKUP(A1704,MktTitle,MktTotVol,0)</f>
        <v/>
      </c>
      <c r="K1704">
        <f>IF(H1704&gt;WhaleThreshold,"WHALE","")</f>
        <v/>
      </c>
    </row>
    <row r="1705">
      <c r="A1705" t="inlineStr">
        <is>
          <t>Will Egypt win the 2026 FIFA World Cup?</t>
        </is>
      </c>
      <c r="B1705" s="4" t="n">
        <v>46205</v>
      </c>
      <c r="C1705" s="5" t="n">
        <v>46205.95884259259</v>
      </c>
      <c r="D1705" t="inlineStr">
        <is>
          <t>BUY</t>
        </is>
      </c>
      <c r="E1705" t="inlineStr">
        <is>
          <t>No</t>
        </is>
      </c>
      <c r="F1705" s="2" t="n">
        <v>0.999</v>
      </c>
      <c r="G1705" s="6" t="n">
        <v>10</v>
      </c>
      <c r="H1705" s="6">
        <f>F1705*G1705</f>
        <v/>
      </c>
      <c r="I1705">
        <f>_xlfn.XLOOKUP(A1705,MktTitle,MktCat,"n/a")</f>
        <v/>
      </c>
      <c r="J1705" s="3">
        <f>_xlfn.XLOOKUP(A1705,MktTitle,MktTotVol,0)</f>
        <v/>
      </c>
      <c r="K1705">
        <f>IF(H1705&gt;WhaleThreshold,"WHALE","")</f>
        <v/>
      </c>
    </row>
    <row r="1706">
      <c r="A1706" t="inlineStr">
        <is>
          <t>Will Egypt win the 2026 FIFA World Cup?</t>
        </is>
      </c>
      <c r="B1706" s="4" t="n">
        <v>46205</v>
      </c>
      <c r="C1706" s="5" t="n">
        <v>46205.95883101852</v>
      </c>
      <c r="D1706" t="inlineStr">
        <is>
          <t>BUY</t>
        </is>
      </c>
      <c r="E1706" t="inlineStr">
        <is>
          <t>No</t>
        </is>
      </c>
      <c r="F1706" s="2" t="n">
        <v>0.999</v>
      </c>
      <c r="G1706" s="6" t="n">
        <v>20</v>
      </c>
      <c r="H1706" s="6">
        <f>F1706*G1706</f>
        <v/>
      </c>
      <c r="I1706">
        <f>_xlfn.XLOOKUP(A1706,MktTitle,MktCat,"n/a")</f>
        <v/>
      </c>
      <c r="J1706" s="3">
        <f>_xlfn.XLOOKUP(A1706,MktTitle,MktTotVol,0)</f>
        <v/>
      </c>
      <c r="K1706">
        <f>IF(H1706&gt;WhaleThreshold,"WHALE","")</f>
        <v/>
      </c>
    </row>
    <row r="1707">
      <c r="A1707" t="inlineStr">
        <is>
          <t>Will Egypt win the 2026 FIFA World Cup?</t>
        </is>
      </c>
      <c r="B1707" s="4" t="n">
        <v>46205</v>
      </c>
      <c r="C1707" s="5" t="n">
        <v>46205.95883101852</v>
      </c>
      <c r="D1707" t="inlineStr">
        <is>
          <t>BUY</t>
        </is>
      </c>
      <c r="E1707" t="inlineStr">
        <is>
          <t>No</t>
        </is>
      </c>
      <c r="F1707" s="2" t="n">
        <v>0.999</v>
      </c>
      <c r="G1707" s="6" t="n">
        <v>115</v>
      </c>
      <c r="H1707" s="6">
        <f>F1707*G1707</f>
        <v/>
      </c>
      <c r="I1707">
        <f>_xlfn.XLOOKUP(A1707,MktTitle,MktCat,"n/a")</f>
        <v/>
      </c>
      <c r="J1707" s="3">
        <f>_xlfn.XLOOKUP(A1707,MktTitle,MktTotVol,0)</f>
        <v/>
      </c>
      <c r="K1707">
        <f>IF(H1707&gt;WhaleThreshold,"WHALE","")</f>
        <v/>
      </c>
    </row>
    <row r="1708">
      <c r="A1708" t="inlineStr">
        <is>
          <t>Will Egypt win the 2026 FIFA World Cup?</t>
        </is>
      </c>
      <c r="B1708" s="4" t="n">
        <v>46205</v>
      </c>
      <c r="C1708" s="5" t="n">
        <v>46205.95880787037</v>
      </c>
      <c r="D1708" t="inlineStr">
        <is>
          <t>BUY</t>
        </is>
      </c>
      <c r="E1708" t="inlineStr">
        <is>
          <t>No</t>
        </is>
      </c>
      <c r="F1708" s="2" t="n">
        <v>0.999</v>
      </c>
      <c r="G1708" s="6" t="n">
        <v>70</v>
      </c>
      <c r="H1708" s="6">
        <f>F1708*G1708</f>
        <v/>
      </c>
      <c r="I1708">
        <f>_xlfn.XLOOKUP(A1708,MktTitle,MktCat,"n/a")</f>
        <v/>
      </c>
      <c r="J1708" s="3">
        <f>_xlfn.XLOOKUP(A1708,MktTitle,MktTotVol,0)</f>
        <v/>
      </c>
      <c r="K1708">
        <f>IF(H1708&gt;WhaleThreshold,"WHALE","")</f>
        <v/>
      </c>
    </row>
    <row r="1709">
      <c r="A1709" t="inlineStr">
        <is>
          <t>Will Egypt win the 2026 FIFA World Cup?</t>
        </is>
      </c>
      <c r="B1709" s="4" t="n">
        <v>46205</v>
      </c>
      <c r="C1709" s="5" t="n">
        <v>46205.95880787037</v>
      </c>
      <c r="D1709" t="inlineStr">
        <is>
          <t>BUY</t>
        </is>
      </c>
      <c r="E1709" t="inlineStr">
        <is>
          <t>No</t>
        </is>
      </c>
      <c r="F1709" s="2" t="n">
        <v>0.999</v>
      </c>
      <c r="G1709" s="6" t="n">
        <v>27.2</v>
      </c>
      <c r="H1709" s="6">
        <f>F1709*G1709</f>
        <v/>
      </c>
      <c r="I1709">
        <f>_xlfn.XLOOKUP(A1709,MktTitle,MktCat,"n/a")</f>
        <v/>
      </c>
      <c r="J1709" s="3">
        <f>_xlfn.XLOOKUP(A1709,MktTitle,MktTotVol,0)</f>
        <v/>
      </c>
      <c r="K1709">
        <f>IF(H1709&gt;WhaleThreshold,"WHALE","")</f>
        <v/>
      </c>
    </row>
    <row r="1710">
      <c r="A1710" t="inlineStr">
        <is>
          <t>Will Egypt win the 2026 FIFA World Cup?</t>
        </is>
      </c>
      <c r="B1710" s="4" t="n">
        <v>46205</v>
      </c>
      <c r="C1710" s="5" t="n">
        <v>46205.9587962963</v>
      </c>
      <c r="D1710" t="inlineStr">
        <is>
          <t>BUY</t>
        </is>
      </c>
      <c r="E1710" t="inlineStr">
        <is>
          <t>No</t>
        </is>
      </c>
      <c r="F1710" s="2" t="n">
        <v>0.999</v>
      </c>
      <c r="G1710" s="6" t="n">
        <v>47</v>
      </c>
      <c r="H1710" s="6">
        <f>F1710*G1710</f>
        <v/>
      </c>
      <c r="I1710">
        <f>_xlfn.XLOOKUP(A1710,MktTitle,MktCat,"n/a")</f>
        <v/>
      </c>
      <c r="J1710" s="3">
        <f>_xlfn.XLOOKUP(A1710,MktTitle,MktTotVol,0)</f>
        <v/>
      </c>
      <c r="K1710">
        <f>IF(H1710&gt;WhaleThreshold,"WHALE","")</f>
        <v/>
      </c>
    </row>
    <row r="1711">
      <c r="A1711" t="inlineStr">
        <is>
          <t>Will Egypt win the 2026 FIFA World Cup?</t>
        </is>
      </c>
      <c r="B1711" s="4" t="n">
        <v>46205</v>
      </c>
      <c r="C1711" s="5" t="n">
        <v>46205.9587962963</v>
      </c>
      <c r="D1711" t="inlineStr">
        <is>
          <t>BUY</t>
        </is>
      </c>
      <c r="E1711" t="inlineStr">
        <is>
          <t>No</t>
        </is>
      </c>
      <c r="F1711" s="2" t="n">
        <v>0.999</v>
      </c>
      <c r="G1711" s="6" t="n">
        <v>115</v>
      </c>
      <c r="H1711" s="6">
        <f>F1711*G1711</f>
        <v/>
      </c>
      <c r="I1711">
        <f>_xlfn.XLOOKUP(A1711,MktTitle,MktCat,"n/a")</f>
        <v/>
      </c>
      <c r="J1711" s="3">
        <f>_xlfn.XLOOKUP(A1711,MktTitle,MktTotVol,0)</f>
        <v/>
      </c>
      <c r="K1711">
        <f>IF(H1711&gt;WhaleThreshold,"WHALE","")</f>
        <v/>
      </c>
    </row>
    <row r="1712">
      <c r="A1712" t="inlineStr">
        <is>
          <t>Will Egypt win the 2026 FIFA World Cup?</t>
        </is>
      </c>
      <c r="B1712" s="4" t="n">
        <v>46205</v>
      </c>
      <c r="C1712" s="5" t="n">
        <v>46205.9587962963</v>
      </c>
      <c r="D1712" t="inlineStr">
        <is>
          <t>BUY</t>
        </is>
      </c>
      <c r="E1712" t="inlineStr">
        <is>
          <t>No</t>
        </is>
      </c>
      <c r="F1712" s="2" t="n">
        <v>0.999</v>
      </c>
      <c r="G1712" s="6" t="n">
        <v>115</v>
      </c>
      <c r="H1712" s="6">
        <f>F1712*G1712</f>
        <v/>
      </c>
      <c r="I1712">
        <f>_xlfn.XLOOKUP(A1712,MktTitle,MktCat,"n/a")</f>
        <v/>
      </c>
      <c r="J1712" s="3">
        <f>_xlfn.XLOOKUP(A1712,MktTitle,MktTotVol,0)</f>
        <v/>
      </c>
      <c r="K1712">
        <f>IF(H1712&gt;WhaleThreshold,"WHALE","")</f>
        <v/>
      </c>
    </row>
    <row r="1713">
      <c r="A1713" t="inlineStr">
        <is>
          <t>Will Egypt win the 2026 FIFA World Cup?</t>
        </is>
      </c>
      <c r="B1713" s="4" t="n">
        <v>46205</v>
      </c>
      <c r="C1713" s="5" t="n">
        <v>46205.95877314815</v>
      </c>
      <c r="D1713" t="inlineStr">
        <is>
          <t>SELL</t>
        </is>
      </c>
      <c r="E1713" t="inlineStr">
        <is>
          <t>No</t>
        </is>
      </c>
      <c r="F1713" s="2" t="n">
        <v>0.998</v>
      </c>
      <c r="G1713" s="6" t="n">
        <v>42.69</v>
      </c>
      <c r="H1713" s="6">
        <f>F1713*G1713</f>
        <v/>
      </c>
      <c r="I1713">
        <f>_xlfn.XLOOKUP(A1713,MktTitle,MktCat,"n/a")</f>
        <v/>
      </c>
      <c r="J1713" s="3">
        <f>_xlfn.XLOOKUP(A1713,MktTitle,MktTotVol,0)</f>
        <v/>
      </c>
      <c r="K1713">
        <f>IF(H1713&gt;WhaleThreshold,"WHALE","")</f>
        <v/>
      </c>
    </row>
    <row r="1714">
      <c r="A1714" t="inlineStr">
        <is>
          <t>Will Egypt win the 2026 FIFA World Cup?</t>
        </is>
      </c>
      <c r="B1714" s="4" t="n">
        <v>46205</v>
      </c>
      <c r="C1714" s="5" t="n">
        <v>46205.95851851852</v>
      </c>
      <c r="D1714" t="inlineStr">
        <is>
          <t>BUY</t>
        </is>
      </c>
      <c r="E1714" t="inlineStr">
        <is>
          <t>No</t>
        </is>
      </c>
      <c r="F1714" s="2" t="n">
        <v>0.999</v>
      </c>
      <c r="G1714" s="6" t="n">
        <v>10</v>
      </c>
      <c r="H1714" s="6">
        <f>F1714*G1714</f>
        <v/>
      </c>
      <c r="I1714">
        <f>_xlfn.XLOOKUP(A1714,MktTitle,MktCat,"n/a")</f>
        <v/>
      </c>
      <c r="J1714" s="3">
        <f>_xlfn.XLOOKUP(A1714,MktTitle,MktTotVol,0)</f>
        <v/>
      </c>
      <c r="K1714">
        <f>IF(H1714&gt;WhaleThreshold,"WHALE","")</f>
        <v/>
      </c>
    </row>
    <row r="1715">
      <c r="A1715" t="inlineStr">
        <is>
          <t>Will Egypt win the 2026 FIFA World Cup?</t>
        </is>
      </c>
      <c r="B1715" s="4" t="n">
        <v>46205</v>
      </c>
      <c r="C1715" s="5" t="n">
        <v>46205.95849537037</v>
      </c>
      <c r="D1715" t="inlineStr">
        <is>
          <t>BUY</t>
        </is>
      </c>
      <c r="E1715" t="inlineStr">
        <is>
          <t>No</t>
        </is>
      </c>
      <c r="F1715" s="2" t="n">
        <v>0.999</v>
      </c>
      <c r="G1715" s="6" t="n">
        <v>10</v>
      </c>
      <c r="H1715" s="6">
        <f>F1715*G1715</f>
        <v/>
      </c>
      <c r="I1715">
        <f>_xlfn.XLOOKUP(A1715,MktTitle,MktCat,"n/a")</f>
        <v/>
      </c>
      <c r="J1715" s="3">
        <f>_xlfn.XLOOKUP(A1715,MktTitle,MktTotVol,0)</f>
        <v/>
      </c>
      <c r="K1715">
        <f>IF(H1715&gt;WhaleThreshold,"WHALE","")</f>
        <v/>
      </c>
    </row>
    <row r="1716">
      <c r="A1716" t="inlineStr">
        <is>
          <t>Will Egypt win the 2026 FIFA World Cup?</t>
        </is>
      </c>
      <c r="B1716" s="4" t="n">
        <v>46205</v>
      </c>
      <c r="C1716" s="5" t="n">
        <v>46205.95837962963</v>
      </c>
      <c r="D1716" t="inlineStr">
        <is>
          <t>BUY</t>
        </is>
      </c>
      <c r="E1716" t="inlineStr">
        <is>
          <t>No</t>
        </is>
      </c>
      <c r="F1716" s="2" t="n">
        <v>0.999</v>
      </c>
      <c r="G1716" s="6" t="n">
        <v>15</v>
      </c>
      <c r="H1716" s="6">
        <f>F1716*G1716</f>
        <v/>
      </c>
      <c r="I1716">
        <f>_xlfn.XLOOKUP(A1716,MktTitle,MktCat,"n/a")</f>
        <v/>
      </c>
      <c r="J1716" s="3">
        <f>_xlfn.XLOOKUP(A1716,MktTitle,MktTotVol,0)</f>
        <v/>
      </c>
      <c r="K1716">
        <f>IF(H1716&gt;WhaleThreshold,"WHALE","")</f>
        <v/>
      </c>
    </row>
    <row r="1717">
      <c r="A1717" t="inlineStr">
        <is>
          <t>Will Egypt win the 2026 FIFA World Cup?</t>
        </is>
      </c>
      <c r="B1717" s="4" t="n">
        <v>46205</v>
      </c>
      <c r="C1717" s="5" t="n">
        <v>46205.95835648148</v>
      </c>
      <c r="D1717" t="inlineStr">
        <is>
          <t>BUY</t>
        </is>
      </c>
      <c r="E1717" t="inlineStr">
        <is>
          <t>No</t>
        </is>
      </c>
      <c r="F1717" s="2" t="n">
        <v>0.999</v>
      </c>
      <c r="G1717" s="6" t="n">
        <v>50</v>
      </c>
      <c r="H1717" s="6">
        <f>F1717*G1717</f>
        <v/>
      </c>
      <c r="I1717">
        <f>_xlfn.XLOOKUP(A1717,MktTitle,MktCat,"n/a")</f>
        <v/>
      </c>
      <c r="J1717" s="3">
        <f>_xlfn.XLOOKUP(A1717,MktTitle,MktTotVol,0)</f>
        <v/>
      </c>
      <c r="K1717">
        <f>IF(H1717&gt;WhaleThreshold,"WHALE","")</f>
        <v/>
      </c>
    </row>
    <row r="1718">
      <c r="A1718" t="inlineStr">
        <is>
          <t>Will Egypt win the 2026 FIFA World Cup?</t>
        </is>
      </c>
      <c r="B1718" s="4" t="n">
        <v>46205</v>
      </c>
      <c r="C1718" s="5" t="n">
        <v>46205.95834490741</v>
      </c>
      <c r="D1718" t="inlineStr">
        <is>
          <t>BUY</t>
        </is>
      </c>
      <c r="E1718" t="inlineStr">
        <is>
          <t>No</t>
        </is>
      </c>
      <c r="F1718" s="2" t="n">
        <v>0.999</v>
      </c>
      <c r="G1718" s="6" t="n">
        <v>65</v>
      </c>
      <c r="H1718" s="6">
        <f>F1718*G1718</f>
        <v/>
      </c>
      <c r="I1718">
        <f>_xlfn.XLOOKUP(A1718,MktTitle,MktCat,"n/a")</f>
        <v/>
      </c>
      <c r="J1718" s="3">
        <f>_xlfn.XLOOKUP(A1718,MktTitle,MktTotVol,0)</f>
        <v/>
      </c>
      <c r="K1718">
        <f>IF(H1718&gt;WhaleThreshold,"WHALE","")</f>
        <v/>
      </c>
    </row>
    <row r="1719">
      <c r="A1719" t="inlineStr">
        <is>
          <t>Will Egypt win the 2026 FIFA World Cup?</t>
        </is>
      </c>
      <c r="B1719" s="4" t="n">
        <v>46205</v>
      </c>
      <c r="C1719" s="5" t="n">
        <v>46205.95834490741</v>
      </c>
      <c r="D1719" t="inlineStr">
        <is>
          <t>BUY</t>
        </is>
      </c>
      <c r="E1719" t="inlineStr">
        <is>
          <t>No</t>
        </is>
      </c>
      <c r="F1719" s="2" t="n">
        <v>0.999</v>
      </c>
      <c r="G1719" s="6" t="n">
        <v>73.59999999999999</v>
      </c>
      <c r="H1719" s="6">
        <f>F1719*G1719</f>
        <v/>
      </c>
      <c r="I1719">
        <f>_xlfn.XLOOKUP(A1719,MktTitle,MktCat,"n/a")</f>
        <v/>
      </c>
      <c r="J1719" s="3">
        <f>_xlfn.XLOOKUP(A1719,MktTitle,MktTotVol,0)</f>
        <v/>
      </c>
      <c r="K1719">
        <f>IF(H1719&gt;WhaleThreshold,"WHALE","")</f>
        <v/>
      </c>
    </row>
    <row r="1720">
      <c r="A1720" t="inlineStr">
        <is>
          <t>Will Egypt win the 2026 FIFA World Cup?</t>
        </is>
      </c>
      <c r="B1720" s="4" t="n">
        <v>46205</v>
      </c>
      <c r="C1720" s="5" t="n">
        <v>46205.95834490741</v>
      </c>
      <c r="D1720" t="inlineStr">
        <is>
          <t>BUY</t>
        </is>
      </c>
      <c r="E1720" t="inlineStr">
        <is>
          <t>No</t>
        </is>
      </c>
      <c r="F1720" s="2" t="n">
        <v>0.999</v>
      </c>
      <c r="G1720" s="6" t="n">
        <v>115</v>
      </c>
      <c r="H1720" s="6">
        <f>F1720*G1720</f>
        <v/>
      </c>
      <c r="I1720">
        <f>_xlfn.XLOOKUP(A1720,MktTitle,MktCat,"n/a")</f>
        <v/>
      </c>
      <c r="J1720" s="3">
        <f>_xlfn.XLOOKUP(A1720,MktTitle,MktTotVol,0)</f>
        <v/>
      </c>
      <c r="K1720">
        <f>IF(H1720&gt;WhaleThreshold,"WHALE","")</f>
        <v/>
      </c>
    </row>
    <row r="1721">
      <c r="A1721" t="inlineStr">
        <is>
          <t>Will Egypt win the 2026 FIFA World Cup?</t>
        </is>
      </c>
      <c r="B1721" s="4" t="n">
        <v>46205</v>
      </c>
      <c r="C1721" s="5" t="n">
        <v>46205.95655092593</v>
      </c>
      <c r="D1721" t="inlineStr">
        <is>
          <t>SELL</t>
        </is>
      </c>
      <c r="E1721" t="inlineStr">
        <is>
          <t>No</t>
        </is>
      </c>
      <c r="F1721" s="2" t="n">
        <v>0.998</v>
      </c>
      <c r="G1721" s="6" t="n">
        <v>10.9</v>
      </c>
      <c r="H1721" s="6">
        <f>F1721*G1721</f>
        <v/>
      </c>
      <c r="I1721">
        <f>_xlfn.XLOOKUP(A1721,MktTitle,MktCat,"n/a")</f>
        <v/>
      </c>
      <c r="J1721" s="3">
        <f>_xlfn.XLOOKUP(A1721,MktTitle,MktTotVol,0)</f>
        <v/>
      </c>
      <c r="K1721">
        <f>IF(H1721&gt;WhaleThreshold,"WHALE","")</f>
        <v/>
      </c>
    </row>
    <row r="1722">
      <c r="A1722" t="inlineStr">
        <is>
          <t>Will Egypt win the 2026 FIFA World Cup?</t>
        </is>
      </c>
      <c r="B1722" s="4" t="n">
        <v>46205</v>
      </c>
      <c r="C1722" s="5" t="n">
        <v>46205.95653935185</v>
      </c>
      <c r="D1722" t="inlineStr">
        <is>
          <t>SELL</t>
        </is>
      </c>
      <c r="E1722" t="inlineStr">
        <is>
          <t>No</t>
        </is>
      </c>
      <c r="F1722" s="2" t="n">
        <v>0.998</v>
      </c>
      <c r="G1722" s="6" t="n">
        <v>10.9</v>
      </c>
      <c r="H1722" s="6">
        <f>F1722*G1722</f>
        <v/>
      </c>
      <c r="I1722">
        <f>_xlfn.XLOOKUP(A1722,MktTitle,MktCat,"n/a")</f>
        <v/>
      </c>
      <c r="J1722" s="3">
        <f>_xlfn.XLOOKUP(A1722,MktTitle,MktTotVol,0)</f>
        <v/>
      </c>
      <c r="K1722">
        <f>IF(H1722&gt;WhaleThreshold,"WHALE","")</f>
        <v/>
      </c>
    </row>
    <row r="1723">
      <c r="A1723" t="inlineStr">
        <is>
          <t>Will Egypt win the 2026 FIFA World Cup?</t>
        </is>
      </c>
      <c r="B1723" s="4" t="n">
        <v>46205</v>
      </c>
      <c r="C1723" s="5" t="n">
        <v>46205.95648148148</v>
      </c>
      <c r="D1723" t="inlineStr">
        <is>
          <t>SELL</t>
        </is>
      </c>
      <c r="E1723" t="inlineStr">
        <is>
          <t>No</t>
        </is>
      </c>
      <c r="F1723" s="2" t="n">
        <v>0.998</v>
      </c>
      <c r="G1723" s="6" t="n">
        <v>10.9</v>
      </c>
      <c r="H1723" s="6">
        <f>F1723*G1723</f>
        <v/>
      </c>
      <c r="I1723">
        <f>_xlfn.XLOOKUP(A1723,MktTitle,MktCat,"n/a")</f>
        <v/>
      </c>
      <c r="J1723" s="3">
        <f>_xlfn.XLOOKUP(A1723,MktTitle,MktTotVol,0)</f>
        <v/>
      </c>
      <c r="K1723">
        <f>IF(H1723&gt;WhaleThreshold,"WHALE","")</f>
        <v/>
      </c>
    </row>
    <row r="1724">
      <c r="A1724" t="inlineStr">
        <is>
          <t>Will Egypt win the 2026 FIFA World Cup?</t>
        </is>
      </c>
      <c r="B1724" s="4" t="n">
        <v>46205</v>
      </c>
      <c r="C1724" s="5" t="n">
        <v>46205.95646990741</v>
      </c>
      <c r="D1724" t="inlineStr">
        <is>
          <t>SELL</t>
        </is>
      </c>
      <c r="E1724" t="inlineStr">
        <is>
          <t>No</t>
        </is>
      </c>
      <c r="F1724" s="2" t="n">
        <v>0.998</v>
      </c>
      <c r="G1724" s="6" t="n">
        <v>10.9</v>
      </c>
      <c r="H1724" s="6">
        <f>F1724*G1724</f>
        <v/>
      </c>
      <c r="I1724">
        <f>_xlfn.XLOOKUP(A1724,MktTitle,MktCat,"n/a")</f>
        <v/>
      </c>
      <c r="J1724" s="3">
        <f>_xlfn.XLOOKUP(A1724,MktTitle,MktTotVol,0)</f>
        <v/>
      </c>
      <c r="K1724">
        <f>IF(H1724&gt;WhaleThreshold,"WHALE","")</f>
        <v/>
      </c>
    </row>
    <row r="1725">
      <c r="A1725" t="inlineStr">
        <is>
          <t>Will Egypt win the 2026 FIFA World Cup?</t>
        </is>
      </c>
      <c r="B1725" s="4" t="n">
        <v>46205</v>
      </c>
      <c r="C1725" s="5" t="n">
        <v>46205.95633101852</v>
      </c>
      <c r="D1725" t="inlineStr">
        <is>
          <t>BUY</t>
        </is>
      </c>
      <c r="E1725" t="inlineStr">
        <is>
          <t>No</t>
        </is>
      </c>
      <c r="F1725" s="2" t="n">
        <v>0.999</v>
      </c>
      <c r="G1725" s="6" t="n">
        <v>2.152</v>
      </c>
      <c r="H1725" s="6">
        <f>F1725*G1725</f>
        <v/>
      </c>
      <c r="I1725">
        <f>_xlfn.XLOOKUP(A1725,MktTitle,MktCat,"n/a")</f>
        <v/>
      </c>
      <c r="J1725" s="3">
        <f>_xlfn.XLOOKUP(A1725,MktTitle,MktTotVol,0)</f>
        <v/>
      </c>
      <c r="K1725">
        <f>IF(H1725&gt;WhaleThreshold,"WHALE","")</f>
        <v/>
      </c>
    </row>
    <row r="1726">
      <c r="A1726" t="inlineStr">
        <is>
          <t>Will Egypt win the 2026 FIFA World Cup?</t>
        </is>
      </c>
      <c r="B1726" s="4" t="n">
        <v>46205</v>
      </c>
      <c r="C1726" s="5" t="n">
        <v>46205.95571759259</v>
      </c>
      <c r="D1726" t="inlineStr">
        <is>
          <t>BUY</t>
        </is>
      </c>
      <c r="E1726" t="inlineStr">
        <is>
          <t>No</t>
        </is>
      </c>
      <c r="F1726" s="2" t="n">
        <v>0.999</v>
      </c>
      <c r="G1726" s="6" t="n">
        <v>10.9</v>
      </c>
      <c r="H1726" s="6">
        <f>F1726*G1726</f>
        <v/>
      </c>
      <c r="I1726">
        <f>_xlfn.XLOOKUP(A1726,MktTitle,MktCat,"n/a")</f>
        <v/>
      </c>
      <c r="J1726" s="3">
        <f>_xlfn.XLOOKUP(A1726,MktTitle,MktTotVol,0)</f>
        <v/>
      </c>
      <c r="K1726">
        <f>IF(H1726&gt;WhaleThreshold,"WHALE","")</f>
        <v/>
      </c>
    </row>
    <row r="1727">
      <c r="A1727" t="inlineStr">
        <is>
          <t>Will Egypt win the 2026 FIFA World Cup?</t>
        </is>
      </c>
      <c r="B1727" s="4" t="n">
        <v>46205</v>
      </c>
      <c r="C1727" s="5" t="n">
        <v>46205.95571759259</v>
      </c>
      <c r="D1727" t="inlineStr">
        <is>
          <t>BUY</t>
        </is>
      </c>
      <c r="E1727" t="inlineStr">
        <is>
          <t>No</t>
        </is>
      </c>
      <c r="F1727" s="2" t="n">
        <v>0.999</v>
      </c>
      <c r="G1727" s="6" t="n">
        <v>10.9</v>
      </c>
      <c r="H1727" s="6">
        <f>F1727*G1727</f>
        <v/>
      </c>
      <c r="I1727">
        <f>_xlfn.XLOOKUP(A1727,MktTitle,MktCat,"n/a")</f>
        <v/>
      </c>
      <c r="J1727" s="3">
        <f>_xlfn.XLOOKUP(A1727,MktTitle,MktTotVol,0)</f>
        <v/>
      </c>
      <c r="K1727">
        <f>IF(H1727&gt;WhaleThreshold,"WHALE","")</f>
        <v/>
      </c>
    </row>
    <row r="1728">
      <c r="A1728" t="inlineStr">
        <is>
          <t>Will Egypt win the 2026 FIFA World Cup?</t>
        </is>
      </c>
      <c r="B1728" s="4" t="n">
        <v>46205</v>
      </c>
      <c r="C1728" s="5" t="n">
        <v>46205.95571759259</v>
      </c>
      <c r="D1728" t="inlineStr">
        <is>
          <t>BUY</t>
        </is>
      </c>
      <c r="E1728" t="inlineStr">
        <is>
          <t>No</t>
        </is>
      </c>
      <c r="F1728" s="2" t="n">
        <v>0.999</v>
      </c>
      <c r="G1728" s="6" t="n">
        <v>10.9</v>
      </c>
      <c r="H1728" s="6">
        <f>F1728*G1728</f>
        <v/>
      </c>
      <c r="I1728">
        <f>_xlfn.XLOOKUP(A1728,MktTitle,MktCat,"n/a")</f>
        <v/>
      </c>
      <c r="J1728" s="3">
        <f>_xlfn.XLOOKUP(A1728,MktTitle,MktTotVol,0)</f>
        <v/>
      </c>
      <c r="K1728">
        <f>IF(H1728&gt;WhaleThreshold,"WHALE","")</f>
        <v/>
      </c>
    </row>
    <row r="1729">
      <c r="A1729" t="inlineStr">
        <is>
          <t>Will Egypt win the 2026 FIFA World Cup?</t>
        </is>
      </c>
      <c r="B1729" s="4" t="n">
        <v>46205</v>
      </c>
      <c r="C1729" s="5" t="n">
        <v>46205.95571759259</v>
      </c>
      <c r="D1729" t="inlineStr">
        <is>
          <t>BUY</t>
        </is>
      </c>
      <c r="E1729" t="inlineStr">
        <is>
          <t>No</t>
        </is>
      </c>
      <c r="F1729" s="2" t="n">
        <v>0.999</v>
      </c>
      <c r="G1729" s="6" t="n">
        <v>10.9</v>
      </c>
      <c r="H1729" s="6">
        <f>F1729*G1729</f>
        <v/>
      </c>
      <c r="I1729">
        <f>_xlfn.XLOOKUP(A1729,MktTitle,MktCat,"n/a")</f>
        <v/>
      </c>
      <c r="J1729" s="3">
        <f>_xlfn.XLOOKUP(A1729,MktTitle,MktTotVol,0)</f>
        <v/>
      </c>
      <c r="K1729">
        <f>IF(H1729&gt;WhaleThreshold,"WHALE","")</f>
        <v/>
      </c>
    </row>
    <row r="1730">
      <c r="A1730" t="inlineStr">
        <is>
          <t>Will Egypt win the 2026 FIFA World Cup?</t>
        </is>
      </c>
      <c r="B1730" s="4" t="n">
        <v>46205</v>
      </c>
      <c r="C1730" s="5" t="n">
        <v>46205.95278935185</v>
      </c>
      <c r="D1730" t="inlineStr">
        <is>
          <t>SELL</t>
        </is>
      </c>
      <c r="E1730" t="inlineStr">
        <is>
          <t>No</t>
        </is>
      </c>
      <c r="F1730" s="2" t="n">
        <v>0.998</v>
      </c>
      <c r="G1730" s="6" t="n">
        <v>24.02</v>
      </c>
      <c r="H1730" s="6">
        <f>F1730*G1730</f>
        <v/>
      </c>
      <c r="I1730">
        <f>_xlfn.XLOOKUP(A1730,MktTitle,MktCat,"n/a")</f>
        <v/>
      </c>
      <c r="J1730" s="3">
        <f>_xlfn.XLOOKUP(A1730,MktTitle,MktTotVol,0)</f>
        <v/>
      </c>
      <c r="K1730">
        <f>IF(H1730&gt;WhaleThreshold,"WHALE","")</f>
        <v/>
      </c>
    </row>
    <row r="1731">
      <c r="A1731" t="inlineStr">
        <is>
          <t>Will Egypt win the 2026 FIFA World Cup?</t>
        </is>
      </c>
      <c r="B1731" s="4" t="n">
        <v>46205</v>
      </c>
      <c r="C1731" s="5" t="n">
        <v>46205.95228009259</v>
      </c>
      <c r="D1731" t="inlineStr">
        <is>
          <t>BUY</t>
        </is>
      </c>
      <c r="E1731" t="inlineStr">
        <is>
          <t>No</t>
        </is>
      </c>
      <c r="F1731" s="2" t="n">
        <v>0.999</v>
      </c>
      <c r="G1731" s="6" t="n">
        <v>18.018</v>
      </c>
      <c r="H1731" s="6">
        <f>F1731*G1731</f>
        <v/>
      </c>
      <c r="I1731">
        <f>_xlfn.XLOOKUP(A1731,MktTitle,MktCat,"n/a")</f>
        <v/>
      </c>
      <c r="J1731" s="3">
        <f>_xlfn.XLOOKUP(A1731,MktTitle,MktTotVol,0)</f>
        <v/>
      </c>
      <c r="K1731">
        <f>IF(H1731&gt;WhaleThreshold,"WHALE","")</f>
        <v/>
      </c>
    </row>
    <row r="1732">
      <c r="A1732" t="inlineStr">
        <is>
          <t>Will Egypt win the 2026 FIFA World Cup?</t>
        </is>
      </c>
      <c r="B1732" s="4" t="n">
        <v>46205</v>
      </c>
      <c r="C1732" s="5" t="n">
        <v>46205.94891203703</v>
      </c>
      <c r="D1732" t="inlineStr">
        <is>
          <t>BUY</t>
        </is>
      </c>
      <c r="E1732" t="inlineStr">
        <is>
          <t>Yes</t>
        </is>
      </c>
      <c r="F1732" s="2" t="n">
        <v>0.002</v>
      </c>
      <c r="G1732" s="6" t="n">
        <v>2000</v>
      </c>
      <c r="H1732" s="6">
        <f>F1732*G1732</f>
        <v/>
      </c>
      <c r="I1732">
        <f>_xlfn.XLOOKUP(A1732,MktTitle,MktCat,"n/a")</f>
        <v/>
      </c>
      <c r="J1732" s="3">
        <f>_xlfn.XLOOKUP(A1732,MktTitle,MktTotVol,0)</f>
        <v/>
      </c>
      <c r="K1732">
        <f>IF(H1732&gt;WhaleThreshold,"WHALE","")</f>
        <v/>
      </c>
    </row>
    <row r="1733">
      <c r="A1733" t="inlineStr">
        <is>
          <t>Will Egypt win the 2026 FIFA World Cup?</t>
        </is>
      </c>
      <c r="B1733" s="4" t="n">
        <v>46205</v>
      </c>
      <c r="C1733" s="5" t="n">
        <v>46205.94726851852</v>
      </c>
      <c r="D1733" t="inlineStr">
        <is>
          <t>BUY</t>
        </is>
      </c>
      <c r="E1733" t="inlineStr">
        <is>
          <t>No</t>
        </is>
      </c>
      <c r="F1733" s="2" t="n">
        <v>0.999</v>
      </c>
      <c r="G1733" s="6" t="n">
        <v>39.039</v>
      </c>
      <c r="H1733" s="6">
        <f>F1733*G1733</f>
        <v/>
      </c>
      <c r="I1733">
        <f>_xlfn.XLOOKUP(A1733,MktTitle,MktCat,"n/a")</f>
        <v/>
      </c>
      <c r="J1733" s="3">
        <f>_xlfn.XLOOKUP(A1733,MktTitle,MktTotVol,0)</f>
        <v/>
      </c>
      <c r="K1733">
        <f>IF(H1733&gt;WhaleThreshold,"WHALE","")</f>
        <v/>
      </c>
    </row>
    <row r="1734">
      <c r="A1734" t="inlineStr">
        <is>
          <t>Will Egypt win the 2026 FIFA World Cup?</t>
        </is>
      </c>
      <c r="B1734" s="4" t="n">
        <v>46205</v>
      </c>
      <c r="C1734" s="5" t="n">
        <v>46205.94709490741</v>
      </c>
      <c r="D1734" t="inlineStr">
        <is>
          <t>SELL</t>
        </is>
      </c>
      <c r="E1734" t="inlineStr">
        <is>
          <t>No</t>
        </is>
      </c>
      <c r="F1734" s="2" t="n">
        <v>0.998</v>
      </c>
      <c r="G1734" s="6" t="n">
        <v>0.77</v>
      </c>
      <c r="H1734" s="6">
        <f>F1734*G1734</f>
        <v/>
      </c>
      <c r="I1734">
        <f>_xlfn.XLOOKUP(A1734,MktTitle,MktCat,"n/a")</f>
        <v/>
      </c>
      <c r="J1734" s="3">
        <f>_xlfn.XLOOKUP(A1734,MktTitle,MktTotVol,0)</f>
        <v/>
      </c>
      <c r="K1734">
        <f>IF(H1734&gt;WhaleThreshold,"WHALE","")</f>
        <v/>
      </c>
    </row>
    <row r="1735">
      <c r="A1735" t="inlineStr">
        <is>
          <t>Will Egypt win the 2026 FIFA World Cup?</t>
        </is>
      </c>
      <c r="B1735" s="4" t="n">
        <v>46205</v>
      </c>
      <c r="C1735" s="5" t="n">
        <v>46205.9462037037</v>
      </c>
      <c r="D1735" t="inlineStr">
        <is>
          <t>SELL</t>
        </is>
      </c>
      <c r="E1735" t="inlineStr">
        <is>
          <t>No</t>
        </is>
      </c>
      <c r="F1735" s="2" t="n">
        <v>0.998</v>
      </c>
      <c r="G1735" s="6" t="n">
        <v>0.14</v>
      </c>
      <c r="H1735" s="6">
        <f>F1735*G1735</f>
        <v/>
      </c>
      <c r="I1735">
        <f>_xlfn.XLOOKUP(A1735,MktTitle,MktCat,"n/a")</f>
        <v/>
      </c>
      <c r="J1735" s="3">
        <f>_xlfn.XLOOKUP(A1735,MktTitle,MktTotVol,0)</f>
        <v/>
      </c>
      <c r="K1735">
        <f>IF(H1735&gt;WhaleThreshold,"WHALE","")</f>
        <v/>
      </c>
    </row>
    <row r="1736">
      <c r="A1736" t="inlineStr">
        <is>
          <t>Will Egypt win the 2026 FIFA World Cup?</t>
        </is>
      </c>
      <c r="B1736" s="4" t="n">
        <v>46205</v>
      </c>
      <c r="C1736" s="5" t="n">
        <v>46205.94478009259</v>
      </c>
      <c r="D1736" t="inlineStr">
        <is>
          <t>BUY</t>
        </is>
      </c>
      <c r="E1736" t="inlineStr">
        <is>
          <t>Yes</t>
        </is>
      </c>
      <c r="F1736" s="2" t="n">
        <v>0.002</v>
      </c>
      <c r="G1736" s="6" t="n">
        <v>2105.5</v>
      </c>
      <c r="H1736" s="6">
        <f>F1736*G1736</f>
        <v/>
      </c>
      <c r="I1736">
        <f>_xlfn.XLOOKUP(A1736,MktTitle,MktCat,"n/a")</f>
        <v/>
      </c>
      <c r="J1736" s="3">
        <f>_xlfn.XLOOKUP(A1736,MktTitle,MktTotVol,0)</f>
        <v/>
      </c>
      <c r="K1736">
        <f>IF(H1736&gt;WhaleThreshold,"WHALE","")</f>
        <v/>
      </c>
    </row>
    <row r="1737">
      <c r="A1737" t="inlineStr">
        <is>
          <t>Will Egypt win the 2026 FIFA World Cup?</t>
        </is>
      </c>
      <c r="B1737" s="4" t="n">
        <v>46205</v>
      </c>
      <c r="C1737" s="5" t="n">
        <v>46205.94390046296</v>
      </c>
      <c r="D1737" t="inlineStr">
        <is>
          <t>BUY</t>
        </is>
      </c>
      <c r="E1737" t="inlineStr">
        <is>
          <t>Yes</t>
        </is>
      </c>
      <c r="F1737" s="2" t="n">
        <v>0.002</v>
      </c>
      <c r="G1737" s="6" t="n">
        <v>20000</v>
      </c>
      <c r="H1737" s="6">
        <f>F1737*G1737</f>
        <v/>
      </c>
      <c r="I1737">
        <f>_xlfn.XLOOKUP(A1737,MktTitle,MktCat,"n/a")</f>
        <v/>
      </c>
      <c r="J1737" s="3">
        <f>_xlfn.XLOOKUP(A1737,MktTitle,MktTotVol,0)</f>
        <v/>
      </c>
      <c r="K1737">
        <f>IF(H1737&gt;WhaleThreshold,"WHALE","")</f>
        <v/>
      </c>
    </row>
    <row r="1738">
      <c r="A1738" t="inlineStr">
        <is>
          <t>Will Egypt win the 2026 FIFA World Cup?</t>
        </is>
      </c>
      <c r="B1738" s="4" t="n">
        <v>46205</v>
      </c>
      <c r="C1738" s="5" t="n">
        <v>46205.94207175926</v>
      </c>
      <c r="D1738" t="inlineStr">
        <is>
          <t>BUY</t>
        </is>
      </c>
      <c r="E1738" t="inlineStr">
        <is>
          <t>No</t>
        </is>
      </c>
      <c r="F1738" s="2" t="n">
        <v>0.999</v>
      </c>
      <c r="G1738" s="6" t="n">
        <v>14.014</v>
      </c>
      <c r="H1738" s="6">
        <f>F1738*G1738</f>
        <v/>
      </c>
      <c r="I1738">
        <f>_xlfn.XLOOKUP(A1738,MktTitle,MktCat,"n/a")</f>
        <v/>
      </c>
      <c r="J1738" s="3">
        <f>_xlfn.XLOOKUP(A1738,MktTitle,MktTotVol,0)</f>
        <v/>
      </c>
      <c r="K1738">
        <f>IF(H1738&gt;WhaleThreshold,"WHALE","")</f>
        <v/>
      </c>
    </row>
    <row r="1739">
      <c r="A1739" t="inlineStr">
        <is>
          <t>Will Egypt win the 2026 FIFA World Cup?</t>
        </is>
      </c>
      <c r="B1739" s="4" t="n">
        <v>46205</v>
      </c>
      <c r="C1739" s="5" t="n">
        <v>46205.9409837963</v>
      </c>
      <c r="D1739" t="inlineStr">
        <is>
          <t>BUY</t>
        </is>
      </c>
      <c r="E1739" t="inlineStr">
        <is>
          <t>Yes</t>
        </is>
      </c>
      <c r="F1739" s="2" t="n">
        <v>0.002</v>
      </c>
      <c r="G1739" s="6" t="n">
        <v>10000</v>
      </c>
      <c r="H1739" s="6">
        <f>F1739*G1739</f>
        <v/>
      </c>
      <c r="I1739">
        <f>_xlfn.XLOOKUP(A1739,MktTitle,MktCat,"n/a")</f>
        <v/>
      </c>
      <c r="J1739" s="3">
        <f>_xlfn.XLOOKUP(A1739,MktTitle,MktTotVol,0)</f>
        <v/>
      </c>
      <c r="K1739">
        <f>IF(H1739&gt;WhaleThreshold,"WHALE","")</f>
        <v/>
      </c>
    </row>
    <row r="1740">
      <c r="A1740" t="inlineStr">
        <is>
          <t>Will Egypt win the 2026 FIFA World Cup?</t>
        </is>
      </c>
      <c r="B1740" s="4" t="n">
        <v>46205</v>
      </c>
      <c r="C1740" s="5" t="n">
        <v>46205.93969907407</v>
      </c>
      <c r="D1740" t="inlineStr">
        <is>
          <t>SELL</t>
        </is>
      </c>
      <c r="E1740" t="inlineStr">
        <is>
          <t>No</t>
        </is>
      </c>
      <c r="F1740" s="2" t="n">
        <v>0.998</v>
      </c>
      <c r="G1740" s="6" t="n">
        <v>10.75</v>
      </c>
      <c r="H1740" s="6">
        <f>F1740*G1740</f>
        <v/>
      </c>
      <c r="I1740">
        <f>_xlfn.XLOOKUP(A1740,MktTitle,MktCat,"n/a")</f>
        <v/>
      </c>
      <c r="J1740" s="3">
        <f>_xlfn.XLOOKUP(A1740,MktTitle,MktTotVol,0)</f>
        <v/>
      </c>
      <c r="K1740">
        <f>IF(H1740&gt;WhaleThreshold,"WHALE","")</f>
        <v/>
      </c>
    </row>
    <row r="1741">
      <c r="A1741" t="inlineStr">
        <is>
          <t>Will Egypt win the 2026 FIFA World Cup?</t>
        </is>
      </c>
      <c r="B1741" s="4" t="n">
        <v>46205</v>
      </c>
      <c r="C1741" s="5" t="n">
        <v>46205.93938657407</v>
      </c>
      <c r="D1741" t="inlineStr">
        <is>
          <t>BUY</t>
        </is>
      </c>
      <c r="E1741" t="inlineStr">
        <is>
          <t>No</t>
        </is>
      </c>
      <c r="F1741" s="2" t="n">
        <v>0.999</v>
      </c>
      <c r="G1741" s="6" t="n">
        <v>10.75</v>
      </c>
      <c r="H1741" s="6">
        <f>F1741*G1741</f>
        <v/>
      </c>
      <c r="I1741">
        <f>_xlfn.XLOOKUP(A1741,MktTitle,MktCat,"n/a")</f>
        <v/>
      </c>
      <c r="J1741" s="3">
        <f>_xlfn.XLOOKUP(A1741,MktTitle,MktTotVol,0)</f>
        <v/>
      </c>
      <c r="K1741">
        <f>IF(H1741&gt;WhaleThreshold,"WHALE","")</f>
        <v/>
      </c>
    </row>
    <row r="1742">
      <c r="A1742" t="inlineStr">
        <is>
          <t>Will Egypt win the 2026 FIFA World Cup?</t>
        </is>
      </c>
      <c r="B1742" s="4" t="n">
        <v>46205</v>
      </c>
      <c r="C1742" s="5" t="n">
        <v>46205.93921296296</v>
      </c>
      <c r="D1742" t="inlineStr">
        <is>
          <t>SELL</t>
        </is>
      </c>
      <c r="E1742" t="inlineStr">
        <is>
          <t>No</t>
        </is>
      </c>
      <c r="F1742" s="2" t="n">
        <v>0.998</v>
      </c>
      <c r="G1742" s="6" t="n">
        <v>54.08</v>
      </c>
      <c r="H1742" s="6">
        <f>F1742*G1742</f>
        <v/>
      </c>
      <c r="I1742">
        <f>_xlfn.XLOOKUP(A1742,MktTitle,MktCat,"n/a")</f>
        <v/>
      </c>
      <c r="J1742" s="3">
        <f>_xlfn.XLOOKUP(A1742,MktTitle,MktTotVol,0)</f>
        <v/>
      </c>
      <c r="K1742">
        <f>IF(H1742&gt;WhaleThreshold,"WHALE","")</f>
        <v/>
      </c>
    </row>
    <row r="1743">
      <c r="A1743" t="inlineStr">
        <is>
          <t>Will Egypt win the 2026 FIFA World Cup?</t>
        </is>
      </c>
      <c r="B1743" s="4" t="n">
        <v>46205</v>
      </c>
      <c r="C1743" s="5" t="n">
        <v>46205.93390046297</v>
      </c>
      <c r="D1743" t="inlineStr">
        <is>
          <t>SELL</t>
        </is>
      </c>
      <c r="E1743" t="inlineStr">
        <is>
          <t>No</t>
        </is>
      </c>
      <c r="F1743" s="2" t="n">
        <v>0.998</v>
      </c>
      <c r="G1743" s="6" t="n">
        <v>10.55</v>
      </c>
      <c r="H1743" s="6">
        <f>F1743*G1743</f>
        <v/>
      </c>
      <c r="I1743">
        <f>_xlfn.XLOOKUP(A1743,MktTitle,MktCat,"n/a")</f>
        <v/>
      </c>
      <c r="J1743" s="3">
        <f>_xlfn.XLOOKUP(A1743,MktTitle,MktTotVol,0)</f>
        <v/>
      </c>
      <c r="K1743">
        <f>IF(H1743&gt;WhaleThreshold,"WHALE","")</f>
        <v/>
      </c>
    </row>
    <row r="1744">
      <c r="A1744" t="inlineStr">
        <is>
          <t>Will Egypt win the 2026 FIFA World Cup?</t>
        </is>
      </c>
      <c r="B1744" s="4" t="n">
        <v>46205</v>
      </c>
      <c r="C1744" s="5" t="n">
        <v>46205.93386574074</v>
      </c>
      <c r="D1744" t="inlineStr">
        <is>
          <t>SELL</t>
        </is>
      </c>
      <c r="E1744" t="inlineStr">
        <is>
          <t>No</t>
        </is>
      </c>
      <c r="F1744" s="2" t="n">
        <v>0.998</v>
      </c>
      <c r="G1744" s="6" t="n">
        <v>10.66</v>
      </c>
      <c r="H1744" s="6">
        <f>F1744*G1744</f>
        <v/>
      </c>
      <c r="I1744">
        <f>_xlfn.XLOOKUP(A1744,MktTitle,MktCat,"n/a")</f>
        <v/>
      </c>
      <c r="J1744" s="3">
        <f>_xlfn.XLOOKUP(A1744,MktTitle,MktTotVol,0)</f>
        <v/>
      </c>
      <c r="K1744">
        <f>IF(H1744&gt;WhaleThreshold,"WHALE","")</f>
        <v/>
      </c>
    </row>
    <row r="1745">
      <c r="A1745" t="inlineStr">
        <is>
          <t>Will Egypt win the 2026 FIFA World Cup?</t>
        </is>
      </c>
      <c r="B1745" s="4" t="n">
        <v>46205</v>
      </c>
      <c r="C1745" s="5" t="n">
        <v>46205.93366898148</v>
      </c>
      <c r="D1745" t="inlineStr">
        <is>
          <t>BUY</t>
        </is>
      </c>
      <c r="E1745" t="inlineStr">
        <is>
          <t>Yes</t>
        </is>
      </c>
      <c r="F1745" s="2" t="n">
        <v>0.002</v>
      </c>
      <c r="G1745" s="6" t="n">
        <v>2500</v>
      </c>
      <c r="H1745" s="6">
        <f>F1745*G1745</f>
        <v/>
      </c>
      <c r="I1745">
        <f>_xlfn.XLOOKUP(A1745,MktTitle,MktCat,"n/a")</f>
        <v/>
      </c>
      <c r="J1745" s="3">
        <f>_xlfn.XLOOKUP(A1745,MktTitle,MktTotVol,0)</f>
        <v/>
      </c>
      <c r="K1745">
        <f>IF(H1745&gt;WhaleThreshold,"WHALE","")</f>
        <v/>
      </c>
    </row>
    <row r="1746">
      <c r="A1746" t="inlineStr">
        <is>
          <t>Will Egypt win the 2026 FIFA World Cup?</t>
        </is>
      </c>
      <c r="B1746" s="4" t="n">
        <v>46205</v>
      </c>
      <c r="C1746" s="5" t="n">
        <v>46205.93359953703</v>
      </c>
      <c r="D1746" t="inlineStr">
        <is>
          <t>SELL</t>
        </is>
      </c>
      <c r="E1746" t="inlineStr">
        <is>
          <t>No</t>
        </is>
      </c>
      <c r="F1746" s="2" t="n">
        <v>0.998</v>
      </c>
      <c r="G1746" s="6" t="n">
        <v>10.47</v>
      </c>
      <c r="H1746" s="6">
        <f>F1746*G1746</f>
        <v/>
      </c>
      <c r="I1746">
        <f>_xlfn.XLOOKUP(A1746,MktTitle,MktCat,"n/a")</f>
        <v/>
      </c>
      <c r="J1746" s="3">
        <f>_xlfn.XLOOKUP(A1746,MktTitle,MktTotVol,0)</f>
        <v/>
      </c>
      <c r="K1746">
        <f>IF(H1746&gt;WhaleThreshold,"WHALE","")</f>
        <v/>
      </c>
    </row>
    <row r="1747">
      <c r="A1747" t="inlineStr">
        <is>
          <t>Will Egypt win the 2026 FIFA World Cup?</t>
        </is>
      </c>
      <c r="B1747" s="4" t="n">
        <v>46205</v>
      </c>
      <c r="C1747" s="5" t="n">
        <v>46205.93280092593</v>
      </c>
      <c r="D1747" t="inlineStr">
        <is>
          <t>BUY</t>
        </is>
      </c>
      <c r="E1747" t="inlineStr">
        <is>
          <t>No</t>
        </is>
      </c>
      <c r="F1747" s="2" t="n">
        <v>0.999</v>
      </c>
      <c r="G1747" s="6" t="n">
        <v>10.47</v>
      </c>
      <c r="H1747" s="6">
        <f>F1747*G1747</f>
        <v/>
      </c>
      <c r="I1747">
        <f>_xlfn.XLOOKUP(A1747,MktTitle,MktCat,"n/a")</f>
        <v/>
      </c>
      <c r="J1747" s="3">
        <f>_xlfn.XLOOKUP(A1747,MktTitle,MktTotVol,0)</f>
        <v/>
      </c>
      <c r="K1747">
        <f>IF(H1747&gt;WhaleThreshold,"WHALE","")</f>
        <v/>
      </c>
    </row>
    <row r="1748">
      <c r="A1748" t="inlineStr">
        <is>
          <t>Will Egypt win the 2026 FIFA World Cup?</t>
        </is>
      </c>
      <c r="B1748" s="4" t="n">
        <v>46205</v>
      </c>
      <c r="C1748" s="5" t="n">
        <v>46205.93280092593</v>
      </c>
      <c r="D1748" t="inlineStr">
        <is>
          <t>BUY</t>
        </is>
      </c>
      <c r="E1748" t="inlineStr">
        <is>
          <t>No</t>
        </is>
      </c>
      <c r="F1748" s="2" t="n">
        <v>0.999</v>
      </c>
      <c r="G1748" s="6" t="n">
        <v>10.66</v>
      </c>
      <c r="H1748" s="6">
        <f>F1748*G1748</f>
        <v/>
      </c>
      <c r="I1748">
        <f>_xlfn.XLOOKUP(A1748,MktTitle,MktCat,"n/a")</f>
        <v/>
      </c>
      <c r="J1748" s="3">
        <f>_xlfn.XLOOKUP(A1748,MktTitle,MktTotVol,0)</f>
        <v/>
      </c>
      <c r="K1748">
        <f>IF(H1748&gt;WhaleThreshold,"WHALE","")</f>
        <v/>
      </c>
    </row>
    <row r="1749">
      <c r="A1749" t="inlineStr">
        <is>
          <t>Will Egypt win the 2026 FIFA World Cup?</t>
        </is>
      </c>
      <c r="B1749" s="4" t="n">
        <v>46205</v>
      </c>
      <c r="C1749" s="5" t="n">
        <v>46205.93280092593</v>
      </c>
      <c r="D1749" t="inlineStr">
        <is>
          <t>BUY</t>
        </is>
      </c>
      <c r="E1749" t="inlineStr">
        <is>
          <t>No</t>
        </is>
      </c>
      <c r="F1749" s="2" t="n">
        <v>0.999</v>
      </c>
      <c r="G1749" s="6" t="n">
        <v>10.55</v>
      </c>
      <c r="H1749" s="6">
        <f>F1749*G1749</f>
        <v/>
      </c>
      <c r="I1749">
        <f>_xlfn.XLOOKUP(A1749,MktTitle,MktCat,"n/a")</f>
        <v/>
      </c>
      <c r="J1749" s="3">
        <f>_xlfn.XLOOKUP(A1749,MktTitle,MktTotVol,0)</f>
        <v/>
      </c>
      <c r="K1749">
        <f>IF(H1749&gt;WhaleThreshold,"WHALE","")</f>
        <v/>
      </c>
    </row>
    <row r="1750">
      <c r="A1750" t="inlineStr">
        <is>
          <t>Will Egypt win the 2026 FIFA World Cup?</t>
        </is>
      </c>
      <c r="B1750" s="4" t="n">
        <v>46205</v>
      </c>
      <c r="C1750" s="5" t="n">
        <v>46205.93113425926</v>
      </c>
      <c r="D1750" t="inlineStr">
        <is>
          <t>SELL</t>
        </is>
      </c>
      <c r="E1750" t="inlineStr">
        <is>
          <t>Yes</t>
        </is>
      </c>
      <c r="F1750" s="2" t="n">
        <v>0.001</v>
      </c>
      <c r="G1750" s="6" t="n">
        <v>2500</v>
      </c>
      <c r="H1750" s="6">
        <f>F1750*G1750</f>
        <v/>
      </c>
      <c r="I1750">
        <f>_xlfn.XLOOKUP(A1750,MktTitle,MktCat,"n/a")</f>
        <v/>
      </c>
      <c r="J1750" s="3">
        <f>_xlfn.XLOOKUP(A1750,MktTitle,MktTotVol,0)</f>
        <v/>
      </c>
      <c r="K1750">
        <f>IF(H1750&gt;WhaleThreshold,"WHALE","")</f>
        <v/>
      </c>
    </row>
    <row r="1751">
      <c r="A1751" t="inlineStr">
        <is>
          <t>Will Egypt win the 2026 FIFA World Cup?</t>
        </is>
      </c>
      <c r="B1751" s="4" t="n">
        <v>46205</v>
      </c>
      <c r="C1751" s="5" t="n">
        <v>46205.93054398148</v>
      </c>
      <c r="D1751" t="inlineStr">
        <is>
          <t>BUY</t>
        </is>
      </c>
      <c r="E1751" t="inlineStr">
        <is>
          <t>No</t>
        </is>
      </c>
      <c r="F1751" s="2" t="n">
        <v>0.999</v>
      </c>
      <c r="G1751" s="6" t="n">
        <v>1.561</v>
      </c>
      <c r="H1751" s="6">
        <f>F1751*G1751</f>
        <v/>
      </c>
      <c r="I1751">
        <f>_xlfn.XLOOKUP(A1751,MktTitle,MktCat,"n/a")</f>
        <v/>
      </c>
      <c r="J1751" s="3">
        <f>_xlfn.XLOOKUP(A1751,MktTitle,MktTotVol,0)</f>
        <v/>
      </c>
      <c r="K1751">
        <f>IF(H1751&gt;WhaleThreshold,"WHALE","")</f>
        <v/>
      </c>
    </row>
    <row r="1752">
      <c r="A1752" t="inlineStr">
        <is>
          <t>Will Egypt win the 2026 FIFA World Cup?</t>
        </is>
      </c>
      <c r="B1752" s="4" t="n">
        <v>46205</v>
      </c>
      <c r="C1752" s="5" t="n">
        <v>46205.92905092592</v>
      </c>
      <c r="D1752" t="inlineStr">
        <is>
          <t>BUY</t>
        </is>
      </c>
      <c r="E1752" t="inlineStr">
        <is>
          <t>No</t>
        </is>
      </c>
      <c r="F1752" s="2" t="n">
        <v>0.999</v>
      </c>
      <c r="G1752" s="6" t="n">
        <v>50.05</v>
      </c>
      <c r="H1752" s="6">
        <f>F1752*G1752</f>
        <v/>
      </c>
      <c r="I1752">
        <f>_xlfn.XLOOKUP(A1752,MktTitle,MktCat,"n/a")</f>
        <v/>
      </c>
      <c r="J1752" s="3">
        <f>_xlfn.XLOOKUP(A1752,MktTitle,MktTotVol,0)</f>
        <v/>
      </c>
      <c r="K1752">
        <f>IF(H1752&gt;WhaleThreshold,"WHALE","")</f>
        <v/>
      </c>
    </row>
    <row r="1753">
      <c r="A1753" t="inlineStr">
        <is>
          <t>Will Egypt win the 2026 FIFA World Cup?</t>
        </is>
      </c>
      <c r="B1753" s="4" t="n">
        <v>46205</v>
      </c>
      <c r="C1753" s="5" t="n">
        <v>46205.92300925926</v>
      </c>
      <c r="D1753" t="inlineStr">
        <is>
          <t>BUY</t>
        </is>
      </c>
      <c r="E1753" t="inlineStr">
        <is>
          <t>Yes</t>
        </is>
      </c>
      <c r="F1753" s="2" t="n">
        <v>0.002</v>
      </c>
      <c r="G1753" s="6" t="n">
        <v>2500</v>
      </c>
      <c r="H1753" s="6">
        <f>F1753*G1753</f>
        <v/>
      </c>
      <c r="I1753">
        <f>_xlfn.XLOOKUP(A1753,MktTitle,MktCat,"n/a")</f>
        <v/>
      </c>
      <c r="J1753" s="3">
        <f>_xlfn.XLOOKUP(A1753,MktTitle,MktTotVol,0)</f>
        <v/>
      </c>
      <c r="K1753">
        <f>IF(H1753&gt;WhaleThreshold,"WHALE","")</f>
        <v/>
      </c>
    </row>
    <row r="1754">
      <c r="A1754" t="inlineStr">
        <is>
          <t>Will Egypt win the 2026 FIFA World Cup?</t>
        </is>
      </c>
      <c r="B1754" s="4" t="n">
        <v>46205</v>
      </c>
      <c r="C1754" s="5" t="n">
        <v>46205.92103009259</v>
      </c>
      <c r="D1754" t="inlineStr">
        <is>
          <t>SELL</t>
        </is>
      </c>
      <c r="E1754" t="inlineStr">
        <is>
          <t>No</t>
        </is>
      </c>
      <c r="F1754" s="2" t="n">
        <v>0.998</v>
      </c>
      <c r="G1754" s="6" t="n">
        <v>10.68</v>
      </c>
      <c r="H1754" s="6">
        <f>F1754*G1754</f>
        <v/>
      </c>
      <c r="I1754">
        <f>_xlfn.XLOOKUP(A1754,MktTitle,MktCat,"n/a")</f>
        <v/>
      </c>
      <c r="J1754" s="3">
        <f>_xlfn.XLOOKUP(A1754,MktTitle,MktTotVol,0)</f>
        <v/>
      </c>
      <c r="K1754">
        <f>IF(H1754&gt;WhaleThreshold,"WHALE","")</f>
        <v/>
      </c>
    </row>
    <row r="1755">
      <c r="A1755" t="inlineStr">
        <is>
          <t>Will Egypt win the 2026 FIFA World Cup?</t>
        </is>
      </c>
      <c r="B1755" s="4" t="n">
        <v>46205</v>
      </c>
      <c r="C1755" s="5" t="n">
        <v>46205.9209837963</v>
      </c>
      <c r="D1755" t="inlineStr">
        <is>
          <t>SELL</t>
        </is>
      </c>
      <c r="E1755" t="inlineStr">
        <is>
          <t>No</t>
        </is>
      </c>
      <c r="F1755" s="2" t="n">
        <v>0.998</v>
      </c>
      <c r="G1755" s="6" t="n">
        <v>10.59</v>
      </c>
      <c r="H1755" s="6">
        <f>F1755*G1755</f>
        <v/>
      </c>
      <c r="I1755">
        <f>_xlfn.XLOOKUP(A1755,MktTitle,MktCat,"n/a")</f>
        <v/>
      </c>
      <c r="J1755" s="3">
        <f>_xlfn.XLOOKUP(A1755,MktTitle,MktTotVol,0)</f>
        <v/>
      </c>
      <c r="K1755">
        <f>IF(H1755&gt;WhaleThreshold,"WHALE","")</f>
        <v/>
      </c>
    </row>
    <row r="1756">
      <c r="A1756" t="inlineStr">
        <is>
          <t>Will Egypt win the 2026 FIFA World Cup?</t>
        </is>
      </c>
      <c r="B1756" s="4" t="n">
        <v>46205</v>
      </c>
      <c r="C1756" s="5" t="n">
        <v>46205.92094907408</v>
      </c>
      <c r="D1756" t="inlineStr">
        <is>
          <t>SELL</t>
        </is>
      </c>
      <c r="E1756" t="inlineStr">
        <is>
          <t>No</t>
        </is>
      </c>
      <c r="F1756" s="2" t="n">
        <v>0.998</v>
      </c>
      <c r="G1756" s="6" t="n">
        <v>10.38</v>
      </c>
      <c r="H1756" s="6">
        <f>F1756*G1756</f>
        <v/>
      </c>
      <c r="I1756">
        <f>_xlfn.XLOOKUP(A1756,MktTitle,MktCat,"n/a")</f>
        <v/>
      </c>
      <c r="J1756" s="3">
        <f>_xlfn.XLOOKUP(A1756,MktTitle,MktTotVol,0)</f>
        <v/>
      </c>
      <c r="K1756">
        <f>IF(H1756&gt;WhaleThreshold,"WHALE","")</f>
        <v/>
      </c>
    </row>
    <row r="1757">
      <c r="A1757" t="inlineStr">
        <is>
          <t>Will Egypt win the 2026 FIFA World Cup?</t>
        </is>
      </c>
      <c r="B1757" s="4" t="n">
        <v>46205</v>
      </c>
      <c r="C1757" s="5" t="n">
        <v>46205.92094907408</v>
      </c>
      <c r="D1757" t="inlineStr">
        <is>
          <t>SELL</t>
        </is>
      </c>
      <c r="E1757" t="inlineStr">
        <is>
          <t>No</t>
        </is>
      </c>
      <c r="F1757" s="2" t="n">
        <v>0.998</v>
      </c>
      <c r="G1757" s="6" t="n">
        <v>10.75</v>
      </c>
      <c r="H1757" s="6">
        <f>F1757*G1757</f>
        <v/>
      </c>
      <c r="I1757">
        <f>_xlfn.XLOOKUP(A1757,MktTitle,MktCat,"n/a")</f>
        <v/>
      </c>
      <c r="J1757" s="3">
        <f>_xlfn.XLOOKUP(A1757,MktTitle,MktTotVol,0)</f>
        <v/>
      </c>
      <c r="K1757">
        <f>IF(H1757&gt;WhaleThreshold,"WHALE","")</f>
        <v/>
      </c>
    </row>
    <row r="1758">
      <c r="A1758" t="inlineStr">
        <is>
          <t>Will Egypt win the 2026 FIFA World Cup?</t>
        </is>
      </c>
      <c r="B1758" s="4" t="n">
        <v>46205</v>
      </c>
      <c r="C1758" s="5" t="n">
        <v>46205.92057870371</v>
      </c>
      <c r="D1758" t="inlineStr">
        <is>
          <t>BUY</t>
        </is>
      </c>
      <c r="E1758" t="inlineStr">
        <is>
          <t>No</t>
        </is>
      </c>
      <c r="F1758" s="2" t="n">
        <v>0.999</v>
      </c>
      <c r="G1758" s="6" t="n">
        <v>10.38</v>
      </c>
      <c r="H1758" s="6">
        <f>F1758*G1758</f>
        <v/>
      </c>
      <c r="I1758">
        <f>_xlfn.XLOOKUP(A1758,MktTitle,MktCat,"n/a")</f>
        <v/>
      </c>
      <c r="J1758" s="3">
        <f>_xlfn.XLOOKUP(A1758,MktTitle,MktTotVol,0)</f>
        <v/>
      </c>
      <c r="K1758">
        <f>IF(H1758&gt;WhaleThreshold,"WHALE","")</f>
        <v/>
      </c>
    </row>
    <row r="1759">
      <c r="A1759" t="inlineStr">
        <is>
          <t>Will Egypt win the 2026 FIFA World Cup?</t>
        </is>
      </c>
      <c r="B1759" s="4" t="n">
        <v>46205</v>
      </c>
      <c r="C1759" s="5" t="n">
        <v>46205.92057870371</v>
      </c>
      <c r="D1759" t="inlineStr">
        <is>
          <t>BUY</t>
        </is>
      </c>
      <c r="E1759" t="inlineStr">
        <is>
          <t>No</t>
        </is>
      </c>
      <c r="F1759" s="2" t="n">
        <v>0.999</v>
      </c>
      <c r="G1759" s="6" t="n">
        <v>10.75</v>
      </c>
      <c r="H1759" s="6">
        <f>F1759*G1759</f>
        <v/>
      </c>
      <c r="I1759">
        <f>_xlfn.XLOOKUP(A1759,MktTitle,MktCat,"n/a")</f>
        <v/>
      </c>
      <c r="J1759" s="3">
        <f>_xlfn.XLOOKUP(A1759,MktTitle,MktTotVol,0)</f>
        <v/>
      </c>
      <c r="K1759">
        <f>IF(H1759&gt;WhaleThreshold,"WHALE","")</f>
        <v/>
      </c>
    </row>
    <row r="1760">
      <c r="A1760" t="inlineStr">
        <is>
          <t>Will Egypt win the 2026 FIFA World Cup?</t>
        </is>
      </c>
      <c r="B1760" s="4" t="n">
        <v>46205</v>
      </c>
      <c r="C1760" s="5" t="n">
        <v>46205.92057870371</v>
      </c>
      <c r="D1760" t="inlineStr">
        <is>
          <t>BUY</t>
        </is>
      </c>
      <c r="E1760" t="inlineStr">
        <is>
          <t>No</t>
        </is>
      </c>
      <c r="F1760" s="2" t="n">
        <v>0.999</v>
      </c>
      <c r="G1760" s="6" t="n">
        <v>10.68</v>
      </c>
      <c r="H1760" s="6">
        <f>F1760*G1760</f>
        <v/>
      </c>
      <c r="I1760">
        <f>_xlfn.XLOOKUP(A1760,MktTitle,MktCat,"n/a")</f>
        <v/>
      </c>
      <c r="J1760" s="3">
        <f>_xlfn.XLOOKUP(A1760,MktTitle,MktTotVol,0)</f>
        <v/>
      </c>
      <c r="K1760">
        <f>IF(H1760&gt;WhaleThreshold,"WHALE","")</f>
        <v/>
      </c>
    </row>
    <row r="1761">
      <c r="A1761" t="inlineStr">
        <is>
          <t>Will Egypt win the 2026 FIFA World Cup?</t>
        </is>
      </c>
      <c r="B1761" s="4" t="n">
        <v>46205</v>
      </c>
      <c r="C1761" s="5" t="n">
        <v>46205.92057870371</v>
      </c>
      <c r="D1761" t="inlineStr">
        <is>
          <t>BUY</t>
        </is>
      </c>
      <c r="E1761" t="inlineStr">
        <is>
          <t>No</t>
        </is>
      </c>
      <c r="F1761" s="2" t="n">
        <v>0.999</v>
      </c>
      <c r="G1761" s="6" t="n">
        <v>10.59</v>
      </c>
      <c r="H1761" s="6">
        <f>F1761*G1761</f>
        <v/>
      </c>
      <c r="I1761">
        <f>_xlfn.XLOOKUP(A1761,MktTitle,MktCat,"n/a")</f>
        <v/>
      </c>
      <c r="J1761" s="3">
        <f>_xlfn.XLOOKUP(A1761,MktTitle,MktTotVol,0)</f>
        <v/>
      </c>
      <c r="K1761">
        <f>IF(H1761&gt;WhaleThreshold,"WHALE","")</f>
        <v/>
      </c>
    </row>
    <row r="1762">
      <c r="A1762" t="inlineStr">
        <is>
          <t>Will Egypt win the 2026 FIFA World Cup?</t>
        </is>
      </c>
      <c r="B1762" s="4" t="n">
        <v>46205</v>
      </c>
      <c r="C1762" s="5" t="n">
        <v>46205.91980324074</v>
      </c>
      <c r="D1762" t="inlineStr">
        <is>
          <t>SELL</t>
        </is>
      </c>
      <c r="E1762" t="inlineStr">
        <is>
          <t>No</t>
        </is>
      </c>
      <c r="F1762" s="2" t="n">
        <v>0.998</v>
      </c>
      <c r="G1762" s="6" t="n">
        <v>8.01</v>
      </c>
      <c r="H1762" s="6">
        <f>F1762*G1762</f>
        <v/>
      </c>
      <c r="I1762">
        <f>_xlfn.XLOOKUP(A1762,MktTitle,MktCat,"n/a")</f>
        <v/>
      </c>
      <c r="J1762" s="3">
        <f>_xlfn.XLOOKUP(A1762,MktTitle,MktTotVol,0)</f>
        <v/>
      </c>
      <c r="K1762">
        <f>IF(H1762&gt;WhaleThreshold,"WHALE","")</f>
        <v/>
      </c>
    </row>
    <row r="1763">
      <c r="A1763" t="inlineStr">
        <is>
          <t>Will Egypt win the 2026 FIFA World Cup?</t>
        </is>
      </c>
      <c r="B1763" s="4" t="n">
        <v>46205</v>
      </c>
      <c r="C1763" s="5" t="n">
        <v>46205.91866898148</v>
      </c>
      <c r="D1763" t="inlineStr">
        <is>
          <t>SELL</t>
        </is>
      </c>
      <c r="E1763" t="inlineStr">
        <is>
          <t>No</t>
        </is>
      </c>
      <c r="F1763" s="2" t="n">
        <v>0.998</v>
      </c>
      <c r="G1763" s="6" t="n">
        <v>2.3</v>
      </c>
      <c r="H1763" s="6">
        <f>F1763*G1763</f>
        <v/>
      </c>
      <c r="I1763">
        <f>_xlfn.XLOOKUP(A1763,MktTitle,MktCat,"n/a")</f>
        <v/>
      </c>
      <c r="J1763" s="3">
        <f>_xlfn.XLOOKUP(A1763,MktTitle,MktTotVol,0)</f>
        <v/>
      </c>
      <c r="K1763">
        <f>IF(H1763&gt;WhaleThreshold,"WHALE","")</f>
        <v/>
      </c>
    </row>
    <row r="1764">
      <c r="A1764" t="inlineStr">
        <is>
          <t>Will Egypt win the 2026 FIFA World Cup?</t>
        </is>
      </c>
      <c r="B1764" s="4" t="n">
        <v>46205</v>
      </c>
      <c r="C1764" s="5" t="n">
        <v>46205.9116087963</v>
      </c>
      <c r="D1764" t="inlineStr">
        <is>
          <t>BUY</t>
        </is>
      </c>
      <c r="E1764" t="inlineStr">
        <is>
          <t>No</t>
        </is>
      </c>
      <c r="F1764" s="2" t="n">
        <v>0.999</v>
      </c>
      <c r="G1764" s="6" t="n">
        <v>42.692</v>
      </c>
      <c r="H1764" s="6">
        <f>F1764*G1764</f>
        <v/>
      </c>
      <c r="I1764">
        <f>_xlfn.XLOOKUP(A1764,MktTitle,MktCat,"n/a")</f>
        <v/>
      </c>
      <c r="J1764" s="3">
        <f>_xlfn.XLOOKUP(A1764,MktTitle,MktTotVol,0)</f>
        <v/>
      </c>
      <c r="K1764">
        <f>IF(H1764&gt;WhaleThreshold,"WHALE","")</f>
        <v/>
      </c>
    </row>
    <row r="1765">
      <c r="A1765" t="inlineStr">
        <is>
          <t>Will Egypt win the 2026 FIFA World Cup?</t>
        </is>
      </c>
      <c r="B1765" s="4" t="n">
        <v>46205</v>
      </c>
      <c r="C1765" s="5" t="n">
        <v>46205.90537037037</v>
      </c>
      <c r="D1765" t="inlineStr">
        <is>
          <t>BUY</t>
        </is>
      </c>
      <c r="E1765" t="inlineStr">
        <is>
          <t>Yes</t>
        </is>
      </c>
      <c r="F1765" s="2" t="n">
        <v>0.002</v>
      </c>
      <c r="G1765" s="6" t="n">
        <v>500</v>
      </c>
      <c r="H1765" s="6">
        <f>F1765*G1765</f>
        <v/>
      </c>
      <c r="I1765">
        <f>_xlfn.XLOOKUP(A1765,MktTitle,MktCat,"n/a")</f>
        <v/>
      </c>
      <c r="J1765" s="3">
        <f>_xlfn.XLOOKUP(A1765,MktTitle,MktTotVol,0)</f>
        <v/>
      </c>
      <c r="K1765">
        <f>IF(H1765&gt;WhaleThreshold,"WHALE","")</f>
        <v/>
      </c>
    </row>
    <row r="1766">
      <c r="A1766" t="inlineStr">
        <is>
          <t>Will Egypt win the 2026 FIFA World Cup?</t>
        </is>
      </c>
      <c r="B1766" s="4" t="n">
        <v>46205</v>
      </c>
      <c r="C1766" s="5" t="n">
        <v>46205.90519675926</v>
      </c>
      <c r="D1766" t="inlineStr">
        <is>
          <t>BUY</t>
        </is>
      </c>
      <c r="E1766" t="inlineStr">
        <is>
          <t>Yes</t>
        </is>
      </c>
      <c r="F1766" s="2" t="n">
        <v>0.002</v>
      </c>
      <c r="G1766" s="6" t="n">
        <v>1000</v>
      </c>
      <c r="H1766" s="6">
        <f>F1766*G1766</f>
        <v/>
      </c>
      <c r="I1766">
        <f>_xlfn.XLOOKUP(A1766,MktTitle,MktCat,"n/a")</f>
        <v/>
      </c>
      <c r="J1766" s="3">
        <f>_xlfn.XLOOKUP(A1766,MktTitle,MktTotVol,0)</f>
        <v/>
      </c>
      <c r="K1766">
        <f>IF(H1766&gt;WhaleThreshold,"WHALE","")</f>
        <v/>
      </c>
    </row>
    <row r="1767">
      <c r="A1767" t="inlineStr">
        <is>
          <t>Will Egypt win the 2026 FIFA World Cup?</t>
        </is>
      </c>
      <c r="B1767" s="4" t="n">
        <v>46205</v>
      </c>
      <c r="C1767" s="5" t="n">
        <v>46205.90429398148</v>
      </c>
      <c r="D1767" t="inlineStr">
        <is>
          <t>BUY</t>
        </is>
      </c>
      <c r="E1767" t="inlineStr">
        <is>
          <t>Yes</t>
        </is>
      </c>
      <c r="F1767" s="2" t="n">
        <v>0.002</v>
      </c>
      <c r="G1767" s="6" t="n">
        <v>5000</v>
      </c>
      <c r="H1767" s="6">
        <f>F1767*G1767</f>
        <v/>
      </c>
      <c r="I1767">
        <f>_xlfn.XLOOKUP(A1767,MktTitle,MktCat,"n/a")</f>
        <v/>
      </c>
      <c r="J1767" s="3">
        <f>_xlfn.XLOOKUP(A1767,MktTitle,MktTotVol,0)</f>
        <v/>
      </c>
      <c r="K1767">
        <f>IF(H1767&gt;WhaleThreshold,"WHALE","")</f>
        <v/>
      </c>
    </row>
    <row r="1768">
      <c r="A1768" t="inlineStr">
        <is>
          <t>Will Egypt win the 2026 FIFA World Cup?</t>
        </is>
      </c>
      <c r="B1768" s="4" t="n">
        <v>46205</v>
      </c>
      <c r="C1768" s="5" t="n">
        <v>46205.9027662037</v>
      </c>
      <c r="D1768" t="inlineStr">
        <is>
          <t>SELL</t>
        </is>
      </c>
      <c r="E1768" t="inlineStr">
        <is>
          <t>No</t>
        </is>
      </c>
      <c r="F1768" s="2" t="n">
        <v>0.998</v>
      </c>
      <c r="G1768" s="6" t="n">
        <v>10.38</v>
      </c>
      <c r="H1768" s="6">
        <f>F1768*G1768</f>
        <v/>
      </c>
      <c r="I1768">
        <f>_xlfn.XLOOKUP(A1768,MktTitle,MktCat,"n/a")</f>
        <v/>
      </c>
      <c r="J1768" s="3">
        <f>_xlfn.XLOOKUP(A1768,MktTitle,MktTotVol,0)</f>
        <v/>
      </c>
      <c r="K1768">
        <f>IF(H1768&gt;WhaleThreshold,"WHALE","")</f>
        <v/>
      </c>
    </row>
    <row r="1769">
      <c r="A1769" t="inlineStr">
        <is>
          <t>Will Egypt win the 2026 FIFA World Cup?</t>
        </is>
      </c>
      <c r="B1769" s="4" t="n">
        <v>46205</v>
      </c>
      <c r="C1769" s="5" t="n">
        <v>46205.9027199074</v>
      </c>
      <c r="D1769" t="inlineStr">
        <is>
          <t>SELL</t>
        </is>
      </c>
      <c r="E1769" t="inlineStr">
        <is>
          <t>No</t>
        </is>
      </c>
      <c r="F1769" s="2" t="n">
        <v>0.998</v>
      </c>
      <c r="G1769" s="6" t="n">
        <v>10.78</v>
      </c>
      <c r="H1769" s="6">
        <f>F1769*G1769</f>
        <v/>
      </c>
      <c r="I1769">
        <f>_xlfn.XLOOKUP(A1769,MktTitle,MktCat,"n/a")</f>
        <v/>
      </c>
      <c r="J1769" s="3">
        <f>_xlfn.XLOOKUP(A1769,MktTitle,MktTotVol,0)</f>
        <v/>
      </c>
      <c r="K1769">
        <f>IF(H1769&gt;WhaleThreshold,"WHALE","")</f>
        <v/>
      </c>
    </row>
    <row r="1770">
      <c r="A1770" t="inlineStr">
        <is>
          <t>Will Egypt win the 2026 FIFA World Cup?</t>
        </is>
      </c>
      <c r="B1770" s="4" t="n">
        <v>46205</v>
      </c>
      <c r="C1770" s="5" t="n">
        <v>46205.90269675926</v>
      </c>
      <c r="D1770" t="inlineStr">
        <is>
          <t>SELL</t>
        </is>
      </c>
      <c r="E1770" t="inlineStr">
        <is>
          <t>No</t>
        </is>
      </c>
      <c r="F1770" s="2" t="n">
        <v>0.998</v>
      </c>
      <c r="G1770" s="6" t="n">
        <v>10.78</v>
      </c>
      <c r="H1770" s="6">
        <f>F1770*G1770</f>
        <v/>
      </c>
      <c r="I1770">
        <f>_xlfn.XLOOKUP(A1770,MktTitle,MktCat,"n/a")</f>
        <v/>
      </c>
      <c r="J1770" s="3">
        <f>_xlfn.XLOOKUP(A1770,MktTitle,MktTotVol,0)</f>
        <v/>
      </c>
      <c r="K1770">
        <f>IF(H1770&gt;WhaleThreshold,"WHALE","")</f>
        <v/>
      </c>
    </row>
    <row r="1771">
      <c r="A1771" t="inlineStr">
        <is>
          <t>Will Egypt win the 2026 FIFA World Cup?</t>
        </is>
      </c>
      <c r="B1771" s="4" t="n">
        <v>46205</v>
      </c>
      <c r="C1771" s="5" t="n">
        <v>46205.90265046297</v>
      </c>
      <c r="D1771" t="inlineStr">
        <is>
          <t>SELL</t>
        </is>
      </c>
      <c r="E1771" t="inlineStr">
        <is>
          <t>No</t>
        </is>
      </c>
      <c r="F1771" s="2" t="n">
        <v>0.998</v>
      </c>
      <c r="G1771" s="6" t="n">
        <v>10.45</v>
      </c>
      <c r="H1771" s="6">
        <f>F1771*G1771</f>
        <v/>
      </c>
      <c r="I1771">
        <f>_xlfn.XLOOKUP(A1771,MktTitle,MktCat,"n/a")</f>
        <v/>
      </c>
      <c r="J1771" s="3">
        <f>_xlfn.XLOOKUP(A1771,MktTitle,MktTotVol,0)</f>
        <v/>
      </c>
      <c r="K1771">
        <f>IF(H1771&gt;WhaleThreshold,"WHALE","")</f>
        <v/>
      </c>
    </row>
    <row r="1772">
      <c r="A1772" t="inlineStr">
        <is>
          <t>Will Egypt win the 2026 FIFA World Cup?</t>
        </is>
      </c>
      <c r="B1772" s="4" t="n">
        <v>46205</v>
      </c>
      <c r="C1772" s="5" t="n">
        <v>46205.90247685185</v>
      </c>
      <c r="D1772" t="inlineStr">
        <is>
          <t>BUY</t>
        </is>
      </c>
      <c r="E1772" t="inlineStr">
        <is>
          <t>Yes</t>
        </is>
      </c>
      <c r="F1772" s="2" t="n">
        <v>0.002</v>
      </c>
      <c r="G1772" s="6" t="n">
        <v>2250</v>
      </c>
      <c r="H1772" s="6">
        <f>F1772*G1772</f>
        <v/>
      </c>
      <c r="I1772">
        <f>_xlfn.XLOOKUP(A1772,MktTitle,MktCat,"n/a")</f>
        <v/>
      </c>
      <c r="J1772" s="3">
        <f>_xlfn.XLOOKUP(A1772,MktTitle,MktTotVol,0)</f>
        <v/>
      </c>
      <c r="K1772">
        <f>IF(H1772&gt;WhaleThreshold,"WHALE","")</f>
        <v/>
      </c>
    </row>
    <row r="1773">
      <c r="A1773" t="inlineStr">
        <is>
          <t>Will Egypt win the 2026 FIFA World Cup?</t>
        </is>
      </c>
      <c r="B1773" s="4" t="n">
        <v>46205</v>
      </c>
      <c r="C1773" s="5" t="n">
        <v>46205.9020949074</v>
      </c>
      <c r="D1773" t="inlineStr">
        <is>
          <t>BUY</t>
        </is>
      </c>
      <c r="E1773" t="inlineStr">
        <is>
          <t>No</t>
        </is>
      </c>
      <c r="F1773" s="2" t="n">
        <v>0.999</v>
      </c>
      <c r="G1773" s="6" t="n">
        <v>10.79</v>
      </c>
      <c r="H1773" s="6">
        <f>F1773*G1773</f>
        <v/>
      </c>
      <c r="I1773">
        <f>_xlfn.XLOOKUP(A1773,MktTitle,MktCat,"n/a")</f>
        <v/>
      </c>
      <c r="J1773" s="3">
        <f>_xlfn.XLOOKUP(A1773,MktTitle,MktTotVol,0)</f>
        <v/>
      </c>
      <c r="K1773">
        <f>IF(H1773&gt;WhaleThreshold,"WHALE","")</f>
        <v/>
      </c>
    </row>
    <row r="1774">
      <c r="A1774" t="inlineStr">
        <is>
          <t>Will Egypt win the 2026 FIFA World Cup?</t>
        </is>
      </c>
      <c r="B1774" s="4" t="n">
        <v>46205</v>
      </c>
      <c r="C1774" s="5" t="n">
        <v>46205.9020949074</v>
      </c>
      <c r="D1774" t="inlineStr">
        <is>
          <t>BUY</t>
        </is>
      </c>
      <c r="E1774" t="inlineStr">
        <is>
          <t>No</t>
        </is>
      </c>
      <c r="F1774" s="2" t="n">
        <v>0.999</v>
      </c>
      <c r="G1774" s="6" t="n">
        <v>10.38</v>
      </c>
      <c r="H1774" s="6">
        <f>F1774*G1774</f>
        <v/>
      </c>
      <c r="I1774">
        <f>_xlfn.XLOOKUP(A1774,MktTitle,MktCat,"n/a")</f>
        <v/>
      </c>
      <c r="J1774" s="3">
        <f>_xlfn.XLOOKUP(A1774,MktTitle,MktTotVol,0)</f>
        <v/>
      </c>
      <c r="K1774">
        <f>IF(H1774&gt;WhaleThreshold,"WHALE","")</f>
        <v/>
      </c>
    </row>
    <row r="1775">
      <c r="A1775" t="inlineStr">
        <is>
          <t>Will Egypt win the 2026 FIFA World Cup?</t>
        </is>
      </c>
      <c r="B1775" s="4" t="n">
        <v>46205</v>
      </c>
      <c r="C1775" s="5" t="n">
        <v>46205.9020949074</v>
      </c>
      <c r="D1775" t="inlineStr">
        <is>
          <t>BUY</t>
        </is>
      </c>
      <c r="E1775" t="inlineStr">
        <is>
          <t>No</t>
        </is>
      </c>
      <c r="F1775" s="2" t="n">
        <v>0.999</v>
      </c>
      <c r="G1775" s="6" t="n">
        <v>10.78</v>
      </c>
      <c r="H1775" s="6">
        <f>F1775*G1775</f>
        <v/>
      </c>
      <c r="I1775">
        <f>_xlfn.XLOOKUP(A1775,MktTitle,MktCat,"n/a")</f>
        <v/>
      </c>
      <c r="J1775" s="3">
        <f>_xlfn.XLOOKUP(A1775,MktTitle,MktTotVol,0)</f>
        <v/>
      </c>
      <c r="K1775">
        <f>IF(H1775&gt;WhaleThreshold,"WHALE","")</f>
        <v/>
      </c>
    </row>
    <row r="1776">
      <c r="A1776" t="inlineStr">
        <is>
          <t>Will Egypt win the 2026 FIFA World Cup?</t>
        </is>
      </c>
      <c r="B1776" s="4" t="n">
        <v>46205</v>
      </c>
      <c r="C1776" s="5" t="n">
        <v>46205.9020949074</v>
      </c>
      <c r="D1776" t="inlineStr">
        <is>
          <t>BUY</t>
        </is>
      </c>
      <c r="E1776" t="inlineStr">
        <is>
          <t>No</t>
        </is>
      </c>
      <c r="F1776" s="2" t="n">
        <v>0.999</v>
      </c>
      <c r="G1776" s="6" t="n">
        <v>10.45</v>
      </c>
      <c r="H1776" s="6">
        <f>F1776*G1776</f>
        <v/>
      </c>
      <c r="I1776">
        <f>_xlfn.XLOOKUP(A1776,MktTitle,MktCat,"n/a")</f>
        <v/>
      </c>
      <c r="J1776" s="3">
        <f>_xlfn.XLOOKUP(A1776,MktTitle,MktTotVol,0)</f>
        <v/>
      </c>
      <c r="K1776">
        <f>IF(H1776&gt;WhaleThreshold,"WHALE","")</f>
        <v/>
      </c>
    </row>
    <row r="1777">
      <c r="A1777" t="inlineStr">
        <is>
          <t>Will Egypt win the 2026 FIFA World Cup?</t>
        </is>
      </c>
      <c r="B1777" s="4" t="n">
        <v>46205</v>
      </c>
      <c r="C1777" s="5" t="n">
        <v>46205.89707175926</v>
      </c>
      <c r="D1777" t="inlineStr">
        <is>
          <t>BUY</t>
        </is>
      </c>
      <c r="E1777" t="inlineStr">
        <is>
          <t>No</t>
        </is>
      </c>
      <c r="F1777" s="2" t="n">
        <v>0.999</v>
      </c>
      <c r="G1777" s="6" t="n">
        <v>38.038</v>
      </c>
      <c r="H1777" s="6">
        <f>F1777*G1777</f>
        <v/>
      </c>
      <c r="I1777">
        <f>_xlfn.XLOOKUP(A1777,MktTitle,MktCat,"n/a")</f>
        <v/>
      </c>
      <c r="J1777" s="3">
        <f>_xlfn.XLOOKUP(A1777,MktTitle,MktTotVol,0)</f>
        <v/>
      </c>
      <c r="K1777">
        <f>IF(H1777&gt;WhaleThreshold,"WHALE","")</f>
        <v/>
      </c>
    </row>
    <row r="1778">
      <c r="A1778" t="inlineStr">
        <is>
          <t>Will Egypt win the 2026 FIFA World Cup?</t>
        </is>
      </c>
      <c r="B1778" s="4" t="n">
        <v>46205</v>
      </c>
      <c r="C1778" s="5" t="n">
        <v>46205.89582175926</v>
      </c>
      <c r="D1778" t="inlineStr">
        <is>
          <t>SELL</t>
        </is>
      </c>
      <c r="E1778" t="inlineStr">
        <is>
          <t>No</t>
        </is>
      </c>
      <c r="F1778" s="2" t="n">
        <v>0.998</v>
      </c>
      <c r="G1778" s="6" t="n">
        <v>28.02</v>
      </c>
      <c r="H1778" s="6">
        <f>F1778*G1778</f>
        <v/>
      </c>
      <c r="I1778">
        <f>_xlfn.XLOOKUP(A1778,MktTitle,MktCat,"n/a")</f>
        <v/>
      </c>
      <c r="J1778" s="3">
        <f>_xlfn.XLOOKUP(A1778,MktTitle,MktTotVol,0)</f>
        <v/>
      </c>
      <c r="K1778">
        <f>IF(H1778&gt;WhaleThreshold,"WHALE","")</f>
        <v/>
      </c>
    </row>
    <row r="1779">
      <c r="A1779" t="inlineStr">
        <is>
          <t>Will Egypt win the 2026 FIFA World Cup?</t>
        </is>
      </c>
      <c r="B1779" s="4" t="n">
        <v>46205</v>
      </c>
      <c r="C1779" s="5" t="n">
        <v>46205.89290509259</v>
      </c>
      <c r="D1779" t="inlineStr">
        <is>
          <t>SELL</t>
        </is>
      </c>
      <c r="E1779" t="inlineStr">
        <is>
          <t>No</t>
        </is>
      </c>
      <c r="F1779" s="2" t="n">
        <v>0.998</v>
      </c>
      <c r="G1779" s="6" t="n">
        <v>10.4</v>
      </c>
      <c r="H1779" s="6">
        <f>F1779*G1779</f>
        <v/>
      </c>
      <c r="I1779">
        <f>_xlfn.XLOOKUP(A1779,MktTitle,MktCat,"n/a")</f>
        <v/>
      </c>
      <c r="J1779" s="3">
        <f>_xlfn.XLOOKUP(A1779,MktTitle,MktTotVol,0)</f>
        <v/>
      </c>
      <c r="K1779">
        <f>IF(H1779&gt;WhaleThreshold,"WHALE","")</f>
        <v/>
      </c>
    </row>
    <row r="1780">
      <c r="A1780" t="inlineStr">
        <is>
          <t>Will Egypt win the 2026 FIFA World Cup?</t>
        </is>
      </c>
      <c r="B1780" s="4" t="n">
        <v>46205</v>
      </c>
      <c r="C1780" s="5" t="n">
        <v>46205.89289351852</v>
      </c>
      <c r="D1780" t="inlineStr">
        <is>
          <t>SELL</t>
        </is>
      </c>
      <c r="E1780" t="inlineStr">
        <is>
          <t>No</t>
        </is>
      </c>
      <c r="F1780" s="2" t="n">
        <v>0.998</v>
      </c>
      <c r="G1780" s="6" t="n">
        <v>10.44</v>
      </c>
      <c r="H1780" s="6">
        <f>F1780*G1780</f>
        <v/>
      </c>
      <c r="I1780">
        <f>_xlfn.XLOOKUP(A1780,MktTitle,MktCat,"n/a")</f>
        <v/>
      </c>
      <c r="J1780" s="3">
        <f>_xlfn.XLOOKUP(A1780,MktTitle,MktTotVol,0)</f>
        <v/>
      </c>
      <c r="K1780">
        <f>IF(H1780&gt;WhaleThreshold,"WHALE","")</f>
        <v/>
      </c>
    </row>
    <row r="1781">
      <c r="A1781" t="inlineStr">
        <is>
          <t>Will Egypt win the 2026 FIFA World Cup?</t>
        </is>
      </c>
      <c r="B1781" s="4" t="n">
        <v>46205</v>
      </c>
      <c r="C1781" s="5" t="n">
        <v>46205.89287037037</v>
      </c>
      <c r="D1781" t="inlineStr">
        <is>
          <t>SELL</t>
        </is>
      </c>
      <c r="E1781" t="inlineStr">
        <is>
          <t>No</t>
        </is>
      </c>
      <c r="F1781" s="2" t="n">
        <v>0.998</v>
      </c>
      <c r="G1781" s="6" t="n">
        <v>10.77</v>
      </c>
      <c r="H1781" s="6">
        <f>F1781*G1781</f>
        <v/>
      </c>
      <c r="I1781">
        <f>_xlfn.XLOOKUP(A1781,MktTitle,MktCat,"n/a")</f>
        <v/>
      </c>
      <c r="J1781" s="3">
        <f>_xlfn.XLOOKUP(A1781,MktTitle,MktTotVol,0)</f>
        <v/>
      </c>
      <c r="K1781">
        <f>IF(H1781&gt;WhaleThreshold,"WHALE","")</f>
        <v/>
      </c>
    </row>
    <row r="1782">
      <c r="A1782" t="inlineStr">
        <is>
          <t>Will Egypt win the 2026 FIFA World Cup?</t>
        </is>
      </c>
      <c r="B1782" s="4" t="n">
        <v>46205</v>
      </c>
      <c r="C1782" s="5" t="n">
        <v>46205.89282407407</v>
      </c>
      <c r="D1782" t="inlineStr">
        <is>
          <t>SELL</t>
        </is>
      </c>
      <c r="E1782" t="inlineStr">
        <is>
          <t>No</t>
        </is>
      </c>
      <c r="F1782" s="2" t="n">
        <v>0.998</v>
      </c>
      <c r="G1782" s="6" t="n">
        <v>10.36</v>
      </c>
      <c r="H1782" s="6">
        <f>F1782*G1782</f>
        <v/>
      </c>
      <c r="I1782">
        <f>_xlfn.XLOOKUP(A1782,MktTitle,MktCat,"n/a")</f>
        <v/>
      </c>
      <c r="J1782" s="3">
        <f>_xlfn.XLOOKUP(A1782,MktTitle,MktTotVol,0)</f>
        <v/>
      </c>
      <c r="K1782">
        <f>IF(H1782&gt;WhaleThreshold,"WHALE","")</f>
        <v/>
      </c>
    </row>
    <row r="1783">
      <c r="A1783" t="inlineStr">
        <is>
          <t>Will Egypt win the 2026 FIFA World Cup?</t>
        </is>
      </c>
      <c r="B1783" s="4" t="n">
        <v>46205</v>
      </c>
      <c r="C1783" s="5" t="n">
        <v>46205.89280092593</v>
      </c>
      <c r="D1783" t="inlineStr">
        <is>
          <t>SELL</t>
        </is>
      </c>
      <c r="E1783" t="inlineStr">
        <is>
          <t>No</t>
        </is>
      </c>
      <c r="F1783" s="2" t="n">
        <v>0.998</v>
      </c>
      <c r="G1783" s="6" t="n">
        <v>10.68</v>
      </c>
      <c r="H1783" s="6">
        <f>F1783*G1783</f>
        <v/>
      </c>
      <c r="I1783">
        <f>_xlfn.XLOOKUP(A1783,MktTitle,MktCat,"n/a")</f>
        <v/>
      </c>
      <c r="J1783" s="3">
        <f>_xlfn.XLOOKUP(A1783,MktTitle,MktTotVol,0)</f>
        <v/>
      </c>
      <c r="K1783">
        <f>IF(H1783&gt;WhaleThreshold,"WHALE","")</f>
        <v/>
      </c>
    </row>
    <row r="1784">
      <c r="A1784" t="inlineStr">
        <is>
          <t>Will Egypt win the 2026 FIFA World Cup?</t>
        </is>
      </c>
      <c r="B1784" s="4" t="n">
        <v>46205</v>
      </c>
      <c r="C1784" s="5" t="n">
        <v>46205.89254629629</v>
      </c>
      <c r="D1784" t="inlineStr">
        <is>
          <t>BUY</t>
        </is>
      </c>
      <c r="E1784" t="inlineStr">
        <is>
          <t>No</t>
        </is>
      </c>
      <c r="F1784" s="2" t="n">
        <v>0.999</v>
      </c>
      <c r="G1784" s="6" t="n">
        <v>10.4</v>
      </c>
      <c r="H1784" s="6">
        <f>F1784*G1784</f>
        <v/>
      </c>
      <c r="I1784">
        <f>_xlfn.XLOOKUP(A1784,MktTitle,MktCat,"n/a")</f>
        <v/>
      </c>
      <c r="J1784" s="3">
        <f>_xlfn.XLOOKUP(A1784,MktTitle,MktTotVol,0)</f>
        <v/>
      </c>
      <c r="K1784">
        <f>IF(H1784&gt;WhaleThreshold,"WHALE","")</f>
        <v/>
      </c>
    </row>
    <row r="1785">
      <c r="A1785" t="inlineStr">
        <is>
          <t>Will Egypt win the 2026 FIFA World Cup?</t>
        </is>
      </c>
      <c r="B1785" s="4" t="n">
        <v>46205</v>
      </c>
      <c r="C1785" s="5" t="n">
        <v>46205.89254629629</v>
      </c>
      <c r="D1785" t="inlineStr">
        <is>
          <t>BUY</t>
        </is>
      </c>
      <c r="E1785" t="inlineStr">
        <is>
          <t>No</t>
        </is>
      </c>
      <c r="F1785" s="2" t="n">
        <v>0.999</v>
      </c>
      <c r="G1785" s="6" t="n">
        <v>10.68</v>
      </c>
      <c r="H1785" s="6">
        <f>F1785*G1785</f>
        <v/>
      </c>
      <c r="I1785">
        <f>_xlfn.XLOOKUP(A1785,MktTitle,MktCat,"n/a")</f>
        <v/>
      </c>
      <c r="J1785" s="3">
        <f>_xlfn.XLOOKUP(A1785,MktTitle,MktTotVol,0)</f>
        <v/>
      </c>
      <c r="K1785">
        <f>IF(H1785&gt;WhaleThreshold,"WHALE","")</f>
        <v/>
      </c>
    </row>
    <row r="1786">
      <c r="A1786" t="inlineStr">
        <is>
          <t>Will Egypt win the 2026 FIFA World Cup?</t>
        </is>
      </c>
      <c r="B1786" s="4" t="n">
        <v>46205</v>
      </c>
      <c r="C1786" s="5" t="n">
        <v>46205.89254629629</v>
      </c>
      <c r="D1786" t="inlineStr">
        <is>
          <t>BUY</t>
        </is>
      </c>
      <c r="E1786" t="inlineStr">
        <is>
          <t>No</t>
        </is>
      </c>
      <c r="F1786" s="2" t="n">
        <v>0.999</v>
      </c>
      <c r="G1786" s="6" t="n">
        <v>10.77</v>
      </c>
      <c r="H1786" s="6">
        <f>F1786*G1786</f>
        <v/>
      </c>
      <c r="I1786">
        <f>_xlfn.XLOOKUP(A1786,MktTitle,MktCat,"n/a")</f>
        <v/>
      </c>
      <c r="J1786" s="3">
        <f>_xlfn.XLOOKUP(A1786,MktTitle,MktTotVol,0)</f>
        <v/>
      </c>
      <c r="K1786">
        <f>IF(H1786&gt;WhaleThreshold,"WHALE","")</f>
        <v/>
      </c>
    </row>
    <row r="1787">
      <c r="A1787" t="inlineStr">
        <is>
          <t>Will Egypt win the 2026 FIFA World Cup?</t>
        </is>
      </c>
      <c r="B1787" s="4" t="n">
        <v>46205</v>
      </c>
      <c r="C1787" s="5" t="n">
        <v>46205.89254629629</v>
      </c>
      <c r="D1787" t="inlineStr">
        <is>
          <t>BUY</t>
        </is>
      </c>
      <c r="E1787" t="inlineStr">
        <is>
          <t>No</t>
        </is>
      </c>
      <c r="F1787" s="2" t="n">
        <v>0.999</v>
      </c>
      <c r="G1787" s="6" t="n">
        <v>10.44</v>
      </c>
      <c r="H1787" s="6">
        <f>F1787*G1787</f>
        <v/>
      </c>
      <c r="I1787">
        <f>_xlfn.XLOOKUP(A1787,MktTitle,MktCat,"n/a")</f>
        <v/>
      </c>
      <c r="J1787" s="3">
        <f>_xlfn.XLOOKUP(A1787,MktTitle,MktTotVol,0)</f>
        <v/>
      </c>
      <c r="K1787">
        <f>IF(H1787&gt;WhaleThreshold,"WHALE","")</f>
        <v/>
      </c>
    </row>
    <row r="1788">
      <c r="A1788" t="inlineStr">
        <is>
          <t>Will Egypt win the 2026 FIFA World Cup?</t>
        </is>
      </c>
      <c r="B1788" s="4" t="n">
        <v>46205</v>
      </c>
      <c r="C1788" s="5" t="n">
        <v>46205.89254629629</v>
      </c>
      <c r="D1788" t="inlineStr">
        <is>
          <t>BUY</t>
        </is>
      </c>
      <c r="E1788" t="inlineStr">
        <is>
          <t>No</t>
        </is>
      </c>
      <c r="F1788" s="2" t="n">
        <v>0.999</v>
      </c>
      <c r="G1788" s="6" t="n">
        <v>10.36</v>
      </c>
      <c r="H1788" s="6">
        <f>F1788*G1788</f>
        <v/>
      </c>
      <c r="I1788">
        <f>_xlfn.XLOOKUP(A1788,MktTitle,MktCat,"n/a")</f>
        <v/>
      </c>
      <c r="J1788" s="3">
        <f>_xlfn.XLOOKUP(A1788,MktTitle,MktTotVol,0)</f>
        <v/>
      </c>
      <c r="K1788">
        <f>IF(H1788&gt;WhaleThreshold,"WHALE","")</f>
        <v/>
      </c>
    </row>
    <row r="1789">
      <c r="A1789" t="inlineStr">
        <is>
          <t>Will Egypt win the 2026 FIFA World Cup?</t>
        </is>
      </c>
      <c r="B1789" s="4" t="n">
        <v>46205</v>
      </c>
      <c r="C1789" s="5" t="n">
        <v>46205.88956018518</v>
      </c>
      <c r="D1789" t="inlineStr">
        <is>
          <t>BUY</t>
        </is>
      </c>
      <c r="E1789" t="inlineStr">
        <is>
          <t>No</t>
        </is>
      </c>
      <c r="F1789" s="2" t="n">
        <v>0.999</v>
      </c>
      <c r="G1789" s="6" t="n">
        <v>10.01</v>
      </c>
      <c r="H1789" s="6">
        <f>F1789*G1789</f>
        <v/>
      </c>
      <c r="I1789">
        <f>_xlfn.XLOOKUP(A1789,MktTitle,MktCat,"n/a")</f>
        <v/>
      </c>
      <c r="J1789" s="3">
        <f>_xlfn.XLOOKUP(A1789,MktTitle,MktTotVol,0)</f>
        <v/>
      </c>
      <c r="K1789">
        <f>IF(H1789&gt;WhaleThreshold,"WHALE","")</f>
        <v/>
      </c>
    </row>
    <row r="1790">
      <c r="A1790" t="inlineStr">
        <is>
          <t>Will Egypt win the 2026 FIFA World Cup?</t>
        </is>
      </c>
      <c r="B1790" s="4" t="n">
        <v>46205</v>
      </c>
      <c r="C1790" s="5" t="n">
        <v>46205.88887731481</v>
      </c>
      <c r="D1790" t="inlineStr">
        <is>
          <t>BUY</t>
        </is>
      </c>
      <c r="E1790" t="inlineStr">
        <is>
          <t>Yes</t>
        </is>
      </c>
      <c r="F1790" s="2" t="n">
        <v>0.002</v>
      </c>
      <c r="G1790" s="6" t="n">
        <v>500</v>
      </c>
      <c r="H1790" s="6">
        <f>F1790*G1790</f>
        <v/>
      </c>
      <c r="I1790">
        <f>_xlfn.XLOOKUP(A1790,MktTitle,MktCat,"n/a")</f>
        <v/>
      </c>
      <c r="J1790" s="3">
        <f>_xlfn.XLOOKUP(A1790,MktTitle,MktTotVol,0)</f>
        <v/>
      </c>
      <c r="K1790">
        <f>IF(H1790&gt;WhaleThreshold,"WHALE","")</f>
        <v/>
      </c>
    </row>
    <row r="1791">
      <c r="A1791" t="inlineStr">
        <is>
          <t>Will Egypt win the 2026 FIFA World Cup?</t>
        </is>
      </c>
      <c r="B1791" s="4" t="n">
        <v>46205</v>
      </c>
      <c r="C1791" s="5" t="n">
        <v>46205.88792824074</v>
      </c>
      <c r="D1791" t="inlineStr">
        <is>
          <t>SELL</t>
        </is>
      </c>
      <c r="E1791" t="inlineStr">
        <is>
          <t>No</t>
        </is>
      </c>
      <c r="F1791" s="2" t="n">
        <v>0.998</v>
      </c>
      <c r="G1791" s="6" t="n">
        <v>0.14</v>
      </c>
      <c r="H1791" s="6">
        <f>F1791*G1791</f>
        <v/>
      </c>
      <c r="I1791">
        <f>_xlfn.XLOOKUP(A1791,MktTitle,MktCat,"n/a")</f>
        <v/>
      </c>
      <c r="J1791" s="3">
        <f>_xlfn.XLOOKUP(A1791,MktTitle,MktTotVol,0)</f>
        <v/>
      </c>
      <c r="K1791">
        <f>IF(H1791&gt;WhaleThreshold,"WHALE","")</f>
        <v/>
      </c>
    </row>
    <row r="1792">
      <c r="A1792" t="inlineStr">
        <is>
          <t>Will Egypt win the 2026 FIFA World Cup?</t>
        </is>
      </c>
      <c r="B1792" s="4" t="n">
        <v>46205</v>
      </c>
      <c r="C1792" s="5" t="n">
        <v>46205.88539351852</v>
      </c>
      <c r="D1792" t="inlineStr">
        <is>
          <t>BUY</t>
        </is>
      </c>
      <c r="E1792" t="inlineStr">
        <is>
          <t>No</t>
        </is>
      </c>
      <c r="F1792" s="2" t="n">
        <v>0.999</v>
      </c>
      <c r="G1792" s="6" t="n">
        <v>1.981</v>
      </c>
      <c r="H1792" s="6">
        <f>F1792*G1792</f>
        <v/>
      </c>
      <c r="I1792">
        <f>_xlfn.XLOOKUP(A1792,MktTitle,MktCat,"n/a")</f>
        <v/>
      </c>
      <c r="J1792" s="3">
        <f>_xlfn.XLOOKUP(A1792,MktTitle,MktTotVol,0)</f>
        <v/>
      </c>
      <c r="K1792">
        <f>IF(H1792&gt;WhaleThreshold,"WHALE","")</f>
        <v/>
      </c>
    </row>
    <row r="1793">
      <c r="A1793" t="inlineStr">
        <is>
          <t>Will Egypt win the 2026 FIFA World Cup?</t>
        </is>
      </c>
      <c r="B1793" s="4" t="n">
        <v>46205</v>
      </c>
      <c r="C1793" s="5" t="n">
        <v>46205.8790162037</v>
      </c>
      <c r="D1793" t="inlineStr">
        <is>
          <t>BUY</t>
        </is>
      </c>
      <c r="E1793" t="inlineStr">
        <is>
          <t>Yes</t>
        </is>
      </c>
      <c r="F1793" s="2" t="n">
        <v>0.002</v>
      </c>
      <c r="G1793" s="6" t="n">
        <v>1500</v>
      </c>
      <c r="H1793" s="6">
        <f>F1793*G1793</f>
        <v/>
      </c>
      <c r="I1793">
        <f>_xlfn.XLOOKUP(A1793,MktTitle,MktCat,"n/a")</f>
        <v/>
      </c>
      <c r="J1793" s="3">
        <f>_xlfn.XLOOKUP(A1793,MktTitle,MktTotVol,0)</f>
        <v/>
      </c>
      <c r="K1793">
        <f>IF(H1793&gt;WhaleThreshold,"WHALE","")</f>
        <v/>
      </c>
    </row>
    <row r="1794">
      <c r="A1794" t="inlineStr">
        <is>
          <t>Will Egypt win the 2026 FIFA World Cup?</t>
        </is>
      </c>
      <c r="B1794" s="4" t="n">
        <v>46205</v>
      </c>
      <c r="C1794" s="5" t="n">
        <v>46205.87828703703</v>
      </c>
      <c r="D1794" t="inlineStr">
        <is>
          <t>SELL</t>
        </is>
      </c>
      <c r="E1794" t="inlineStr">
        <is>
          <t>Yes</t>
        </is>
      </c>
      <c r="F1794" s="2" t="n">
        <v>0.001</v>
      </c>
      <c r="G1794" s="6" t="n">
        <v>1666.66</v>
      </c>
      <c r="H1794" s="6">
        <f>F1794*G1794</f>
        <v/>
      </c>
      <c r="I1794">
        <f>_xlfn.XLOOKUP(A1794,MktTitle,MktCat,"n/a")</f>
        <v/>
      </c>
      <c r="J1794" s="3">
        <f>_xlfn.XLOOKUP(A1794,MktTitle,MktTotVol,0)</f>
        <v/>
      </c>
      <c r="K1794">
        <f>IF(H1794&gt;WhaleThreshold,"WHALE","")</f>
        <v/>
      </c>
    </row>
    <row r="1795">
      <c r="A1795" t="inlineStr">
        <is>
          <t>Will Egypt win the 2026 FIFA World Cup?</t>
        </is>
      </c>
      <c r="B1795" s="4" t="n">
        <v>46205</v>
      </c>
      <c r="C1795" s="5" t="n">
        <v>46205.87126157407</v>
      </c>
      <c r="D1795" t="inlineStr">
        <is>
          <t>BUY</t>
        </is>
      </c>
      <c r="E1795" t="inlineStr">
        <is>
          <t>No</t>
        </is>
      </c>
      <c r="F1795" s="2" t="n">
        <v>0.999</v>
      </c>
      <c r="G1795" s="6" t="n">
        <v>54.074</v>
      </c>
      <c r="H1795" s="6">
        <f>F1795*G1795</f>
        <v/>
      </c>
      <c r="I1795">
        <f>_xlfn.XLOOKUP(A1795,MktTitle,MktCat,"n/a")</f>
        <v/>
      </c>
      <c r="J1795" s="3">
        <f>_xlfn.XLOOKUP(A1795,MktTitle,MktTotVol,0)</f>
        <v/>
      </c>
      <c r="K1795">
        <f>IF(H1795&gt;WhaleThreshold,"WHALE","")</f>
        <v/>
      </c>
    </row>
    <row r="1796">
      <c r="A1796" t="inlineStr">
        <is>
          <t>Will Egypt win the 2026 FIFA World Cup?</t>
        </is>
      </c>
      <c r="B1796" s="4" t="n">
        <v>46205</v>
      </c>
      <c r="C1796" s="5" t="n">
        <v>46205.86998842593</v>
      </c>
      <c r="D1796" t="inlineStr">
        <is>
          <t>BUY</t>
        </is>
      </c>
      <c r="E1796" t="inlineStr">
        <is>
          <t>No</t>
        </is>
      </c>
      <c r="F1796" s="2" t="n">
        <v>0.999</v>
      </c>
      <c r="G1796" s="6" t="n">
        <v>25.025</v>
      </c>
      <c r="H1796" s="6">
        <f>F1796*G1796</f>
        <v/>
      </c>
      <c r="I1796">
        <f>_xlfn.XLOOKUP(A1796,MktTitle,MktCat,"n/a")</f>
        <v/>
      </c>
      <c r="J1796" s="3">
        <f>_xlfn.XLOOKUP(A1796,MktTitle,MktTotVol,0)</f>
        <v/>
      </c>
      <c r="K1796">
        <f>IF(H1796&gt;WhaleThreshold,"WHALE","")</f>
        <v/>
      </c>
    </row>
    <row r="1797">
      <c r="A1797" t="inlineStr">
        <is>
          <t>Will Egypt win the 2026 FIFA World Cup?</t>
        </is>
      </c>
      <c r="B1797" s="4" t="n">
        <v>46205</v>
      </c>
      <c r="C1797" s="5" t="n">
        <v>46205.86643518518</v>
      </c>
      <c r="D1797" t="inlineStr">
        <is>
          <t>SELL</t>
        </is>
      </c>
      <c r="E1797" t="inlineStr">
        <is>
          <t>Yes</t>
        </is>
      </c>
      <c r="F1797" s="2" t="n">
        <v>0.001</v>
      </c>
      <c r="G1797" s="6" t="n">
        <v>28520</v>
      </c>
      <c r="H1797" s="6">
        <f>F1797*G1797</f>
        <v/>
      </c>
      <c r="I1797">
        <f>_xlfn.XLOOKUP(A1797,MktTitle,MktCat,"n/a")</f>
        <v/>
      </c>
      <c r="J1797" s="3">
        <f>_xlfn.XLOOKUP(A1797,MktTitle,MktTotVol,0)</f>
        <v/>
      </c>
      <c r="K1797">
        <f>IF(H1797&gt;WhaleThreshold,"WHALE","")</f>
        <v/>
      </c>
    </row>
    <row r="1798">
      <c r="A1798" t="inlineStr">
        <is>
          <t>Will Egypt win the 2026 FIFA World Cup?</t>
        </is>
      </c>
      <c r="B1798" s="4" t="n">
        <v>46205</v>
      </c>
      <c r="C1798" s="5" t="n">
        <v>46205.86606481481</v>
      </c>
      <c r="D1798" t="inlineStr">
        <is>
          <t>SELL</t>
        </is>
      </c>
      <c r="E1798" t="inlineStr">
        <is>
          <t>Yes</t>
        </is>
      </c>
      <c r="F1798" s="2" t="n">
        <v>0.001</v>
      </c>
      <c r="G1798" s="6" t="n">
        <v>2800</v>
      </c>
      <c r="H1798" s="6">
        <f>F1798*G1798</f>
        <v/>
      </c>
      <c r="I1798">
        <f>_xlfn.XLOOKUP(A1798,MktTitle,MktCat,"n/a")</f>
        <v/>
      </c>
      <c r="J1798" s="3">
        <f>_xlfn.XLOOKUP(A1798,MktTitle,MktTotVol,0)</f>
        <v/>
      </c>
      <c r="K1798">
        <f>IF(H1798&gt;WhaleThreshold,"WHALE","")</f>
        <v/>
      </c>
    </row>
    <row r="1799">
      <c r="A1799" t="inlineStr">
        <is>
          <t>Will Egypt win the 2026 FIFA World Cup?</t>
        </is>
      </c>
      <c r="B1799" s="4" t="n">
        <v>46205</v>
      </c>
      <c r="C1799" s="5" t="n">
        <v>46205.86515046296</v>
      </c>
      <c r="D1799" t="inlineStr">
        <is>
          <t>SELL</t>
        </is>
      </c>
      <c r="E1799" t="inlineStr">
        <is>
          <t>No</t>
        </is>
      </c>
      <c r="F1799" s="2" t="n">
        <v>0.998</v>
      </c>
      <c r="G1799" s="6" t="n">
        <v>15.39</v>
      </c>
      <c r="H1799" s="6">
        <f>F1799*G1799</f>
        <v/>
      </c>
      <c r="I1799">
        <f>_xlfn.XLOOKUP(A1799,MktTitle,MktCat,"n/a")</f>
        <v/>
      </c>
      <c r="J1799" s="3">
        <f>_xlfn.XLOOKUP(A1799,MktTitle,MktTotVol,0)</f>
        <v/>
      </c>
      <c r="K1799">
        <f>IF(H1799&gt;WhaleThreshold,"WHALE","")</f>
        <v/>
      </c>
    </row>
    <row r="1800">
      <c r="A1800" t="inlineStr">
        <is>
          <t>Will Egypt win the 2026 FIFA World Cup?</t>
        </is>
      </c>
      <c r="B1800" s="4" t="n">
        <v>46205</v>
      </c>
      <c r="C1800" s="5" t="n">
        <v>46205.86480324074</v>
      </c>
      <c r="D1800" t="inlineStr">
        <is>
          <t>BUY</t>
        </is>
      </c>
      <c r="E1800" t="inlineStr">
        <is>
          <t>No</t>
        </is>
      </c>
      <c r="F1800" s="2" t="n">
        <v>0.999</v>
      </c>
      <c r="G1800" s="6" t="n">
        <v>15.395</v>
      </c>
      <c r="H1800" s="6">
        <f>F1800*G1800</f>
        <v/>
      </c>
      <c r="I1800">
        <f>_xlfn.XLOOKUP(A1800,MktTitle,MktCat,"n/a")</f>
        <v/>
      </c>
      <c r="J1800" s="3">
        <f>_xlfn.XLOOKUP(A1800,MktTitle,MktTotVol,0)</f>
        <v/>
      </c>
      <c r="K1800">
        <f>IF(H1800&gt;WhaleThreshold,"WHALE","")</f>
        <v/>
      </c>
    </row>
    <row r="1801">
      <c r="A1801" t="inlineStr">
        <is>
          <t>Will Egypt win the 2026 FIFA World Cup?</t>
        </is>
      </c>
      <c r="B1801" s="4" t="n">
        <v>46205</v>
      </c>
      <c r="C1801" s="5" t="n">
        <v>46205.86471064815</v>
      </c>
      <c r="D1801" t="inlineStr">
        <is>
          <t>SELL</t>
        </is>
      </c>
      <c r="E1801" t="inlineStr">
        <is>
          <t>No</t>
        </is>
      </c>
      <c r="F1801" s="2" t="n">
        <v>0.998</v>
      </c>
      <c r="G1801" s="6" t="n">
        <v>15.72</v>
      </c>
      <c r="H1801" s="6">
        <f>F1801*G1801</f>
        <v/>
      </c>
      <c r="I1801">
        <f>_xlfn.XLOOKUP(A1801,MktTitle,MktCat,"n/a")</f>
        <v/>
      </c>
      <c r="J1801" s="3">
        <f>_xlfn.XLOOKUP(A1801,MktTitle,MktTotVol,0)</f>
        <v/>
      </c>
      <c r="K1801">
        <f>IF(H1801&gt;WhaleThreshold,"WHALE","")</f>
        <v/>
      </c>
    </row>
    <row r="1802">
      <c r="A1802" t="inlineStr">
        <is>
          <t>Will Belgium win the 2026 FIFA World Cup?</t>
        </is>
      </c>
      <c r="B1802" s="4" t="n">
        <v>46206</v>
      </c>
      <c r="C1802" s="5" t="n">
        <v>46206.08667824074</v>
      </c>
      <c r="D1802" t="inlineStr">
        <is>
          <t>SELL</t>
        </is>
      </c>
      <c r="E1802" t="inlineStr">
        <is>
          <t>No</t>
        </is>
      </c>
      <c r="F1802" s="2" t="n">
        <v>0.987</v>
      </c>
      <c r="G1802" s="6" t="n">
        <v>11.38</v>
      </c>
      <c r="H1802" s="6">
        <f>F1802*G1802</f>
        <v/>
      </c>
      <c r="I1802">
        <f>_xlfn.XLOOKUP(A1802,MktTitle,MktCat,"n/a")</f>
        <v/>
      </c>
      <c r="J1802" s="3">
        <f>_xlfn.XLOOKUP(A1802,MktTitle,MktTotVol,0)</f>
        <v/>
      </c>
      <c r="K1802">
        <f>IF(H1802&gt;WhaleThreshold,"WHALE","")</f>
        <v/>
      </c>
    </row>
    <row r="1803">
      <c r="A1803" t="inlineStr">
        <is>
          <t>Will Belgium win the 2026 FIFA World Cup?</t>
        </is>
      </c>
      <c r="B1803" s="4" t="n">
        <v>46206</v>
      </c>
      <c r="C1803" s="5" t="n">
        <v>46206.08637731482</v>
      </c>
      <c r="D1803" t="inlineStr">
        <is>
          <t>BUY</t>
        </is>
      </c>
      <c r="E1803" t="inlineStr">
        <is>
          <t>No</t>
        </is>
      </c>
      <c r="F1803" s="2" t="n">
        <v>0.988</v>
      </c>
      <c r="G1803" s="6" t="n">
        <v>11.38</v>
      </c>
      <c r="H1803" s="6">
        <f>F1803*G1803</f>
        <v/>
      </c>
      <c r="I1803">
        <f>_xlfn.XLOOKUP(A1803,MktTitle,MktCat,"n/a")</f>
        <v/>
      </c>
      <c r="J1803" s="3">
        <f>_xlfn.XLOOKUP(A1803,MktTitle,MktTotVol,0)</f>
        <v/>
      </c>
      <c r="K1803">
        <f>IF(H1803&gt;WhaleThreshold,"WHALE","")</f>
        <v/>
      </c>
    </row>
    <row r="1804">
      <c r="A1804" t="inlineStr">
        <is>
          <t>Will Belgium win the 2026 FIFA World Cup?</t>
        </is>
      </c>
      <c r="B1804" s="4" t="n">
        <v>46206</v>
      </c>
      <c r="C1804" s="5" t="n">
        <v>46206.08384259259</v>
      </c>
      <c r="D1804" t="inlineStr">
        <is>
          <t>SELL</t>
        </is>
      </c>
      <c r="E1804" t="inlineStr">
        <is>
          <t>No</t>
        </is>
      </c>
      <c r="F1804" s="2" t="n">
        <v>0.987</v>
      </c>
      <c r="G1804" s="6" t="n">
        <v>37.73</v>
      </c>
      <c r="H1804" s="6">
        <f>F1804*G1804</f>
        <v/>
      </c>
      <c r="I1804">
        <f>_xlfn.XLOOKUP(A1804,MktTitle,MktCat,"n/a")</f>
        <v/>
      </c>
      <c r="J1804" s="3">
        <f>_xlfn.XLOOKUP(A1804,MktTitle,MktTotVol,0)</f>
        <v/>
      </c>
      <c r="K1804">
        <f>IF(H1804&gt;WhaleThreshold,"WHALE","")</f>
        <v/>
      </c>
    </row>
    <row r="1805">
      <c r="A1805" t="inlineStr">
        <is>
          <t>Will Belgium win the 2026 FIFA World Cup?</t>
        </is>
      </c>
      <c r="B1805" s="4" t="n">
        <v>46206</v>
      </c>
      <c r="C1805" s="5" t="n">
        <v>46206.08299768518</v>
      </c>
      <c r="D1805" t="inlineStr">
        <is>
          <t>BUY</t>
        </is>
      </c>
      <c r="E1805" t="inlineStr">
        <is>
          <t>No</t>
        </is>
      </c>
      <c r="F1805" s="2" t="n">
        <v>0.988</v>
      </c>
      <c r="G1805" s="6" t="n">
        <v>647</v>
      </c>
      <c r="H1805" s="6">
        <f>F1805*G1805</f>
        <v/>
      </c>
      <c r="I1805">
        <f>_xlfn.XLOOKUP(A1805,MktTitle,MktCat,"n/a")</f>
        <v/>
      </c>
      <c r="J1805" s="3">
        <f>_xlfn.XLOOKUP(A1805,MktTitle,MktTotVol,0)</f>
        <v/>
      </c>
      <c r="K1805">
        <f>IF(H1805&gt;WhaleThreshold,"WHALE","")</f>
        <v/>
      </c>
    </row>
    <row r="1806">
      <c r="A1806" t="inlineStr">
        <is>
          <t>Will Belgium win the 2026 FIFA World Cup?</t>
        </is>
      </c>
      <c r="B1806" s="4" t="n">
        <v>46206</v>
      </c>
      <c r="C1806" s="5" t="n">
        <v>46206.08275462963</v>
      </c>
      <c r="D1806" t="inlineStr">
        <is>
          <t>BUY</t>
        </is>
      </c>
      <c r="E1806" t="inlineStr">
        <is>
          <t>Yes</t>
        </is>
      </c>
      <c r="F1806" s="2" t="n">
        <v>0.013</v>
      </c>
      <c r="G1806" s="6" t="n">
        <v>1538.4615</v>
      </c>
      <c r="H1806" s="6">
        <f>F1806*G1806</f>
        <v/>
      </c>
      <c r="I1806">
        <f>_xlfn.XLOOKUP(A1806,MktTitle,MktCat,"n/a")</f>
        <v/>
      </c>
      <c r="J1806" s="3">
        <f>_xlfn.XLOOKUP(A1806,MktTitle,MktTotVol,0)</f>
        <v/>
      </c>
      <c r="K1806">
        <f>IF(H1806&gt;WhaleThreshold,"WHALE","")</f>
        <v/>
      </c>
    </row>
    <row r="1807">
      <c r="A1807" t="inlineStr">
        <is>
          <t>Will Belgium win the 2026 FIFA World Cup?</t>
        </is>
      </c>
      <c r="B1807" s="4" t="n">
        <v>46206</v>
      </c>
      <c r="C1807" s="5" t="n">
        <v>46206.07851851852</v>
      </c>
      <c r="D1807" t="inlineStr">
        <is>
          <t>SELL</t>
        </is>
      </c>
      <c r="E1807" t="inlineStr">
        <is>
          <t>No</t>
        </is>
      </c>
      <c r="F1807" s="2" t="n">
        <v>0.987</v>
      </c>
      <c r="G1807" s="6" t="n">
        <v>40.23</v>
      </c>
      <c r="H1807" s="6">
        <f>F1807*G1807</f>
        <v/>
      </c>
      <c r="I1807">
        <f>_xlfn.XLOOKUP(A1807,MktTitle,MktCat,"n/a")</f>
        <v/>
      </c>
      <c r="J1807" s="3">
        <f>_xlfn.XLOOKUP(A1807,MktTitle,MktTotVol,0)</f>
        <v/>
      </c>
      <c r="K1807">
        <f>IF(H1807&gt;WhaleThreshold,"WHALE","")</f>
        <v/>
      </c>
    </row>
    <row r="1808">
      <c r="A1808" t="inlineStr">
        <is>
          <t>Will Belgium win the 2026 FIFA World Cup?</t>
        </is>
      </c>
      <c r="B1808" s="4" t="n">
        <v>46206</v>
      </c>
      <c r="C1808" s="5" t="n">
        <v>46206.07063657408</v>
      </c>
      <c r="D1808" t="inlineStr">
        <is>
          <t>BUY</t>
        </is>
      </c>
      <c r="E1808" t="inlineStr">
        <is>
          <t>Yes</t>
        </is>
      </c>
      <c r="F1808" s="2" t="n">
        <v>0.013</v>
      </c>
      <c r="G1808" s="6" t="n">
        <v>76.92310000000001</v>
      </c>
      <c r="H1808" s="6">
        <f>F1808*G1808</f>
        <v/>
      </c>
      <c r="I1808">
        <f>_xlfn.XLOOKUP(A1808,MktTitle,MktCat,"n/a")</f>
        <v/>
      </c>
      <c r="J1808" s="3">
        <f>_xlfn.XLOOKUP(A1808,MktTitle,MktTotVol,0)</f>
        <v/>
      </c>
      <c r="K1808">
        <f>IF(H1808&gt;WhaleThreshold,"WHALE","")</f>
        <v/>
      </c>
    </row>
    <row r="1809">
      <c r="A1809" t="inlineStr">
        <is>
          <t>Will Belgium win the 2026 FIFA World Cup?</t>
        </is>
      </c>
      <c r="B1809" s="4" t="n">
        <v>46206</v>
      </c>
      <c r="C1809" s="5" t="n">
        <v>46206.06912037037</v>
      </c>
      <c r="D1809" t="inlineStr">
        <is>
          <t>SELL</t>
        </is>
      </c>
      <c r="E1809" t="inlineStr">
        <is>
          <t>No</t>
        </is>
      </c>
      <c r="F1809" s="2" t="n">
        <v>0.987</v>
      </c>
      <c r="G1809" s="6" t="n">
        <v>42.13</v>
      </c>
      <c r="H1809" s="6">
        <f>F1809*G1809</f>
        <v/>
      </c>
      <c r="I1809">
        <f>_xlfn.XLOOKUP(A1809,MktTitle,MktCat,"n/a")</f>
        <v/>
      </c>
      <c r="J1809" s="3">
        <f>_xlfn.XLOOKUP(A1809,MktTitle,MktTotVol,0)</f>
        <v/>
      </c>
      <c r="K1809">
        <f>IF(H1809&gt;WhaleThreshold,"WHALE","")</f>
        <v/>
      </c>
    </row>
    <row r="1810">
      <c r="A1810" t="inlineStr">
        <is>
          <t>Will Belgium win the 2026 FIFA World Cup?</t>
        </is>
      </c>
      <c r="B1810" s="4" t="n">
        <v>46206</v>
      </c>
      <c r="C1810" s="5" t="n">
        <v>46206.06839120371</v>
      </c>
      <c r="D1810" t="inlineStr">
        <is>
          <t>BUY</t>
        </is>
      </c>
      <c r="E1810" t="inlineStr">
        <is>
          <t>No</t>
        </is>
      </c>
      <c r="F1810" s="2" t="n">
        <v>0.988</v>
      </c>
      <c r="G1810" s="6" t="n">
        <v>956.9299999999999</v>
      </c>
      <c r="H1810" s="6">
        <f>F1810*G1810</f>
        <v/>
      </c>
      <c r="I1810">
        <f>_xlfn.XLOOKUP(A1810,MktTitle,MktCat,"n/a")</f>
        <v/>
      </c>
      <c r="J1810" s="3">
        <f>_xlfn.XLOOKUP(A1810,MktTitle,MktTotVol,0)</f>
        <v/>
      </c>
      <c r="K1810">
        <f>IF(H1810&gt;WhaleThreshold,"WHALE","")</f>
        <v/>
      </c>
    </row>
    <row r="1811">
      <c r="A1811" t="inlineStr">
        <is>
          <t>Will Belgium win the 2026 FIFA World Cup?</t>
        </is>
      </c>
      <c r="B1811" s="4" t="n">
        <v>46206</v>
      </c>
      <c r="C1811" s="5" t="n">
        <v>46206.0678587963</v>
      </c>
      <c r="D1811" t="inlineStr">
        <is>
          <t>BUY</t>
        </is>
      </c>
      <c r="E1811" t="inlineStr">
        <is>
          <t>Yes</t>
        </is>
      </c>
      <c r="F1811" s="2" t="n">
        <v>0.013</v>
      </c>
      <c r="G1811" s="6" t="n">
        <v>76.92310000000001</v>
      </c>
      <c r="H1811" s="6">
        <f>F1811*G1811</f>
        <v/>
      </c>
      <c r="I1811">
        <f>_xlfn.XLOOKUP(A1811,MktTitle,MktCat,"n/a")</f>
        <v/>
      </c>
      <c r="J1811" s="3">
        <f>_xlfn.XLOOKUP(A1811,MktTitle,MktTotVol,0)</f>
        <v/>
      </c>
      <c r="K1811">
        <f>IF(H1811&gt;WhaleThreshold,"WHALE","")</f>
        <v/>
      </c>
    </row>
    <row r="1812">
      <c r="A1812" t="inlineStr">
        <is>
          <t>Will Belgium win the 2026 FIFA World Cup?</t>
        </is>
      </c>
      <c r="B1812" s="4" t="n">
        <v>46206</v>
      </c>
      <c r="C1812" s="5" t="n">
        <v>46206.06518518519</v>
      </c>
      <c r="D1812" t="inlineStr">
        <is>
          <t>SELL</t>
        </is>
      </c>
      <c r="E1812" t="inlineStr">
        <is>
          <t>No</t>
        </is>
      </c>
      <c r="F1812" s="2" t="n">
        <v>0.987</v>
      </c>
      <c r="G1812" s="6" t="n">
        <v>45.66</v>
      </c>
      <c r="H1812" s="6">
        <f>F1812*G1812</f>
        <v/>
      </c>
      <c r="I1812">
        <f>_xlfn.XLOOKUP(A1812,MktTitle,MktCat,"n/a")</f>
        <v/>
      </c>
      <c r="J1812" s="3">
        <f>_xlfn.XLOOKUP(A1812,MktTitle,MktTotVol,0)</f>
        <v/>
      </c>
      <c r="K1812">
        <f>IF(H1812&gt;WhaleThreshold,"WHALE","")</f>
        <v/>
      </c>
    </row>
    <row r="1813">
      <c r="A1813" t="inlineStr">
        <is>
          <t>Will Belgium win the 2026 FIFA World Cup?</t>
        </is>
      </c>
      <c r="B1813" s="4" t="n">
        <v>46206</v>
      </c>
      <c r="C1813" s="5" t="n">
        <v>46206.06484953704</v>
      </c>
      <c r="D1813" t="inlineStr">
        <is>
          <t>SELL</t>
        </is>
      </c>
      <c r="E1813" t="inlineStr">
        <is>
          <t>Yes</t>
        </is>
      </c>
      <c r="F1813" s="2" t="n">
        <v>0.013</v>
      </c>
      <c r="G1813" s="6" t="n">
        <v>18861</v>
      </c>
      <c r="H1813" s="6">
        <f>F1813*G1813</f>
        <v/>
      </c>
      <c r="I1813">
        <f>_xlfn.XLOOKUP(A1813,MktTitle,MktCat,"n/a")</f>
        <v/>
      </c>
      <c r="J1813" s="3">
        <f>_xlfn.XLOOKUP(A1813,MktTitle,MktTotVol,0)</f>
        <v/>
      </c>
      <c r="K1813">
        <f>IF(H1813&gt;WhaleThreshold,"WHALE","")</f>
        <v/>
      </c>
    </row>
    <row r="1814">
      <c r="A1814" t="inlineStr">
        <is>
          <t>Will Belgium win the 2026 FIFA World Cup?</t>
        </is>
      </c>
      <c r="B1814" s="4" t="n">
        <v>46206</v>
      </c>
      <c r="C1814" s="5" t="n">
        <v>46206.06280092592</v>
      </c>
      <c r="D1814" t="inlineStr">
        <is>
          <t>SELL</t>
        </is>
      </c>
      <c r="E1814" t="inlineStr">
        <is>
          <t>Yes</t>
        </is>
      </c>
      <c r="F1814" s="2" t="n">
        <v>0.013</v>
      </c>
      <c r="G1814" s="6" t="n">
        <v>14999.73</v>
      </c>
      <c r="H1814" s="6">
        <f>F1814*G1814</f>
        <v/>
      </c>
      <c r="I1814">
        <f>_xlfn.XLOOKUP(A1814,MktTitle,MktCat,"n/a")</f>
        <v/>
      </c>
      <c r="J1814" s="3">
        <f>_xlfn.XLOOKUP(A1814,MktTitle,MktTotVol,0)</f>
        <v/>
      </c>
      <c r="K1814">
        <f>IF(H1814&gt;WhaleThreshold,"WHALE","")</f>
        <v/>
      </c>
    </row>
    <row r="1815">
      <c r="A1815" t="inlineStr">
        <is>
          <t>Will Belgium win the 2026 FIFA World Cup?</t>
        </is>
      </c>
      <c r="B1815" s="4" t="n">
        <v>46206</v>
      </c>
      <c r="C1815" s="5" t="n">
        <v>46206.06134259259</v>
      </c>
      <c r="D1815" t="inlineStr">
        <is>
          <t>BUY</t>
        </is>
      </c>
      <c r="E1815" t="inlineStr">
        <is>
          <t>Yes</t>
        </is>
      </c>
      <c r="F1815" s="2" t="n">
        <v>0.014</v>
      </c>
      <c r="G1815" s="6" t="n">
        <v>71.4286</v>
      </c>
      <c r="H1815" s="6">
        <f>F1815*G1815</f>
        <v/>
      </c>
      <c r="I1815">
        <f>_xlfn.XLOOKUP(A1815,MktTitle,MktCat,"n/a")</f>
        <v/>
      </c>
      <c r="J1815" s="3">
        <f>_xlfn.XLOOKUP(A1815,MktTitle,MktTotVol,0)</f>
        <v/>
      </c>
      <c r="K1815">
        <f>IF(H1815&gt;WhaleThreshold,"WHALE","")</f>
        <v/>
      </c>
    </row>
    <row r="1816">
      <c r="A1816" t="inlineStr">
        <is>
          <t>Will Belgium win the 2026 FIFA World Cup?</t>
        </is>
      </c>
      <c r="B1816" s="4" t="n">
        <v>46206</v>
      </c>
      <c r="C1816" s="5" t="n">
        <v>46206.06016203704</v>
      </c>
      <c r="D1816" t="inlineStr">
        <is>
          <t>BUY</t>
        </is>
      </c>
      <c r="E1816" t="inlineStr">
        <is>
          <t>Yes</t>
        </is>
      </c>
      <c r="F1816" s="2" t="n">
        <v>0.014</v>
      </c>
      <c r="G1816" s="6" t="n">
        <v>582.1429000000001</v>
      </c>
      <c r="H1816" s="6">
        <f>F1816*G1816</f>
        <v/>
      </c>
      <c r="I1816">
        <f>_xlfn.XLOOKUP(A1816,MktTitle,MktCat,"n/a")</f>
        <v/>
      </c>
      <c r="J1816" s="3">
        <f>_xlfn.XLOOKUP(A1816,MktTitle,MktTotVol,0)</f>
        <v/>
      </c>
      <c r="K1816">
        <f>IF(H1816&gt;WhaleThreshold,"WHALE","")</f>
        <v/>
      </c>
    </row>
    <row r="1817">
      <c r="A1817" t="inlineStr">
        <is>
          <t>Will Belgium win the 2026 FIFA World Cup?</t>
        </is>
      </c>
      <c r="B1817" s="4" t="n">
        <v>46206</v>
      </c>
      <c r="C1817" s="5" t="n">
        <v>46206.05962962963</v>
      </c>
      <c r="D1817" t="inlineStr">
        <is>
          <t>SELL</t>
        </is>
      </c>
      <c r="E1817" t="inlineStr">
        <is>
          <t>No</t>
        </is>
      </c>
      <c r="F1817" s="2" t="n">
        <v>0.986</v>
      </c>
      <c r="G1817" s="6" t="n">
        <v>18.07</v>
      </c>
      <c r="H1817" s="6">
        <f>F1817*G1817</f>
        <v/>
      </c>
      <c r="I1817">
        <f>_xlfn.XLOOKUP(A1817,MktTitle,MktCat,"n/a")</f>
        <v/>
      </c>
      <c r="J1817" s="3">
        <f>_xlfn.XLOOKUP(A1817,MktTitle,MktTotVol,0)</f>
        <v/>
      </c>
      <c r="K1817">
        <f>IF(H1817&gt;WhaleThreshold,"WHALE","")</f>
        <v/>
      </c>
    </row>
    <row r="1818">
      <c r="A1818" t="inlineStr">
        <is>
          <t>Will Belgium win the 2026 FIFA World Cup?</t>
        </is>
      </c>
      <c r="B1818" s="4" t="n">
        <v>46206</v>
      </c>
      <c r="C1818" s="5" t="n">
        <v>46206.05938657407</v>
      </c>
      <c r="D1818" t="inlineStr">
        <is>
          <t>BUY</t>
        </is>
      </c>
      <c r="E1818" t="inlineStr">
        <is>
          <t>No</t>
        </is>
      </c>
      <c r="F1818" s="2" t="n">
        <v>0.987</v>
      </c>
      <c r="G1818" s="6" t="n">
        <v>18.07</v>
      </c>
      <c r="H1818" s="6">
        <f>F1818*G1818</f>
        <v/>
      </c>
      <c r="I1818">
        <f>_xlfn.XLOOKUP(A1818,MktTitle,MktCat,"n/a")</f>
        <v/>
      </c>
      <c r="J1818" s="3">
        <f>_xlfn.XLOOKUP(A1818,MktTitle,MktTotVol,0)</f>
        <v/>
      </c>
      <c r="K1818">
        <f>IF(H1818&gt;WhaleThreshold,"WHALE","")</f>
        <v/>
      </c>
    </row>
    <row r="1819">
      <c r="A1819" t="inlineStr">
        <is>
          <t>Will Belgium win the 2026 FIFA World Cup?</t>
        </is>
      </c>
      <c r="B1819" s="4" t="n">
        <v>46206</v>
      </c>
      <c r="C1819" s="5" t="n">
        <v>46206.05924768518</v>
      </c>
      <c r="D1819" t="inlineStr">
        <is>
          <t>BUY</t>
        </is>
      </c>
      <c r="E1819" t="inlineStr">
        <is>
          <t>No</t>
        </is>
      </c>
      <c r="F1819" s="2" t="n">
        <v>0.987</v>
      </c>
      <c r="G1819" s="6" t="n">
        <v>343.99</v>
      </c>
      <c r="H1819" s="6">
        <f>F1819*G1819</f>
        <v/>
      </c>
      <c r="I1819">
        <f>_xlfn.XLOOKUP(A1819,MktTitle,MktCat,"n/a")</f>
        <v/>
      </c>
      <c r="J1819" s="3">
        <f>_xlfn.XLOOKUP(A1819,MktTitle,MktTotVol,0)</f>
        <v/>
      </c>
      <c r="K1819">
        <f>IF(H1819&gt;WhaleThreshold,"WHALE","")</f>
        <v/>
      </c>
    </row>
    <row r="1820">
      <c r="A1820" t="inlineStr">
        <is>
          <t>Will Belgium win the 2026 FIFA World Cup?</t>
        </is>
      </c>
      <c r="B1820" s="4" t="n">
        <v>46206</v>
      </c>
      <c r="C1820" s="5" t="n">
        <v>46206.05828703703</v>
      </c>
      <c r="D1820" t="inlineStr">
        <is>
          <t>SELL</t>
        </is>
      </c>
      <c r="E1820" t="inlineStr">
        <is>
          <t>Yes</t>
        </is>
      </c>
      <c r="F1820" s="2" t="n">
        <v>0.013</v>
      </c>
      <c r="G1820" s="6" t="n">
        <v>2025</v>
      </c>
      <c r="H1820" s="6">
        <f>F1820*G1820</f>
        <v/>
      </c>
      <c r="I1820">
        <f>_xlfn.XLOOKUP(A1820,MktTitle,MktCat,"n/a")</f>
        <v/>
      </c>
      <c r="J1820" s="3">
        <f>_xlfn.XLOOKUP(A1820,MktTitle,MktTotVol,0)</f>
        <v/>
      </c>
      <c r="K1820">
        <f>IF(H1820&gt;WhaleThreshold,"WHALE","")</f>
        <v/>
      </c>
    </row>
    <row r="1821">
      <c r="A1821" t="inlineStr">
        <is>
          <t>Will Belgium win the 2026 FIFA World Cup?</t>
        </is>
      </c>
      <c r="B1821" s="4" t="n">
        <v>46206</v>
      </c>
      <c r="C1821" s="5" t="n">
        <v>46206.05290509259</v>
      </c>
      <c r="D1821" t="inlineStr">
        <is>
          <t>SELL</t>
        </is>
      </c>
      <c r="E1821" t="inlineStr">
        <is>
          <t>Yes</t>
        </is>
      </c>
      <c r="F1821" s="2" t="n">
        <v>0.013</v>
      </c>
      <c r="G1821" s="6" t="n">
        <v>416.66</v>
      </c>
      <c r="H1821" s="6">
        <f>F1821*G1821</f>
        <v/>
      </c>
      <c r="I1821">
        <f>_xlfn.XLOOKUP(A1821,MktTitle,MktCat,"n/a")</f>
        <v/>
      </c>
      <c r="J1821" s="3">
        <f>_xlfn.XLOOKUP(A1821,MktTitle,MktTotVol,0)</f>
        <v/>
      </c>
      <c r="K1821">
        <f>IF(H1821&gt;WhaleThreshold,"WHALE","")</f>
        <v/>
      </c>
    </row>
    <row r="1822">
      <c r="A1822" t="inlineStr">
        <is>
          <t>Will Belgium win the 2026 FIFA World Cup?</t>
        </is>
      </c>
      <c r="B1822" s="4" t="n">
        <v>46206</v>
      </c>
      <c r="C1822" s="5" t="n">
        <v>46206.05248842593</v>
      </c>
      <c r="D1822" t="inlineStr">
        <is>
          <t>BUY</t>
        </is>
      </c>
      <c r="E1822" t="inlineStr">
        <is>
          <t>Yes</t>
        </is>
      </c>
      <c r="F1822" s="2" t="n">
        <v>0.014</v>
      </c>
      <c r="G1822" s="6" t="n">
        <v>142.8571</v>
      </c>
      <c r="H1822" s="6">
        <f>F1822*G1822</f>
        <v/>
      </c>
      <c r="I1822">
        <f>_xlfn.XLOOKUP(A1822,MktTitle,MktCat,"n/a")</f>
        <v/>
      </c>
      <c r="J1822" s="3">
        <f>_xlfn.XLOOKUP(A1822,MktTitle,MktTotVol,0)</f>
        <v/>
      </c>
      <c r="K1822">
        <f>IF(H1822&gt;WhaleThreshold,"WHALE","")</f>
        <v/>
      </c>
    </row>
    <row r="1823">
      <c r="A1823" t="inlineStr">
        <is>
          <t>Will Belgium win the 2026 FIFA World Cup?</t>
        </is>
      </c>
      <c r="B1823" s="4" t="n">
        <v>46206</v>
      </c>
      <c r="C1823" s="5" t="n">
        <v>46206.05134259259</v>
      </c>
      <c r="D1823" t="inlineStr">
        <is>
          <t>SELL</t>
        </is>
      </c>
      <c r="E1823" t="inlineStr">
        <is>
          <t>No</t>
        </is>
      </c>
      <c r="F1823" s="2" t="n">
        <v>0.986</v>
      </c>
      <c r="G1823" s="6" t="n">
        <v>20.27</v>
      </c>
      <c r="H1823" s="6">
        <f>F1823*G1823</f>
        <v/>
      </c>
      <c r="I1823">
        <f>_xlfn.XLOOKUP(A1823,MktTitle,MktCat,"n/a")</f>
        <v/>
      </c>
      <c r="J1823" s="3">
        <f>_xlfn.XLOOKUP(A1823,MktTitle,MktTotVol,0)</f>
        <v/>
      </c>
      <c r="K1823">
        <f>IF(H1823&gt;WhaleThreshold,"WHALE","")</f>
        <v/>
      </c>
    </row>
    <row r="1824">
      <c r="A1824" t="inlineStr">
        <is>
          <t>Will Belgium win the 2026 FIFA World Cup?</t>
        </is>
      </c>
      <c r="B1824" s="4" t="n">
        <v>46206</v>
      </c>
      <c r="C1824" s="5" t="n">
        <v>46206.0511574074</v>
      </c>
      <c r="D1824" t="inlineStr">
        <is>
          <t>BUY</t>
        </is>
      </c>
      <c r="E1824" t="inlineStr">
        <is>
          <t>No</t>
        </is>
      </c>
      <c r="F1824" s="2" t="n">
        <v>0.987</v>
      </c>
      <c r="G1824" s="6" t="n">
        <v>20.2634</v>
      </c>
      <c r="H1824" s="6">
        <f>F1824*G1824</f>
        <v/>
      </c>
      <c r="I1824">
        <f>_xlfn.XLOOKUP(A1824,MktTitle,MktCat,"n/a")</f>
        <v/>
      </c>
      <c r="J1824" s="3">
        <f>_xlfn.XLOOKUP(A1824,MktTitle,MktTotVol,0)</f>
        <v/>
      </c>
      <c r="K1824">
        <f>IF(H1824&gt;WhaleThreshold,"WHALE","")</f>
        <v/>
      </c>
    </row>
    <row r="1825">
      <c r="A1825" t="inlineStr">
        <is>
          <t>Will Belgium win the 2026 FIFA World Cup?</t>
        </is>
      </c>
      <c r="B1825" s="4" t="n">
        <v>46206</v>
      </c>
      <c r="C1825" s="5" t="n">
        <v>46206.0504050926</v>
      </c>
      <c r="D1825" t="inlineStr">
        <is>
          <t>BUY</t>
        </is>
      </c>
      <c r="E1825" t="inlineStr">
        <is>
          <t>Yes</t>
        </is>
      </c>
      <c r="F1825" s="2" t="n">
        <v>0.014</v>
      </c>
      <c r="G1825" s="6" t="n">
        <v>1428.5714</v>
      </c>
      <c r="H1825" s="6">
        <f>F1825*G1825</f>
        <v/>
      </c>
      <c r="I1825">
        <f>_xlfn.XLOOKUP(A1825,MktTitle,MktCat,"n/a")</f>
        <v/>
      </c>
      <c r="J1825" s="3">
        <f>_xlfn.XLOOKUP(A1825,MktTitle,MktTotVol,0)</f>
        <v/>
      </c>
      <c r="K1825">
        <f>IF(H1825&gt;WhaleThreshold,"WHALE","")</f>
        <v/>
      </c>
    </row>
    <row r="1826">
      <c r="A1826" t="inlineStr">
        <is>
          <t>Will Belgium win the 2026 FIFA World Cup?</t>
        </is>
      </c>
      <c r="B1826" s="4" t="n">
        <v>46206</v>
      </c>
      <c r="C1826" s="5" t="n">
        <v>46206.04928240741</v>
      </c>
      <c r="D1826" t="inlineStr">
        <is>
          <t>SELL</t>
        </is>
      </c>
      <c r="E1826" t="inlineStr">
        <is>
          <t>No</t>
        </is>
      </c>
      <c r="F1826" s="2" t="n">
        <v>0.986</v>
      </c>
      <c r="G1826" s="6" t="n">
        <v>20.26</v>
      </c>
      <c r="H1826" s="6">
        <f>F1826*G1826</f>
        <v/>
      </c>
      <c r="I1826">
        <f>_xlfn.XLOOKUP(A1826,MktTitle,MktCat,"n/a")</f>
        <v/>
      </c>
      <c r="J1826" s="3">
        <f>_xlfn.XLOOKUP(A1826,MktTitle,MktTotVol,0)</f>
        <v/>
      </c>
      <c r="K1826">
        <f>IF(H1826&gt;WhaleThreshold,"WHALE","")</f>
        <v/>
      </c>
    </row>
    <row r="1827">
      <c r="A1827" t="inlineStr">
        <is>
          <t>Will Belgium win the 2026 FIFA World Cup?</t>
        </is>
      </c>
      <c r="B1827" s="4" t="n">
        <v>46206</v>
      </c>
      <c r="C1827" s="5" t="n">
        <v>46206.04910879629</v>
      </c>
      <c r="D1827" t="inlineStr">
        <is>
          <t>BUY</t>
        </is>
      </c>
      <c r="E1827" t="inlineStr">
        <is>
          <t>No</t>
        </is>
      </c>
      <c r="F1827" s="2" t="n">
        <v>0.987</v>
      </c>
      <c r="G1827" s="6" t="n">
        <v>20.2634</v>
      </c>
      <c r="H1827" s="6">
        <f>F1827*G1827</f>
        <v/>
      </c>
      <c r="I1827">
        <f>_xlfn.XLOOKUP(A1827,MktTitle,MktCat,"n/a")</f>
        <v/>
      </c>
      <c r="J1827" s="3">
        <f>_xlfn.XLOOKUP(A1827,MktTitle,MktTotVol,0)</f>
        <v/>
      </c>
      <c r="K1827">
        <f>IF(H1827&gt;WhaleThreshold,"WHALE","")</f>
        <v/>
      </c>
    </row>
    <row r="1828">
      <c r="A1828" t="inlineStr">
        <is>
          <t>Will Belgium win the 2026 FIFA World Cup?</t>
        </is>
      </c>
      <c r="B1828" s="4" t="n">
        <v>46206</v>
      </c>
      <c r="C1828" s="5" t="n">
        <v>46206.04498842593</v>
      </c>
      <c r="D1828" t="inlineStr">
        <is>
          <t>BUY</t>
        </is>
      </c>
      <c r="E1828" t="inlineStr">
        <is>
          <t>No</t>
        </is>
      </c>
      <c r="F1828" s="2" t="n">
        <v>0.987</v>
      </c>
      <c r="G1828" s="6" t="n">
        <v>5</v>
      </c>
      <c r="H1828" s="6">
        <f>F1828*G1828</f>
        <v/>
      </c>
      <c r="I1828">
        <f>_xlfn.XLOOKUP(A1828,MktTitle,MktCat,"n/a")</f>
        <v/>
      </c>
      <c r="J1828" s="3">
        <f>_xlfn.XLOOKUP(A1828,MktTitle,MktTotVol,0)</f>
        <v/>
      </c>
      <c r="K1828">
        <f>IF(H1828&gt;WhaleThreshold,"WHALE","")</f>
        <v/>
      </c>
    </row>
    <row r="1829">
      <c r="A1829" t="inlineStr">
        <is>
          <t>Will Belgium win the 2026 FIFA World Cup?</t>
        </is>
      </c>
      <c r="B1829" s="4" t="n">
        <v>46206</v>
      </c>
      <c r="C1829" s="5" t="n">
        <v>46206.04283564815</v>
      </c>
      <c r="D1829" t="inlineStr">
        <is>
          <t>BUY</t>
        </is>
      </c>
      <c r="E1829" t="inlineStr">
        <is>
          <t>Yes</t>
        </is>
      </c>
      <c r="F1829" s="2" t="n">
        <v>0.014</v>
      </c>
      <c r="G1829" s="6" t="n">
        <v>142.8571</v>
      </c>
      <c r="H1829" s="6">
        <f>F1829*G1829</f>
        <v/>
      </c>
      <c r="I1829">
        <f>_xlfn.XLOOKUP(A1829,MktTitle,MktCat,"n/a")</f>
        <v/>
      </c>
      <c r="J1829" s="3">
        <f>_xlfn.XLOOKUP(A1829,MktTitle,MktTotVol,0)</f>
        <v/>
      </c>
      <c r="K1829">
        <f>IF(H1829&gt;WhaleThreshold,"WHALE","")</f>
        <v/>
      </c>
    </row>
    <row r="1830">
      <c r="A1830" t="inlineStr">
        <is>
          <t>Will Belgium win the 2026 FIFA World Cup?</t>
        </is>
      </c>
      <c r="B1830" s="4" t="n">
        <v>46206</v>
      </c>
      <c r="C1830" s="5" t="n">
        <v>46206.04241898148</v>
      </c>
      <c r="D1830" t="inlineStr">
        <is>
          <t>SELL</t>
        </is>
      </c>
      <c r="E1830" t="inlineStr">
        <is>
          <t>Yes</t>
        </is>
      </c>
      <c r="F1830" s="2" t="n">
        <v>0.013</v>
      </c>
      <c r="G1830" s="6" t="n">
        <v>400</v>
      </c>
      <c r="H1830" s="6">
        <f>F1830*G1830</f>
        <v/>
      </c>
      <c r="I1830">
        <f>_xlfn.XLOOKUP(A1830,MktTitle,MktCat,"n/a")</f>
        <v/>
      </c>
      <c r="J1830" s="3">
        <f>_xlfn.XLOOKUP(A1830,MktTitle,MktTotVol,0)</f>
        <v/>
      </c>
      <c r="K1830">
        <f>IF(H1830&gt;WhaleThreshold,"WHALE","")</f>
        <v/>
      </c>
    </row>
    <row r="1831">
      <c r="A1831" t="inlineStr">
        <is>
          <t>Will Belgium win the 2026 FIFA World Cup?</t>
        </is>
      </c>
      <c r="B1831" s="4" t="n">
        <v>46206</v>
      </c>
      <c r="C1831" s="5" t="n">
        <v>46206.04012731482</v>
      </c>
      <c r="D1831" t="inlineStr">
        <is>
          <t>SELL</t>
        </is>
      </c>
      <c r="E1831" t="inlineStr">
        <is>
          <t>No</t>
        </is>
      </c>
      <c r="F1831" s="2" t="n">
        <v>0.986</v>
      </c>
      <c r="G1831" s="6" t="n">
        <v>19.57</v>
      </c>
      <c r="H1831" s="6">
        <f>F1831*G1831</f>
        <v/>
      </c>
      <c r="I1831">
        <f>_xlfn.XLOOKUP(A1831,MktTitle,MktCat,"n/a")</f>
        <v/>
      </c>
      <c r="J1831" s="3">
        <f>_xlfn.XLOOKUP(A1831,MktTitle,MktTotVol,0)</f>
        <v/>
      </c>
      <c r="K1831">
        <f>IF(H1831&gt;WhaleThreshold,"WHALE","")</f>
        <v/>
      </c>
    </row>
    <row r="1832">
      <c r="A1832" t="inlineStr">
        <is>
          <t>Will Belgium win the 2026 FIFA World Cup?</t>
        </is>
      </c>
      <c r="B1832" s="4" t="n">
        <v>46206</v>
      </c>
      <c r="C1832" s="5" t="n">
        <v>46206.03994212963</v>
      </c>
      <c r="D1832" t="inlineStr">
        <is>
          <t>BUY</t>
        </is>
      </c>
      <c r="E1832" t="inlineStr">
        <is>
          <t>No</t>
        </is>
      </c>
      <c r="F1832" s="2" t="n">
        <v>0.987</v>
      </c>
      <c r="G1832" s="6" t="n">
        <v>30</v>
      </c>
      <c r="H1832" s="6">
        <f>F1832*G1832</f>
        <v/>
      </c>
      <c r="I1832">
        <f>_xlfn.XLOOKUP(A1832,MktTitle,MktCat,"n/a")</f>
        <v/>
      </c>
      <c r="J1832" s="3">
        <f>_xlfn.XLOOKUP(A1832,MktTitle,MktTotVol,0)</f>
        <v/>
      </c>
      <c r="K1832">
        <f>IF(H1832&gt;WhaleThreshold,"WHALE","")</f>
        <v/>
      </c>
    </row>
    <row r="1833">
      <c r="A1833" t="inlineStr">
        <is>
          <t>Will Belgium win the 2026 FIFA World Cup?</t>
        </is>
      </c>
      <c r="B1833" s="4" t="n">
        <v>46206</v>
      </c>
      <c r="C1833" s="5" t="n">
        <v>46206.03994212963</v>
      </c>
      <c r="D1833" t="inlineStr">
        <is>
          <t>SELL</t>
        </is>
      </c>
      <c r="E1833" t="inlineStr">
        <is>
          <t>Yes</t>
        </is>
      </c>
      <c r="F1833" s="2" t="n">
        <v>0.013</v>
      </c>
      <c r="G1833" s="6" t="n">
        <v>600</v>
      </c>
      <c r="H1833" s="6">
        <f>F1833*G1833</f>
        <v/>
      </c>
      <c r="I1833">
        <f>_xlfn.XLOOKUP(A1833,MktTitle,MktCat,"n/a")</f>
        <v/>
      </c>
      <c r="J1833" s="3">
        <f>_xlfn.XLOOKUP(A1833,MktTitle,MktTotVol,0)</f>
        <v/>
      </c>
      <c r="K1833">
        <f>IF(H1833&gt;WhaleThreshold,"WHALE","")</f>
        <v/>
      </c>
    </row>
    <row r="1834">
      <c r="A1834" t="inlineStr">
        <is>
          <t>Will Belgium win the 2026 FIFA World Cup?</t>
        </is>
      </c>
      <c r="B1834" s="4" t="n">
        <v>46206</v>
      </c>
      <c r="C1834" s="5" t="n">
        <v>46206.03988425926</v>
      </c>
      <c r="D1834" t="inlineStr">
        <is>
          <t>BUY</t>
        </is>
      </c>
      <c r="E1834" t="inlineStr">
        <is>
          <t>No</t>
        </is>
      </c>
      <c r="F1834" s="2" t="n">
        <v>0.987</v>
      </c>
      <c r="G1834" s="6" t="n">
        <v>19.57</v>
      </c>
      <c r="H1834" s="6">
        <f>F1834*G1834</f>
        <v/>
      </c>
      <c r="I1834">
        <f>_xlfn.XLOOKUP(A1834,MktTitle,MktCat,"n/a")</f>
        <v/>
      </c>
      <c r="J1834" s="3">
        <f>_xlfn.XLOOKUP(A1834,MktTitle,MktTotVol,0)</f>
        <v/>
      </c>
      <c r="K1834">
        <f>IF(H1834&gt;WhaleThreshold,"WHALE","")</f>
        <v/>
      </c>
    </row>
    <row r="1835">
      <c r="A1835" t="inlineStr">
        <is>
          <t>Will Belgium win the 2026 FIFA World Cup?</t>
        </is>
      </c>
      <c r="B1835" s="4" t="n">
        <v>46206</v>
      </c>
      <c r="C1835" s="5" t="n">
        <v>46206.03832175926</v>
      </c>
      <c r="D1835" t="inlineStr">
        <is>
          <t>BUY</t>
        </is>
      </c>
      <c r="E1835" t="inlineStr">
        <is>
          <t>Yes</t>
        </is>
      </c>
      <c r="F1835" s="2" t="n">
        <v>0.014</v>
      </c>
      <c r="G1835" s="6" t="n">
        <v>30</v>
      </c>
      <c r="H1835" s="6">
        <f>F1835*G1835</f>
        <v/>
      </c>
      <c r="I1835">
        <f>_xlfn.XLOOKUP(A1835,MktTitle,MktCat,"n/a")</f>
        <v/>
      </c>
      <c r="J1835" s="3">
        <f>_xlfn.XLOOKUP(A1835,MktTitle,MktTotVol,0)</f>
        <v/>
      </c>
      <c r="K1835">
        <f>IF(H1835&gt;WhaleThreshold,"WHALE","")</f>
        <v/>
      </c>
    </row>
    <row r="1836">
      <c r="A1836" t="inlineStr">
        <is>
          <t>Will Belgium win the 2026 FIFA World Cup?</t>
        </is>
      </c>
      <c r="B1836" s="4" t="n">
        <v>46206</v>
      </c>
      <c r="C1836" s="5" t="n">
        <v>46206.03825231481</v>
      </c>
      <c r="D1836" t="inlineStr">
        <is>
          <t>SELL</t>
        </is>
      </c>
      <c r="E1836" t="inlineStr">
        <is>
          <t>Yes</t>
        </is>
      </c>
      <c r="F1836" s="2" t="n">
        <v>0.013</v>
      </c>
      <c r="G1836" s="6" t="n">
        <v>199.6</v>
      </c>
      <c r="H1836" s="6">
        <f>F1836*G1836</f>
        <v/>
      </c>
      <c r="I1836">
        <f>_xlfn.XLOOKUP(A1836,MktTitle,MktCat,"n/a")</f>
        <v/>
      </c>
      <c r="J1836" s="3">
        <f>_xlfn.XLOOKUP(A1836,MktTitle,MktTotVol,0)</f>
        <v/>
      </c>
      <c r="K1836">
        <f>IF(H1836&gt;WhaleThreshold,"WHALE","")</f>
        <v/>
      </c>
    </row>
    <row r="1837">
      <c r="A1837" t="inlineStr">
        <is>
          <t>Will Belgium win the 2026 FIFA World Cup?</t>
        </is>
      </c>
      <c r="B1837" s="4" t="n">
        <v>46206</v>
      </c>
      <c r="C1837" s="5" t="n">
        <v>46206.0378587963</v>
      </c>
      <c r="D1837" t="inlineStr">
        <is>
          <t>BUY</t>
        </is>
      </c>
      <c r="E1837" t="inlineStr">
        <is>
          <t>No</t>
        </is>
      </c>
      <c r="F1837" s="2" t="n">
        <v>0.987</v>
      </c>
      <c r="G1837" s="6" t="n">
        <v>128</v>
      </c>
      <c r="H1837" s="6">
        <f>F1837*G1837</f>
        <v/>
      </c>
      <c r="I1837">
        <f>_xlfn.XLOOKUP(A1837,MktTitle,MktCat,"n/a")</f>
        <v/>
      </c>
      <c r="J1837" s="3">
        <f>_xlfn.XLOOKUP(A1837,MktTitle,MktTotVol,0)</f>
        <v/>
      </c>
      <c r="K1837">
        <f>IF(H1837&gt;WhaleThreshold,"WHALE","")</f>
        <v/>
      </c>
    </row>
    <row r="1838">
      <c r="A1838" t="inlineStr">
        <is>
          <t>Will Belgium win the 2026 FIFA World Cup?</t>
        </is>
      </c>
      <c r="B1838" s="4" t="n">
        <v>46206</v>
      </c>
      <c r="C1838" s="5" t="n">
        <v>46206.03675925926</v>
      </c>
      <c r="D1838" t="inlineStr">
        <is>
          <t>BUY</t>
        </is>
      </c>
      <c r="E1838" t="inlineStr">
        <is>
          <t>No</t>
        </is>
      </c>
      <c r="F1838" s="2" t="n">
        <v>0.987</v>
      </c>
      <c r="G1838" s="6" t="n">
        <v>236</v>
      </c>
      <c r="H1838" s="6">
        <f>F1838*G1838</f>
        <v/>
      </c>
      <c r="I1838">
        <f>_xlfn.XLOOKUP(A1838,MktTitle,MktCat,"n/a")</f>
        <v/>
      </c>
      <c r="J1838" s="3">
        <f>_xlfn.XLOOKUP(A1838,MktTitle,MktTotVol,0)</f>
        <v/>
      </c>
      <c r="K1838">
        <f>IF(H1838&gt;WhaleThreshold,"WHALE","")</f>
        <v/>
      </c>
    </row>
    <row r="1839">
      <c r="A1839" t="inlineStr">
        <is>
          <t>Will Belgium win the 2026 FIFA World Cup?</t>
        </is>
      </c>
      <c r="B1839" s="4" t="n">
        <v>46206</v>
      </c>
      <c r="C1839" s="5" t="n">
        <v>46206.03359953704</v>
      </c>
      <c r="D1839" t="inlineStr">
        <is>
          <t>SELL</t>
        </is>
      </c>
      <c r="E1839" t="inlineStr">
        <is>
          <t>No</t>
        </is>
      </c>
      <c r="F1839" s="2" t="n">
        <v>0.986</v>
      </c>
      <c r="G1839" s="6" t="n">
        <v>25.33</v>
      </c>
      <c r="H1839" s="6">
        <f>F1839*G1839</f>
        <v/>
      </c>
      <c r="I1839">
        <f>_xlfn.XLOOKUP(A1839,MktTitle,MktCat,"n/a")</f>
        <v/>
      </c>
      <c r="J1839" s="3">
        <f>_xlfn.XLOOKUP(A1839,MktTitle,MktTotVol,0)</f>
        <v/>
      </c>
      <c r="K1839">
        <f>IF(H1839&gt;WhaleThreshold,"WHALE","")</f>
        <v/>
      </c>
    </row>
    <row r="1840">
      <c r="A1840" t="inlineStr">
        <is>
          <t>Will Belgium win the 2026 FIFA World Cup?</t>
        </is>
      </c>
      <c r="B1840" s="4" t="n">
        <v>46206</v>
      </c>
      <c r="C1840" s="5" t="n">
        <v>46206.0333912037</v>
      </c>
      <c r="D1840" t="inlineStr">
        <is>
          <t>BUY</t>
        </is>
      </c>
      <c r="E1840" t="inlineStr">
        <is>
          <t>No</t>
        </is>
      </c>
      <c r="F1840" s="2" t="n">
        <v>0.987</v>
      </c>
      <c r="G1840" s="6" t="n">
        <v>25.3292</v>
      </c>
      <c r="H1840" s="6">
        <f>F1840*G1840</f>
        <v/>
      </c>
      <c r="I1840">
        <f>_xlfn.XLOOKUP(A1840,MktTitle,MktCat,"n/a")</f>
        <v/>
      </c>
      <c r="J1840" s="3">
        <f>_xlfn.XLOOKUP(A1840,MktTitle,MktTotVol,0)</f>
        <v/>
      </c>
      <c r="K1840">
        <f>IF(H1840&gt;WhaleThreshold,"WHALE","")</f>
        <v/>
      </c>
    </row>
    <row r="1841">
      <c r="A1841" t="inlineStr">
        <is>
          <t>Will Belgium win the 2026 FIFA World Cup?</t>
        </is>
      </c>
      <c r="B1841" s="4" t="n">
        <v>46206</v>
      </c>
      <c r="C1841" s="5" t="n">
        <v>46206.03255787037</v>
      </c>
      <c r="D1841" t="inlineStr">
        <is>
          <t>SELL</t>
        </is>
      </c>
      <c r="E1841" t="inlineStr">
        <is>
          <t>No</t>
        </is>
      </c>
      <c r="F1841" s="2" t="n">
        <v>0.986</v>
      </c>
      <c r="G1841" s="6" t="n">
        <v>16.45</v>
      </c>
      <c r="H1841" s="6">
        <f>F1841*G1841</f>
        <v/>
      </c>
      <c r="I1841">
        <f>_xlfn.XLOOKUP(A1841,MktTitle,MktCat,"n/a")</f>
        <v/>
      </c>
      <c r="J1841" s="3">
        <f>_xlfn.XLOOKUP(A1841,MktTitle,MktTotVol,0)</f>
        <v/>
      </c>
      <c r="K1841">
        <f>IF(H1841&gt;WhaleThreshold,"WHALE","")</f>
        <v/>
      </c>
    </row>
    <row r="1842">
      <c r="A1842" t="inlineStr">
        <is>
          <t>Will Belgium win the 2026 FIFA World Cup?</t>
        </is>
      </c>
      <c r="B1842" s="4" t="n">
        <v>46206</v>
      </c>
      <c r="C1842" s="5" t="n">
        <v>46206.03224537037</v>
      </c>
      <c r="D1842" t="inlineStr">
        <is>
          <t>BUY</t>
        </is>
      </c>
      <c r="E1842" t="inlineStr">
        <is>
          <t>No</t>
        </is>
      </c>
      <c r="F1842" s="2" t="n">
        <v>0.987</v>
      </c>
      <c r="G1842" s="6" t="n">
        <v>16.45</v>
      </c>
      <c r="H1842" s="6">
        <f>F1842*G1842</f>
        <v/>
      </c>
      <c r="I1842">
        <f>_xlfn.XLOOKUP(A1842,MktTitle,MktCat,"n/a")</f>
        <v/>
      </c>
      <c r="J1842" s="3">
        <f>_xlfn.XLOOKUP(A1842,MktTitle,MktTotVol,0)</f>
        <v/>
      </c>
      <c r="K1842">
        <f>IF(H1842&gt;WhaleThreshold,"WHALE","")</f>
        <v/>
      </c>
    </row>
    <row r="1843">
      <c r="A1843" t="inlineStr">
        <is>
          <t>Will Belgium win the 2026 FIFA World Cup?</t>
        </is>
      </c>
      <c r="B1843" s="4" t="n">
        <v>46206</v>
      </c>
      <c r="C1843" s="5" t="n">
        <v>46206.03195601852</v>
      </c>
      <c r="D1843" t="inlineStr">
        <is>
          <t>SELL</t>
        </is>
      </c>
      <c r="E1843" t="inlineStr">
        <is>
          <t>No</t>
        </is>
      </c>
      <c r="F1843" s="2" t="n">
        <v>0.986</v>
      </c>
      <c r="G1843" s="6" t="n">
        <v>25.33</v>
      </c>
      <c r="H1843" s="6">
        <f>F1843*G1843</f>
        <v/>
      </c>
      <c r="I1843">
        <f>_xlfn.XLOOKUP(A1843,MktTitle,MktCat,"n/a")</f>
        <v/>
      </c>
      <c r="J1843" s="3">
        <f>_xlfn.XLOOKUP(A1843,MktTitle,MktTotVol,0)</f>
        <v/>
      </c>
      <c r="K1843">
        <f>IF(H1843&gt;WhaleThreshold,"WHALE","")</f>
        <v/>
      </c>
    </row>
    <row r="1844">
      <c r="A1844" t="inlineStr">
        <is>
          <t>Will Belgium win the 2026 FIFA World Cup?</t>
        </is>
      </c>
      <c r="B1844" s="4" t="n">
        <v>46206</v>
      </c>
      <c r="C1844" s="5" t="n">
        <v>46206.03172453704</v>
      </c>
      <c r="D1844" t="inlineStr">
        <is>
          <t>BUY</t>
        </is>
      </c>
      <c r="E1844" t="inlineStr">
        <is>
          <t>No</t>
        </is>
      </c>
      <c r="F1844" s="2" t="n">
        <v>0.987</v>
      </c>
      <c r="G1844" s="6" t="n">
        <v>25.3292</v>
      </c>
      <c r="H1844" s="6">
        <f>F1844*G1844</f>
        <v/>
      </c>
      <c r="I1844">
        <f>_xlfn.XLOOKUP(A1844,MktTitle,MktCat,"n/a")</f>
        <v/>
      </c>
      <c r="J1844" s="3">
        <f>_xlfn.XLOOKUP(A1844,MktTitle,MktTotVol,0)</f>
        <v/>
      </c>
      <c r="K1844">
        <f>IF(H1844&gt;WhaleThreshold,"WHALE","")</f>
        <v/>
      </c>
    </row>
    <row r="1845">
      <c r="A1845" t="inlineStr">
        <is>
          <t>Will Belgium win the 2026 FIFA World Cup?</t>
        </is>
      </c>
      <c r="B1845" s="4" t="n">
        <v>46206</v>
      </c>
      <c r="C1845" s="5" t="n">
        <v>46206.03092592592</v>
      </c>
      <c r="D1845" t="inlineStr">
        <is>
          <t>SELL</t>
        </is>
      </c>
      <c r="E1845" t="inlineStr">
        <is>
          <t>No</t>
        </is>
      </c>
      <c r="F1845" s="2" t="n">
        <v>0.986</v>
      </c>
      <c r="G1845" s="6" t="n">
        <v>25.32</v>
      </c>
      <c r="H1845" s="6">
        <f>F1845*G1845</f>
        <v/>
      </c>
      <c r="I1845">
        <f>_xlfn.XLOOKUP(A1845,MktTitle,MktCat,"n/a")</f>
        <v/>
      </c>
      <c r="J1845" s="3">
        <f>_xlfn.XLOOKUP(A1845,MktTitle,MktTotVol,0)</f>
        <v/>
      </c>
      <c r="K1845">
        <f>IF(H1845&gt;WhaleThreshold,"WHALE","")</f>
        <v/>
      </c>
    </row>
    <row r="1846">
      <c r="A1846" t="inlineStr">
        <is>
          <t>Will Belgium win the 2026 FIFA World Cup?</t>
        </is>
      </c>
      <c r="B1846" s="4" t="n">
        <v>46206</v>
      </c>
      <c r="C1846" s="5" t="n">
        <v>46206.03071759259</v>
      </c>
      <c r="D1846" t="inlineStr">
        <is>
          <t>BUY</t>
        </is>
      </c>
      <c r="E1846" t="inlineStr">
        <is>
          <t>No</t>
        </is>
      </c>
      <c r="F1846" s="2" t="n">
        <v>0.987</v>
      </c>
      <c r="G1846" s="6" t="n">
        <v>25.3292</v>
      </c>
      <c r="H1846" s="6">
        <f>F1846*G1846</f>
        <v/>
      </c>
      <c r="I1846">
        <f>_xlfn.XLOOKUP(A1846,MktTitle,MktCat,"n/a")</f>
        <v/>
      </c>
      <c r="J1846" s="3">
        <f>_xlfn.XLOOKUP(A1846,MktTitle,MktTotVol,0)</f>
        <v/>
      </c>
      <c r="K1846">
        <f>IF(H1846&gt;WhaleThreshold,"WHALE","")</f>
        <v/>
      </c>
    </row>
    <row r="1847">
      <c r="A1847" t="inlineStr">
        <is>
          <t>Will Belgium win the 2026 FIFA World Cup?</t>
        </is>
      </c>
      <c r="B1847" s="4" t="n">
        <v>46206</v>
      </c>
      <c r="C1847" s="5" t="n">
        <v>46206.0284837963</v>
      </c>
      <c r="D1847" t="inlineStr">
        <is>
          <t>BUY</t>
        </is>
      </c>
      <c r="E1847" t="inlineStr">
        <is>
          <t>No</t>
        </is>
      </c>
      <c r="F1847" s="2" t="n">
        <v>0.987</v>
      </c>
      <c r="G1847" s="6" t="n">
        <v>37.7305</v>
      </c>
      <c r="H1847" s="6">
        <f>F1847*G1847</f>
        <v/>
      </c>
      <c r="I1847">
        <f>_xlfn.XLOOKUP(A1847,MktTitle,MktCat,"n/a")</f>
        <v/>
      </c>
      <c r="J1847" s="3">
        <f>_xlfn.XLOOKUP(A1847,MktTitle,MktTotVol,0)</f>
        <v/>
      </c>
      <c r="K1847">
        <f>IF(H1847&gt;WhaleThreshold,"WHALE","")</f>
        <v/>
      </c>
    </row>
    <row r="1848">
      <c r="A1848" t="inlineStr">
        <is>
          <t>Will Belgium win the 2026 FIFA World Cup?</t>
        </is>
      </c>
      <c r="B1848" s="4" t="n">
        <v>46206</v>
      </c>
      <c r="C1848" s="5" t="n">
        <v>46206.02096064815</v>
      </c>
      <c r="D1848" t="inlineStr">
        <is>
          <t>BUY</t>
        </is>
      </c>
      <c r="E1848" t="inlineStr">
        <is>
          <t>Yes</t>
        </is>
      </c>
      <c r="F1848" s="2" t="n">
        <v>0.014</v>
      </c>
      <c r="G1848" s="6" t="n">
        <v>285</v>
      </c>
      <c r="H1848" s="6">
        <f>F1848*G1848</f>
        <v/>
      </c>
      <c r="I1848">
        <f>_xlfn.XLOOKUP(A1848,MktTitle,MktCat,"n/a")</f>
        <v/>
      </c>
      <c r="J1848" s="3">
        <f>_xlfn.XLOOKUP(A1848,MktTitle,MktTotVol,0)</f>
        <v/>
      </c>
      <c r="K1848">
        <f>IF(H1848&gt;WhaleThreshold,"WHALE","")</f>
        <v/>
      </c>
    </row>
    <row r="1849">
      <c r="A1849" t="inlineStr">
        <is>
          <t>Will Belgium win the 2026 FIFA World Cup?</t>
        </is>
      </c>
      <c r="B1849" s="4" t="n">
        <v>46206</v>
      </c>
      <c r="C1849" s="5" t="n">
        <v>46206.0183912037</v>
      </c>
      <c r="D1849" t="inlineStr">
        <is>
          <t>BUY</t>
        </is>
      </c>
      <c r="E1849" t="inlineStr">
        <is>
          <t>Yes</t>
        </is>
      </c>
      <c r="F1849" s="2" t="n">
        <v>0.014</v>
      </c>
      <c r="G1849" s="6" t="n">
        <v>357.1429</v>
      </c>
      <c r="H1849" s="6">
        <f>F1849*G1849</f>
        <v/>
      </c>
      <c r="I1849">
        <f>_xlfn.XLOOKUP(A1849,MktTitle,MktCat,"n/a")</f>
        <v/>
      </c>
      <c r="J1849" s="3">
        <f>_xlfn.XLOOKUP(A1849,MktTitle,MktTotVol,0)</f>
        <v/>
      </c>
      <c r="K1849">
        <f>IF(H1849&gt;WhaleThreshold,"WHALE","")</f>
        <v/>
      </c>
    </row>
    <row r="1850">
      <c r="A1850" t="inlineStr">
        <is>
          <t>Will Belgium win the 2026 FIFA World Cup?</t>
        </is>
      </c>
      <c r="B1850" s="4" t="n">
        <v>46206</v>
      </c>
      <c r="C1850" s="5" t="n">
        <v>46206.01817129629</v>
      </c>
      <c r="D1850" t="inlineStr">
        <is>
          <t>BUY</t>
        </is>
      </c>
      <c r="E1850" t="inlineStr">
        <is>
          <t>No</t>
        </is>
      </c>
      <c r="F1850" s="2" t="n">
        <v>0.987</v>
      </c>
      <c r="G1850" s="6" t="n">
        <v>40.233</v>
      </c>
      <c r="H1850" s="6">
        <f>F1850*G1850</f>
        <v/>
      </c>
      <c r="I1850">
        <f>_xlfn.XLOOKUP(A1850,MktTitle,MktCat,"n/a")</f>
        <v/>
      </c>
      <c r="J1850" s="3">
        <f>_xlfn.XLOOKUP(A1850,MktTitle,MktTotVol,0)</f>
        <v/>
      </c>
      <c r="K1850">
        <f>IF(H1850&gt;WhaleThreshold,"WHALE","")</f>
        <v/>
      </c>
    </row>
    <row r="1851">
      <c r="A1851" t="inlineStr">
        <is>
          <t>Will Belgium win the 2026 FIFA World Cup?</t>
        </is>
      </c>
      <c r="B1851" s="4" t="n">
        <v>46206</v>
      </c>
      <c r="C1851" s="5" t="n">
        <v>46206.01546296296</v>
      </c>
      <c r="D1851" t="inlineStr">
        <is>
          <t>BUY</t>
        </is>
      </c>
      <c r="E1851" t="inlineStr">
        <is>
          <t>Yes</t>
        </is>
      </c>
      <c r="F1851" s="2" t="n">
        <v>0.014</v>
      </c>
      <c r="G1851" s="6" t="n">
        <v>142.8571</v>
      </c>
      <c r="H1851" s="6">
        <f>F1851*G1851</f>
        <v/>
      </c>
      <c r="I1851">
        <f>_xlfn.XLOOKUP(A1851,MktTitle,MktCat,"n/a")</f>
        <v/>
      </c>
      <c r="J1851" s="3">
        <f>_xlfn.XLOOKUP(A1851,MktTitle,MktTotVol,0)</f>
        <v/>
      </c>
      <c r="K1851">
        <f>IF(H1851&gt;WhaleThreshold,"WHALE","")</f>
        <v/>
      </c>
    </row>
    <row r="1852">
      <c r="A1852" t="inlineStr">
        <is>
          <t>Will Belgium win the 2026 FIFA World Cup?</t>
        </is>
      </c>
      <c r="B1852" s="4" t="n">
        <v>46206</v>
      </c>
      <c r="C1852" s="5" t="n">
        <v>46206.0147337963</v>
      </c>
      <c r="D1852" t="inlineStr">
        <is>
          <t>SELL</t>
        </is>
      </c>
      <c r="E1852" t="inlineStr">
        <is>
          <t>No</t>
        </is>
      </c>
      <c r="F1852" s="2" t="n">
        <v>0.986</v>
      </c>
      <c r="G1852" s="6" t="n">
        <v>15.2</v>
      </c>
      <c r="H1852" s="6">
        <f>F1852*G1852</f>
        <v/>
      </c>
      <c r="I1852">
        <f>_xlfn.XLOOKUP(A1852,MktTitle,MktCat,"n/a")</f>
        <v/>
      </c>
      <c r="J1852" s="3">
        <f>_xlfn.XLOOKUP(A1852,MktTitle,MktTotVol,0)</f>
        <v/>
      </c>
      <c r="K1852">
        <f>IF(H1852&gt;WhaleThreshold,"WHALE","")</f>
        <v/>
      </c>
    </row>
    <row r="1853">
      <c r="A1853" t="inlineStr">
        <is>
          <t>Will Belgium win the 2026 FIFA World Cup?</t>
        </is>
      </c>
      <c r="B1853" s="4" t="n">
        <v>46206</v>
      </c>
      <c r="C1853" s="5" t="n">
        <v>46206.0144212963</v>
      </c>
      <c r="D1853" t="inlineStr">
        <is>
          <t>BUY</t>
        </is>
      </c>
      <c r="E1853" t="inlineStr">
        <is>
          <t>No</t>
        </is>
      </c>
      <c r="F1853" s="2" t="n">
        <v>0.987</v>
      </c>
      <c r="G1853" s="6" t="n">
        <v>15.1975</v>
      </c>
      <c r="H1853" s="6">
        <f>F1853*G1853</f>
        <v/>
      </c>
      <c r="I1853">
        <f>_xlfn.XLOOKUP(A1853,MktTitle,MktCat,"n/a")</f>
        <v/>
      </c>
      <c r="J1853" s="3">
        <f>_xlfn.XLOOKUP(A1853,MktTitle,MktTotVol,0)</f>
        <v/>
      </c>
      <c r="K1853">
        <f>IF(H1853&gt;WhaleThreshold,"WHALE","")</f>
        <v/>
      </c>
    </row>
    <row r="1854">
      <c r="A1854" t="inlineStr">
        <is>
          <t>Will Belgium win the 2026 FIFA World Cup?</t>
        </is>
      </c>
      <c r="B1854" s="4" t="n">
        <v>46206</v>
      </c>
      <c r="C1854" s="5" t="n">
        <v>46206.01275462963</v>
      </c>
      <c r="D1854" t="inlineStr">
        <is>
          <t>SELL</t>
        </is>
      </c>
      <c r="E1854" t="inlineStr">
        <is>
          <t>No</t>
        </is>
      </c>
      <c r="F1854" s="2" t="n">
        <v>0.986</v>
      </c>
      <c r="G1854" s="6" t="n">
        <v>15.2</v>
      </c>
      <c r="H1854" s="6">
        <f>F1854*G1854</f>
        <v/>
      </c>
      <c r="I1854">
        <f>_xlfn.XLOOKUP(A1854,MktTitle,MktCat,"n/a")</f>
        <v/>
      </c>
      <c r="J1854" s="3">
        <f>_xlfn.XLOOKUP(A1854,MktTitle,MktTotVol,0)</f>
        <v/>
      </c>
      <c r="K1854">
        <f>IF(H1854&gt;WhaleThreshold,"WHALE","")</f>
        <v/>
      </c>
    </row>
    <row r="1855">
      <c r="A1855" t="inlineStr">
        <is>
          <t>Will Belgium win the 2026 FIFA World Cup?</t>
        </is>
      </c>
      <c r="B1855" s="4" t="n">
        <v>46206</v>
      </c>
      <c r="C1855" s="5" t="n">
        <v>46206.01255787037</v>
      </c>
      <c r="D1855" t="inlineStr">
        <is>
          <t>BUY</t>
        </is>
      </c>
      <c r="E1855" t="inlineStr">
        <is>
          <t>No</t>
        </is>
      </c>
      <c r="F1855" s="2" t="n">
        <v>0.987</v>
      </c>
      <c r="G1855" s="6" t="n">
        <v>15.1975</v>
      </c>
      <c r="H1855" s="6">
        <f>F1855*G1855</f>
        <v/>
      </c>
      <c r="I1855">
        <f>_xlfn.XLOOKUP(A1855,MktTitle,MktCat,"n/a")</f>
        <v/>
      </c>
      <c r="J1855" s="3">
        <f>_xlfn.XLOOKUP(A1855,MktTitle,MktTotVol,0)</f>
        <v/>
      </c>
      <c r="K1855">
        <f>IF(H1855&gt;WhaleThreshold,"WHALE","")</f>
        <v/>
      </c>
    </row>
    <row r="1856">
      <c r="A1856" t="inlineStr">
        <is>
          <t>Will Belgium win the 2026 FIFA World Cup?</t>
        </is>
      </c>
      <c r="B1856" s="4" t="n">
        <v>46206</v>
      </c>
      <c r="C1856" s="5" t="n">
        <v>46206.01231481481</v>
      </c>
      <c r="D1856" t="inlineStr">
        <is>
          <t>SELL</t>
        </is>
      </c>
      <c r="E1856" t="inlineStr">
        <is>
          <t>No</t>
        </is>
      </c>
      <c r="F1856" s="2" t="n">
        <v>0.986</v>
      </c>
      <c r="G1856" s="6" t="n">
        <v>15.2</v>
      </c>
      <c r="H1856" s="6">
        <f>F1856*G1856</f>
        <v/>
      </c>
      <c r="I1856">
        <f>_xlfn.XLOOKUP(A1856,MktTitle,MktCat,"n/a")</f>
        <v/>
      </c>
      <c r="J1856" s="3">
        <f>_xlfn.XLOOKUP(A1856,MktTitle,MktTotVol,0)</f>
        <v/>
      </c>
      <c r="K1856">
        <f>IF(H1856&gt;WhaleThreshold,"WHALE","")</f>
        <v/>
      </c>
    </row>
    <row r="1857">
      <c r="A1857" t="inlineStr">
        <is>
          <t>Will Belgium win the 2026 FIFA World Cup?</t>
        </is>
      </c>
      <c r="B1857" s="4" t="n">
        <v>46206</v>
      </c>
      <c r="C1857" s="5" t="n">
        <v>46206.0113425926</v>
      </c>
      <c r="D1857" t="inlineStr">
        <is>
          <t>BUY</t>
        </is>
      </c>
      <c r="E1857" t="inlineStr">
        <is>
          <t>Yes</t>
        </is>
      </c>
      <c r="F1857" s="2" t="n">
        <v>0.014</v>
      </c>
      <c r="G1857" s="6" t="n">
        <v>71.4286</v>
      </c>
      <c r="H1857" s="6">
        <f>F1857*G1857</f>
        <v/>
      </c>
      <c r="I1857">
        <f>_xlfn.XLOOKUP(A1857,MktTitle,MktCat,"n/a")</f>
        <v/>
      </c>
      <c r="J1857" s="3">
        <f>_xlfn.XLOOKUP(A1857,MktTitle,MktTotVol,0)</f>
        <v/>
      </c>
      <c r="K1857">
        <f>IF(H1857&gt;WhaleThreshold,"WHALE","")</f>
        <v/>
      </c>
    </row>
    <row r="1858">
      <c r="A1858" t="inlineStr">
        <is>
          <t>Will Belgium win the 2026 FIFA World Cup?</t>
        </is>
      </c>
      <c r="B1858" s="4" t="n">
        <v>46206</v>
      </c>
      <c r="C1858" s="5" t="n">
        <v>46206.00938657407</v>
      </c>
      <c r="D1858" t="inlineStr">
        <is>
          <t>SELL</t>
        </is>
      </c>
      <c r="E1858" t="inlineStr">
        <is>
          <t>No</t>
        </is>
      </c>
      <c r="F1858" s="2" t="n">
        <v>0.986</v>
      </c>
      <c r="G1858" s="6" t="n">
        <v>20.22</v>
      </c>
      <c r="H1858" s="6">
        <f>F1858*G1858</f>
        <v/>
      </c>
      <c r="I1858">
        <f>_xlfn.XLOOKUP(A1858,MktTitle,MktCat,"n/a")</f>
        <v/>
      </c>
      <c r="J1858" s="3">
        <f>_xlfn.XLOOKUP(A1858,MktTitle,MktTotVol,0)</f>
        <v/>
      </c>
      <c r="K1858">
        <f>IF(H1858&gt;WhaleThreshold,"WHALE","")</f>
        <v/>
      </c>
    </row>
    <row r="1859">
      <c r="A1859" t="inlineStr">
        <is>
          <t>Will Belgium win the 2026 FIFA World Cup?</t>
        </is>
      </c>
      <c r="B1859" s="4" t="n">
        <v>46206</v>
      </c>
      <c r="C1859" s="5" t="n">
        <v>46206.0090162037</v>
      </c>
      <c r="D1859" t="inlineStr">
        <is>
          <t>BUY</t>
        </is>
      </c>
      <c r="E1859" t="inlineStr">
        <is>
          <t>No</t>
        </is>
      </c>
      <c r="F1859" s="2" t="n">
        <v>0.987</v>
      </c>
      <c r="G1859" s="6" t="n">
        <v>20.22</v>
      </c>
      <c r="H1859" s="6">
        <f>F1859*G1859</f>
        <v/>
      </c>
      <c r="I1859">
        <f>_xlfn.XLOOKUP(A1859,MktTitle,MktCat,"n/a")</f>
        <v/>
      </c>
      <c r="J1859" s="3">
        <f>_xlfn.XLOOKUP(A1859,MktTitle,MktTotVol,0)</f>
        <v/>
      </c>
      <c r="K1859">
        <f>IF(H1859&gt;WhaleThreshold,"WHALE","")</f>
        <v/>
      </c>
    </row>
    <row r="1860">
      <c r="A1860" t="inlineStr">
        <is>
          <t>Will Belgium win the 2026 FIFA World Cup?</t>
        </is>
      </c>
      <c r="B1860" s="4" t="n">
        <v>46206</v>
      </c>
      <c r="C1860" s="5" t="n">
        <v>46206.00900462963</v>
      </c>
      <c r="D1860" t="inlineStr">
        <is>
          <t>BUY</t>
        </is>
      </c>
      <c r="E1860" t="inlineStr">
        <is>
          <t>No</t>
        </is>
      </c>
      <c r="F1860" s="2" t="n">
        <v>0.987</v>
      </c>
      <c r="G1860" s="6" t="n">
        <v>15.1975</v>
      </c>
      <c r="H1860" s="6">
        <f>F1860*G1860</f>
        <v/>
      </c>
      <c r="I1860">
        <f>_xlfn.XLOOKUP(A1860,MktTitle,MktCat,"n/a")</f>
        <v/>
      </c>
      <c r="J1860" s="3">
        <f>_xlfn.XLOOKUP(A1860,MktTitle,MktTotVol,0)</f>
        <v/>
      </c>
      <c r="K1860">
        <f>IF(H1860&gt;WhaleThreshold,"WHALE","")</f>
        <v/>
      </c>
    </row>
    <row r="1861">
      <c r="A1861" t="inlineStr">
        <is>
          <t>Will Belgium win the 2026 FIFA World Cup?</t>
        </is>
      </c>
      <c r="B1861" s="4" t="n">
        <v>46206</v>
      </c>
      <c r="C1861" s="5" t="n">
        <v>46206.00082175926</v>
      </c>
      <c r="D1861" t="inlineStr">
        <is>
          <t>BUY</t>
        </is>
      </c>
      <c r="E1861" t="inlineStr">
        <is>
          <t>Yes</t>
        </is>
      </c>
      <c r="F1861" s="2" t="n">
        <v>0.014</v>
      </c>
      <c r="G1861" s="6" t="n">
        <v>1069</v>
      </c>
      <c r="H1861" s="6">
        <f>F1861*G1861</f>
        <v/>
      </c>
      <c r="I1861">
        <f>_xlfn.XLOOKUP(A1861,MktTitle,MktCat,"n/a")</f>
        <v/>
      </c>
      <c r="J1861" s="3">
        <f>_xlfn.XLOOKUP(A1861,MktTitle,MktTotVol,0)</f>
        <v/>
      </c>
      <c r="K1861">
        <f>IF(H1861&gt;WhaleThreshold,"WHALE","")</f>
        <v/>
      </c>
    </row>
    <row r="1862">
      <c r="A1862" t="inlineStr">
        <is>
          <t>Will Belgium win the 2026 FIFA World Cup?</t>
        </is>
      </c>
      <c r="B1862" s="4" t="n">
        <v>46206</v>
      </c>
      <c r="C1862" s="5" t="n">
        <v>46206.00049768519</v>
      </c>
      <c r="D1862" t="inlineStr">
        <is>
          <t>SELL</t>
        </is>
      </c>
      <c r="E1862" t="inlineStr">
        <is>
          <t>Yes</t>
        </is>
      </c>
      <c r="F1862" s="2" t="n">
        <v>0.013</v>
      </c>
      <c r="G1862" s="6" t="n">
        <v>98.56999999999999</v>
      </c>
      <c r="H1862" s="6">
        <f>F1862*G1862</f>
        <v/>
      </c>
      <c r="I1862">
        <f>_xlfn.XLOOKUP(A1862,MktTitle,MktCat,"n/a")</f>
        <v/>
      </c>
      <c r="J1862" s="3">
        <f>_xlfn.XLOOKUP(A1862,MktTitle,MktTotVol,0)</f>
        <v/>
      </c>
      <c r="K1862">
        <f>IF(H1862&gt;WhaleThreshold,"WHALE","")</f>
        <v/>
      </c>
    </row>
    <row r="1863">
      <c r="A1863" t="inlineStr">
        <is>
          <t>Will Belgium win the 2026 FIFA World Cup?</t>
        </is>
      </c>
      <c r="B1863" s="4" t="n">
        <v>46206</v>
      </c>
      <c r="C1863" s="5" t="n">
        <v>46206.00033564815</v>
      </c>
      <c r="D1863" t="inlineStr">
        <is>
          <t>BUY</t>
        </is>
      </c>
      <c r="E1863" t="inlineStr">
        <is>
          <t>No</t>
        </is>
      </c>
      <c r="F1863" s="2" t="n">
        <v>0.987</v>
      </c>
      <c r="G1863" s="6" t="n">
        <v>42.1378</v>
      </c>
      <c r="H1863" s="6">
        <f>F1863*G1863</f>
        <v/>
      </c>
      <c r="I1863">
        <f>_xlfn.XLOOKUP(A1863,MktTitle,MktCat,"n/a")</f>
        <v/>
      </c>
      <c r="J1863" s="3">
        <f>_xlfn.XLOOKUP(A1863,MktTitle,MktTotVol,0)</f>
        <v/>
      </c>
      <c r="K1863">
        <f>IF(H1863&gt;WhaleThreshold,"WHALE","")</f>
        <v/>
      </c>
    </row>
    <row r="1864">
      <c r="A1864" t="inlineStr">
        <is>
          <t>Will Belgium win the 2026 FIFA World Cup?</t>
        </is>
      </c>
      <c r="B1864" s="4" t="n">
        <v>46206</v>
      </c>
      <c r="C1864" s="5" t="n">
        <v>46206.00023148148</v>
      </c>
      <c r="D1864" t="inlineStr">
        <is>
          <t>BUY</t>
        </is>
      </c>
      <c r="E1864" t="inlineStr">
        <is>
          <t>Yes</t>
        </is>
      </c>
      <c r="F1864" s="2" t="n">
        <v>0.014</v>
      </c>
      <c r="G1864" s="6" t="n">
        <v>1642.8571</v>
      </c>
      <c r="H1864" s="6">
        <f>F1864*G1864</f>
        <v/>
      </c>
      <c r="I1864">
        <f>_xlfn.XLOOKUP(A1864,MktTitle,MktCat,"n/a")</f>
        <v/>
      </c>
      <c r="J1864" s="3">
        <f>_xlfn.XLOOKUP(A1864,MktTitle,MktTotVol,0)</f>
        <v/>
      </c>
      <c r="K1864">
        <f>IF(H1864&gt;WhaleThreshold,"WHALE","")</f>
        <v/>
      </c>
    </row>
    <row r="1865">
      <c r="A1865" t="inlineStr">
        <is>
          <t>Will Belgium win the 2026 FIFA World Cup?</t>
        </is>
      </c>
      <c r="B1865" s="4" t="n">
        <v>46205</v>
      </c>
      <c r="C1865" s="5" t="n">
        <v>46205.99431712963</v>
      </c>
      <c r="D1865" t="inlineStr">
        <is>
          <t>BUY</t>
        </is>
      </c>
      <c r="E1865" t="inlineStr">
        <is>
          <t>Yes</t>
        </is>
      </c>
      <c r="F1865" s="2" t="n">
        <v>0.014</v>
      </c>
      <c r="G1865" s="6" t="n">
        <v>346.4286</v>
      </c>
      <c r="H1865" s="6">
        <f>F1865*G1865</f>
        <v/>
      </c>
      <c r="I1865">
        <f>_xlfn.XLOOKUP(A1865,MktTitle,MktCat,"n/a")</f>
        <v/>
      </c>
      <c r="J1865" s="3">
        <f>_xlfn.XLOOKUP(A1865,MktTitle,MktTotVol,0)</f>
        <v/>
      </c>
      <c r="K1865">
        <f>IF(H1865&gt;WhaleThreshold,"WHALE","")</f>
        <v/>
      </c>
    </row>
    <row r="1866">
      <c r="A1866" t="inlineStr">
        <is>
          <t>Will Belgium win the 2026 FIFA World Cup?</t>
        </is>
      </c>
      <c r="B1866" s="4" t="n">
        <v>46205</v>
      </c>
      <c r="C1866" s="5" t="n">
        <v>46205.99290509259</v>
      </c>
      <c r="D1866" t="inlineStr">
        <is>
          <t>BUY</t>
        </is>
      </c>
      <c r="E1866" t="inlineStr">
        <is>
          <t>No</t>
        </is>
      </c>
      <c r="F1866" s="2" t="n">
        <v>0.987</v>
      </c>
      <c r="G1866" s="6" t="n">
        <v>45.6636</v>
      </c>
      <c r="H1866" s="6">
        <f>F1866*G1866</f>
        <v/>
      </c>
      <c r="I1866">
        <f>_xlfn.XLOOKUP(A1866,MktTitle,MktCat,"n/a")</f>
        <v/>
      </c>
      <c r="J1866" s="3">
        <f>_xlfn.XLOOKUP(A1866,MktTitle,MktTotVol,0)</f>
        <v/>
      </c>
      <c r="K1866">
        <f>IF(H1866&gt;WhaleThreshold,"WHALE","")</f>
        <v/>
      </c>
    </row>
    <row r="1867">
      <c r="A1867" t="inlineStr">
        <is>
          <t>Will Belgium win the 2026 FIFA World Cup?</t>
        </is>
      </c>
      <c r="B1867" s="4" t="n">
        <v>46205</v>
      </c>
      <c r="C1867" s="5" t="n">
        <v>46205.99043981481</v>
      </c>
      <c r="D1867" t="inlineStr">
        <is>
          <t>BUY</t>
        </is>
      </c>
      <c r="E1867" t="inlineStr">
        <is>
          <t>Yes</t>
        </is>
      </c>
      <c r="F1867" s="2" t="n">
        <v>0.014</v>
      </c>
      <c r="G1867" s="6" t="n">
        <v>71.4286</v>
      </c>
      <c r="H1867" s="6">
        <f>F1867*G1867</f>
        <v/>
      </c>
      <c r="I1867">
        <f>_xlfn.XLOOKUP(A1867,MktTitle,MktCat,"n/a")</f>
        <v/>
      </c>
      <c r="J1867" s="3">
        <f>_xlfn.XLOOKUP(A1867,MktTitle,MktTotVol,0)</f>
        <v/>
      </c>
      <c r="K1867">
        <f>IF(H1867&gt;WhaleThreshold,"WHALE","")</f>
        <v/>
      </c>
    </row>
    <row r="1868">
      <c r="A1868" t="inlineStr">
        <is>
          <t>Will Belgium win the 2026 FIFA World Cup?</t>
        </is>
      </c>
      <c r="B1868" s="4" t="n">
        <v>46205</v>
      </c>
      <c r="C1868" s="5" t="n">
        <v>46205.9874537037</v>
      </c>
      <c r="D1868" t="inlineStr">
        <is>
          <t>SELL</t>
        </is>
      </c>
      <c r="E1868" t="inlineStr">
        <is>
          <t>Yes</t>
        </is>
      </c>
      <c r="F1868" s="2" t="n">
        <v>0.013</v>
      </c>
      <c r="G1868" s="6" t="n">
        <v>129.16</v>
      </c>
      <c r="H1868" s="6">
        <f>F1868*G1868</f>
        <v/>
      </c>
      <c r="I1868">
        <f>_xlfn.XLOOKUP(A1868,MktTitle,MktCat,"n/a")</f>
        <v/>
      </c>
      <c r="J1868" s="3">
        <f>_xlfn.XLOOKUP(A1868,MktTitle,MktTotVol,0)</f>
        <v/>
      </c>
      <c r="K1868">
        <f>IF(H1868&gt;WhaleThreshold,"WHALE","")</f>
        <v/>
      </c>
    </row>
    <row r="1869">
      <c r="A1869" t="inlineStr">
        <is>
          <t>Will Belgium win the 2026 FIFA World Cup?</t>
        </is>
      </c>
      <c r="B1869" s="4" t="n">
        <v>46205</v>
      </c>
      <c r="C1869" s="5" t="n">
        <v>46205.97890046296</v>
      </c>
      <c r="D1869" t="inlineStr">
        <is>
          <t>SELL</t>
        </is>
      </c>
      <c r="E1869" t="inlineStr">
        <is>
          <t>Yes</t>
        </is>
      </c>
      <c r="F1869" s="2" t="n">
        <v>0.0132</v>
      </c>
      <c r="G1869" s="6" t="n">
        <v>42136.67</v>
      </c>
      <c r="H1869" s="6">
        <f>F1869*G1869</f>
        <v/>
      </c>
      <c r="I1869">
        <f>_xlfn.XLOOKUP(A1869,MktTitle,MktCat,"n/a")</f>
        <v/>
      </c>
      <c r="J1869" s="3">
        <f>_xlfn.XLOOKUP(A1869,MktTitle,MktTotVol,0)</f>
        <v/>
      </c>
      <c r="K1869">
        <f>IF(H1869&gt;WhaleThreshold,"WHALE","")</f>
        <v/>
      </c>
    </row>
    <row r="1870">
      <c r="A1870" t="inlineStr">
        <is>
          <t>Will Belgium win the 2026 FIFA World Cup?</t>
        </is>
      </c>
      <c r="B1870" s="4" t="n">
        <v>46205</v>
      </c>
      <c r="C1870" s="5" t="n">
        <v>46205.97578703704</v>
      </c>
      <c r="D1870" t="inlineStr">
        <is>
          <t>BUY</t>
        </is>
      </c>
      <c r="E1870" t="inlineStr">
        <is>
          <t>No</t>
        </is>
      </c>
      <c r="F1870" s="2" t="n">
        <v>0.986</v>
      </c>
      <c r="G1870" s="6" t="n">
        <v>51.86</v>
      </c>
      <c r="H1870" s="6">
        <f>F1870*G1870</f>
        <v/>
      </c>
      <c r="I1870">
        <f>_xlfn.XLOOKUP(A1870,MktTitle,MktCat,"n/a")</f>
        <v/>
      </c>
      <c r="J1870" s="3">
        <f>_xlfn.XLOOKUP(A1870,MktTitle,MktTotVol,0)</f>
        <v/>
      </c>
      <c r="K1870">
        <f>IF(H1870&gt;WhaleThreshold,"WHALE","")</f>
        <v/>
      </c>
    </row>
    <row r="1871">
      <c r="A1871" t="inlineStr">
        <is>
          <t>Will Belgium win the 2026 FIFA World Cup?</t>
        </is>
      </c>
      <c r="B1871" s="4" t="n">
        <v>46205</v>
      </c>
      <c r="C1871" s="5" t="n">
        <v>46205.97574074074</v>
      </c>
      <c r="D1871" t="inlineStr">
        <is>
          <t>BUY</t>
        </is>
      </c>
      <c r="E1871" t="inlineStr">
        <is>
          <t>No</t>
        </is>
      </c>
      <c r="F1871" s="2" t="n">
        <v>0.986</v>
      </c>
      <c r="G1871" s="6" t="n">
        <v>25.2</v>
      </c>
      <c r="H1871" s="6">
        <f>F1871*G1871</f>
        <v/>
      </c>
      <c r="I1871">
        <f>_xlfn.XLOOKUP(A1871,MktTitle,MktCat,"n/a")</f>
        <v/>
      </c>
      <c r="J1871" s="3">
        <f>_xlfn.XLOOKUP(A1871,MktTitle,MktTotVol,0)</f>
        <v/>
      </c>
      <c r="K1871">
        <f>IF(H1871&gt;WhaleThreshold,"WHALE","")</f>
        <v/>
      </c>
    </row>
    <row r="1872">
      <c r="A1872" t="inlineStr">
        <is>
          <t>Will Belgium win the 2026 FIFA World Cup?</t>
        </is>
      </c>
      <c r="B1872" s="4" t="n">
        <v>46205</v>
      </c>
      <c r="C1872" s="5" t="n">
        <v>46205.97571759259</v>
      </c>
      <c r="D1872" t="inlineStr">
        <is>
          <t>SELL</t>
        </is>
      </c>
      <c r="E1872" t="inlineStr">
        <is>
          <t>Yes</t>
        </is>
      </c>
      <c r="F1872" s="2" t="n">
        <v>0.014</v>
      </c>
      <c r="G1872" s="6" t="n">
        <v>812.5</v>
      </c>
      <c r="H1872" s="6">
        <f>F1872*G1872</f>
        <v/>
      </c>
      <c r="I1872">
        <f>_xlfn.XLOOKUP(A1872,MktTitle,MktCat,"n/a")</f>
        <v/>
      </c>
      <c r="J1872" s="3">
        <f>_xlfn.XLOOKUP(A1872,MktTitle,MktTotVol,0)</f>
        <v/>
      </c>
      <c r="K1872">
        <f>IF(H1872&gt;WhaleThreshold,"WHALE","")</f>
        <v/>
      </c>
    </row>
    <row r="1873">
      <c r="A1873" t="inlineStr">
        <is>
          <t>Will Belgium win the 2026 FIFA World Cup?</t>
        </is>
      </c>
      <c r="B1873" s="4" t="n">
        <v>46205</v>
      </c>
      <c r="C1873" s="5" t="n">
        <v>46205.97571759259</v>
      </c>
      <c r="D1873" t="inlineStr">
        <is>
          <t>BUY</t>
        </is>
      </c>
      <c r="E1873" t="inlineStr">
        <is>
          <t>No</t>
        </is>
      </c>
      <c r="F1873" s="2" t="n">
        <v>0.986</v>
      </c>
      <c r="G1873" s="6" t="n">
        <v>50.3</v>
      </c>
      <c r="H1873" s="6">
        <f>F1873*G1873</f>
        <v/>
      </c>
      <c r="I1873">
        <f>_xlfn.XLOOKUP(A1873,MktTitle,MktCat,"n/a")</f>
        <v/>
      </c>
      <c r="J1873" s="3">
        <f>_xlfn.XLOOKUP(A1873,MktTitle,MktTotVol,0)</f>
        <v/>
      </c>
      <c r="K1873">
        <f>IF(H1873&gt;WhaleThreshold,"WHALE","")</f>
        <v/>
      </c>
    </row>
    <row r="1874">
      <c r="A1874" t="inlineStr">
        <is>
          <t>Will Belgium win the 2026 FIFA World Cup?</t>
        </is>
      </c>
      <c r="B1874" s="4" t="n">
        <v>46205</v>
      </c>
      <c r="C1874" s="5" t="n">
        <v>46205.97571759259</v>
      </c>
      <c r="D1874" t="inlineStr">
        <is>
          <t>BUY</t>
        </is>
      </c>
      <c r="E1874" t="inlineStr">
        <is>
          <t>No</t>
        </is>
      </c>
      <c r="F1874" s="2" t="n">
        <v>0.986</v>
      </c>
      <c r="G1874" s="6" t="n">
        <v>2.95</v>
      </c>
      <c r="H1874" s="6">
        <f>F1874*G1874</f>
        <v/>
      </c>
      <c r="I1874">
        <f>_xlfn.XLOOKUP(A1874,MktTitle,MktCat,"n/a")</f>
        <v/>
      </c>
      <c r="J1874" s="3">
        <f>_xlfn.XLOOKUP(A1874,MktTitle,MktTotVol,0)</f>
        <v/>
      </c>
      <c r="K1874">
        <f>IF(H1874&gt;WhaleThreshold,"WHALE","")</f>
        <v/>
      </c>
    </row>
    <row r="1875">
      <c r="A1875" t="inlineStr">
        <is>
          <t>Will Belgium win the 2026 FIFA World Cup?</t>
        </is>
      </c>
      <c r="B1875" s="4" t="n">
        <v>46205</v>
      </c>
      <c r="C1875" s="5" t="n">
        <v>46205.97561342592</v>
      </c>
      <c r="D1875" t="inlineStr">
        <is>
          <t>SELL</t>
        </is>
      </c>
      <c r="E1875" t="inlineStr">
        <is>
          <t>Yes</t>
        </is>
      </c>
      <c r="F1875" s="2" t="n">
        <v>0.014</v>
      </c>
      <c r="G1875" s="6" t="n">
        <v>765.8200000000001</v>
      </c>
      <c r="H1875" s="6">
        <f>F1875*G1875</f>
        <v/>
      </c>
      <c r="I1875">
        <f>_xlfn.XLOOKUP(A1875,MktTitle,MktCat,"n/a")</f>
        <v/>
      </c>
      <c r="J1875" s="3">
        <f>_xlfn.XLOOKUP(A1875,MktTitle,MktTotVol,0)</f>
        <v/>
      </c>
      <c r="K1875">
        <f>IF(H1875&gt;WhaleThreshold,"WHALE","")</f>
        <v/>
      </c>
    </row>
    <row r="1876">
      <c r="A1876" t="inlineStr">
        <is>
          <t>Will Belgium win the 2026 FIFA World Cup?</t>
        </is>
      </c>
      <c r="B1876" s="4" t="n">
        <v>46205</v>
      </c>
      <c r="C1876" s="5" t="n">
        <v>46205.97532407408</v>
      </c>
      <c r="D1876" t="inlineStr">
        <is>
          <t>BUY</t>
        </is>
      </c>
      <c r="E1876" t="inlineStr">
        <is>
          <t>No</t>
        </is>
      </c>
      <c r="F1876" s="2" t="n">
        <v>0.986</v>
      </c>
      <c r="G1876" s="6" t="n">
        <v>2.99</v>
      </c>
      <c r="H1876" s="6">
        <f>F1876*G1876</f>
        <v/>
      </c>
      <c r="I1876">
        <f>_xlfn.XLOOKUP(A1876,MktTitle,MktCat,"n/a")</f>
        <v/>
      </c>
      <c r="J1876" s="3">
        <f>_xlfn.XLOOKUP(A1876,MktTitle,MktTotVol,0)</f>
        <v/>
      </c>
      <c r="K1876">
        <f>IF(H1876&gt;WhaleThreshold,"WHALE","")</f>
        <v/>
      </c>
    </row>
    <row r="1877">
      <c r="A1877" t="inlineStr">
        <is>
          <t>Will Belgium win the 2026 FIFA World Cup?</t>
        </is>
      </c>
      <c r="B1877" s="4" t="n">
        <v>46205</v>
      </c>
      <c r="C1877" s="5" t="n">
        <v>46205.97532407408</v>
      </c>
      <c r="D1877" t="inlineStr">
        <is>
          <t>BUY</t>
        </is>
      </c>
      <c r="E1877" t="inlineStr">
        <is>
          <t>No</t>
        </is>
      </c>
      <c r="F1877" s="2" t="n">
        <v>0.986</v>
      </c>
      <c r="G1877" s="6" t="n">
        <v>24.6</v>
      </c>
      <c r="H1877" s="6">
        <f>F1877*G1877</f>
        <v/>
      </c>
      <c r="I1877">
        <f>_xlfn.XLOOKUP(A1877,MktTitle,MktCat,"n/a")</f>
        <v/>
      </c>
      <c r="J1877" s="3">
        <f>_xlfn.XLOOKUP(A1877,MktTitle,MktTotVol,0)</f>
        <v/>
      </c>
      <c r="K1877">
        <f>IF(H1877&gt;WhaleThreshold,"WHALE","")</f>
        <v/>
      </c>
    </row>
    <row r="1878">
      <c r="A1878" t="inlineStr">
        <is>
          <t>Will Belgium win the 2026 FIFA World Cup?</t>
        </is>
      </c>
      <c r="B1878" s="4" t="n">
        <v>46205</v>
      </c>
      <c r="C1878" s="5" t="n">
        <v>46205.97528935185</v>
      </c>
      <c r="D1878" t="inlineStr">
        <is>
          <t>BUY</t>
        </is>
      </c>
      <c r="E1878" t="inlineStr">
        <is>
          <t>No</t>
        </is>
      </c>
      <c r="F1878" s="2" t="n">
        <v>0.986</v>
      </c>
      <c r="G1878" s="6" t="n">
        <v>49.2</v>
      </c>
      <c r="H1878" s="6">
        <f>F1878*G1878</f>
        <v/>
      </c>
      <c r="I1878">
        <f>_xlfn.XLOOKUP(A1878,MktTitle,MktCat,"n/a")</f>
        <v/>
      </c>
      <c r="J1878" s="3">
        <f>_xlfn.XLOOKUP(A1878,MktTitle,MktTotVol,0)</f>
        <v/>
      </c>
      <c r="K1878">
        <f>IF(H1878&gt;WhaleThreshold,"WHALE","")</f>
        <v/>
      </c>
    </row>
    <row r="1879">
      <c r="A1879" t="inlineStr">
        <is>
          <t>Will Belgium win the 2026 FIFA World Cup?</t>
        </is>
      </c>
      <c r="B1879" s="4" t="n">
        <v>46205</v>
      </c>
      <c r="C1879" s="5" t="n">
        <v>46205.97525462963</v>
      </c>
      <c r="D1879" t="inlineStr">
        <is>
          <t>BUY</t>
        </is>
      </c>
      <c r="E1879" t="inlineStr">
        <is>
          <t>No</t>
        </is>
      </c>
      <c r="F1879" s="2" t="n">
        <v>0.986</v>
      </c>
      <c r="G1879" s="6" t="n">
        <v>55.02</v>
      </c>
      <c r="H1879" s="6">
        <f>F1879*G1879</f>
        <v/>
      </c>
      <c r="I1879">
        <f>_xlfn.XLOOKUP(A1879,MktTitle,MktCat,"n/a")</f>
        <v/>
      </c>
      <c r="J1879" s="3">
        <f>_xlfn.XLOOKUP(A1879,MktTitle,MktTotVol,0)</f>
        <v/>
      </c>
      <c r="K1879">
        <f>IF(H1879&gt;WhaleThreshold,"WHALE","")</f>
        <v/>
      </c>
    </row>
    <row r="1880">
      <c r="A1880" t="inlineStr">
        <is>
          <t>Will Belgium win the 2026 FIFA World Cup?</t>
        </is>
      </c>
      <c r="B1880" s="4" t="n">
        <v>46205</v>
      </c>
      <c r="C1880" s="5" t="n">
        <v>46205.97518518518</v>
      </c>
      <c r="D1880" t="inlineStr">
        <is>
          <t>BUY</t>
        </is>
      </c>
      <c r="E1880" t="inlineStr">
        <is>
          <t>No</t>
        </is>
      </c>
      <c r="F1880" s="2" t="n">
        <v>0.986</v>
      </c>
      <c r="G1880" s="6" t="n">
        <v>10</v>
      </c>
      <c r="H1880" s="6">
        <f>F1880*G1880</f>
        <v/>
      </c>
      <c r="I1880">
        <f>_xlfn.XLOOKUP(A1880,MktTitle,MktCat,"n/a")</f>
        <v/>
      </c>
      <c r="J1880" s="3">
        <f>_xlfn.XLOOKUP(A1880,MktTitle,MktTotVol,0)</f>
        <v/>
      </c>
      <c r="K1880">
        <f>IF(H1880&gt;WhaleThreshold,"WHALE","")</f>
        <v/>
      </c>
    </row>
    <row r="1881">
      <c r="A1881" t="inlineStr">
        <is>
          <t>Will Belgium win the 2026 FIFA World Cup?</t>
        </is>
      </c>
      <c r="B1881" s="4" t="n">
        <v>46205</v>
      </c>
      <c r="C1881" s="5" t="n">
        <v>46205.97518518518</v>
      </c>
      <c r="D1881" t="inlineStr">
        <is>
          <t>BUY</t>
        </is>
      </c>
      <c r="E1881" t="inlineStr">
        <is>
          <t>No</t>
        </is>
      </c>
      <c r="F1881" s="2" t="n">
        <v>0.986</v>
      </c>
      <c r="G1881" s="6" t="n">
        <v>3.15</v>
      </c>
      <c r="H1881" s="6">
        <f>F1881*G1881</f>
        <v/>
      </c>
      <c r="I1881">
        <f>_xlfn.XLOOKUP(A1881,MktTitle,MktCat,"n/a")</f>
        <v/>
      </c>
      <c r="J1881" s="3">
        <f>_xlfn.XLOOKUP(A1881,MktTitle,MktTotVol,0)</f>
        <v/>
      </c>
      <c r="K1881">
        <f>IF(H1881&gt;WhaleThreshold,"WHALE","")</f>
        <v/>
      </c>
    </row>
    <row r="1882">
      <c r="A1882" t="inlineStr">
        <is>
          <t>Will Belgium win the 2026 FIFA World Cup?</t>
        </is>
      </c>
      <c r="B1882" s="4" t="n">
        <v>46205</v>
      </c>
      <c r="C1882" s="5" t="n">
        <v>46205.97515046296</v>
      </c>
      <c r="D1882" t="inlineStr">
        <is>
          <t>BUY</t>
        </is>
      </c>
      <c r="E1882" t="inlineStr">
        <is>
          <t>No</t>
        </is>
      </c>
      <c r="F1882" s="2" t="n">
        <v>0.986</v>
      </c>
      <c r="G1882" s="6" t="n">
        <v>90</v>
      </c>
      <c r="H1882" s="6">
        <f>F1882*G1882</f>
        <v/>
      </c>
      <c r="I1882">
        <f>_xlfn.XLOOKUP(A1882,MktTitle,MktCat,"n/a")</f>
        <v/>
      </c>
      <c r="J1882" s="3">
        <f>_xlfn.XLOOKUP(A1882,MktTitle,MktTotVol,0)</f>
        <v/>
      </c>
      <c r="K1882">
        <f>IF(H1882&gt;WhaleThreshold,"WHALE","")</f>
        <v/>
      </c>
    </row>
    <row r="1883">
      <c r="A1883" t="inlineStr">
        <is>
          <t>Will Belgium win the 2026 FIFA World Cup?</t>
        </is>
      </c>
      <c r="B1883" s="4" t="n">
        <v>46205</v>
      </c>
      <c r="C1883" s="5" t="n">
        <v>46205.97512731481</v>
      </c>
      <c r="D1883" t="inlineStr">
        <is>
          <t>BUY</t>
        </is>
      </c>
      <c r="E1883" t="inlineStr">
        <is>
          <t>No</t>
        </is>
      </c>
      <c r="F1883" s="2" t="n">
        <v>0.986</v>
      </c>
      <c r="G1883" s="6" t="n">
        <v>110</v>
      </c>
      <c r="H1883" s="6">
        <f>F1883*G1883</f>
        <v/>
      </c>
      <c r="I1883">
        <f>_xlfn.XLOOKUP(A1883,MktTitle,MktCat,"n/a")</f>
        <v/>
      </c>
      <c r="J1883" s="3">
        <f>_xlfn.XLOOKUP(A1883,MktTitle,MktTotVol,0)</f>
        <v/>
      </c>
      <c r="K1883">
        <f>IF(H1883&gt;WhaleThreshold,"WHALE","")</f>
        <v/>
      </c>
    </row>
    <row r="1884">
      <c r="A1884" t="inlineStr">
        <is>
          <t>Will Belgium win the 2026 FIFA World Cup?</t>
        </is>
      </c>
      <c r="B1884" s="4" t="n">
        <v>46205</v>
      </c>
      <c r="C1884" s="5" t="n">
        <v>46205.97512731481</v>
      </c>
      <c r="D1884" t="inlineStr">
        <is>
          <t>BUY</t>
        </is>
      </c>
      <c r="E1884" t="inlineStr">
        <is>
          <t>No</t>
        </is>
      </c>
      <c r="F1884" s="2" t="n">
        <v>0.986</v>
      </c>
      <c r="G1884" s="6" t="n">
        <v>24.9</v>
      </c>
      <c r="H1884" s="6">
        <f>F1884*G1884</f>
        <v/>
      </c>
      <c r="I1884">
        <f>_xlfn.XLOOKUP(A1884,MktTitle,MktCat,"n/a")</f>
        <v/>
      </c>
      <c r="J1884" s="3">
        <f>_xlfn.XLOOKUP(A1884,MktTitle,MktTotVol,0)</f>
        <v/>
      </c>
      <c r="K1884">
        <f>IF(H1884&gt;WhaleThreshold,"WHALE","")</f>
        <v/>
      </c>
    </row>
    <row r="1885">
      <c r="A1885" t="inlineStr">
        <is>
          <t>Will Belgium win the 2026 FIFA World Cup?</t>
        </is>
      </c>
      <c r="B1885" s="4" t="n">
        <v>46205</v>
      </c>
      <c r="C1885" s="5" t="n">
        <v>46205.97511574074</v>
      </c>
      <c r="D1885" t="inlineStr">
        <is>
          <t>BUY</t>
        </is>
      </c>
      <c r="E1885" t="inlineStr">
        <is>
          <t>No</t>
        </is>
      </c>
      <c r="F1885" s="2" t="n">
        <v>0.986</v>
      </c>
      <c r="G1885" s="6" t="n">
        <v>110</v>
      </c>
      <c r="H1885" s="6">
        <f>F1885*G1885</f>
        <v/>
      </c>
      <c r="I1885">
        <f>_xlfn.XLOOKUP(A1885,MktTitle,MktCat,"n/a")</f>
        <v/>
      </c>
      <c r="J1885" s="3">
        <f>_xlfn.XLOOKUP(A1885,MktTitle,MktTotVol,0)</f>
        <v/>
      </c>
      <c r="K1885">
        <f>IF(H1885&gt;WhaleThreshold,"WHALE","")</f>
        <v/>
      </c>
    </row>
    <row r="1886">
      <c r="A1886" t="inlineStr">
        <is>
          <t>Will Belgium win the 2026 FIFA World Cup?</t>
        </is>
      </c>
      <c r="B1886" s="4" t="n">
        <v>46205</v>
      </c>
      <c r="C1886" s="5" t="n">
        <v>46205.97511574074</v>
      </c>
      <c r="D1886" t="inlineStr">
        <is>
          <t>BUY</t>
        </is>
      </c>
      <c r="E1886" t="inlineStr">
        <is>
          <t>No</t>
        </is>
      </c>
      <c r="F1886" s="2" t="n">
        <v>0.986</v>
      </c>
      <c r="G1886" s="6" t="n">
        <v>49.8</v>
      </c>
      <c r="H1886" s="6">
        <f>F1886*G1886</f>
        <v/>
      </c>
      <c r="I1886">
        <f>_xlfn.XLOOKUP(A1886,MktTitle,MktCat,"n/a")</f>
        <v/>
      </c>
      <c r="J1886" s="3">
        <f>_xlfn.XLOOKUP(A1886,MktTitle,MktTotVol,0)</f>
        <v/>
      </c>
      <c r="K1886">
        <f>IF(H1886&gt;WhaleThreshold,"WHALE","")</f>
        <v/>
      </c>
    </row>
    <row r="1887">
      <c r="A1887" t="inlineStr">
        <is>
          <t>Will Belgium win the 2026 FIFA World Cup?</t>
        </is>
      </c>
      <c r="B1887" s="4" t="n">
        <v>46205</v>
      </c>
      <c r="C1887" s="5" t="n">
        <v>46205.97511574074</v>
      </c>
      <c r="D1887" t="inlineStr">
        <is>
          <t>BUY</t>
        </is>
      </c>
      <c r="E1887" t="inlineStr">
        <is>
          <t>No</t>
        </is>
      </c>
      <c r="F1887" s="2" t="n">
        <v>0.986</v>
      </c>
      <c r="G1887" s="6" t="n">
        <v>110</v>
      </c>
      <c r="H1887" s="6">
        <f>F1887*G1887</f>
        <v/>
      </c>
      <c r="I1887">
        <f>_xlfn.XLOOKUP(A1887,MktTitle,MktCat,"n/a")</f>
        <v/>
      </c>
      <c r="J1887" s="3">
        <f>_xlfn.XLOOKUP(A1887,MktTitle,MktTotVol,0)</f>
        <v/>
      </c>
      <c r="K1887">
        <f>IF(H1887&gt;WhaleThreshold,"WHALE","")</f>
        <v/>
      </c>
    </row>
    <row r="1888">
      <c r="A1888" t="inlineStr">
        <is>
          <t>Will Belgium win the 2026 FIFA World Cup?</t>
        </is>
      </c>
      <c r="B1888" s="4" t="n">
        <v>46205</v>
      </c>
      <c r="C1888" s="5" t="n">
        <v>46205.97511574074</v>
      </c>
      <c r="D1888" t="inlineStr">
        <is>
          <t>BUY</t>
        </is>
      </c>
      <c r="E1888" t="inlineStr">
        <is>
          <t>No</t>
        </is>
      </c>
      <c r="F1888" s="2" t="n">
        <v>0.986</v>
      </c>
      <c r="G1888" s="6" t="n">
        <v>110</v>
      </c>
      <c r="H1888" s="6">
        <f>F1888*G1888</f>
        <v/>
      </c>
      <c r="I1888">
        <f>_xlfn.XLOOKUP(A1888,MktTitle,MktCat,"n/a")</f>
        <v/>
      </c>
      <c r="J1888" s="3">
        <f>_xlfn.XLOOKUP(A1888,MktTitle,MktTotVol,0)</f>
        <v/>
      </c>
      <c r="K1888">
        <f>IF(H1888&gt;WhaleThreshold,"WHALE","")</f>
        <v/>
      </c>
    </row>
    <row r="1889">
      <c r="A1889" t="inlineStr">
        <is>
          <t>Will Belgium win the 2026 FIFA World Cup?</t>
        </is>
      </c>
      <c r="B1889" s="4" t="n">
        <v>46205</v>
      </c>
      <c r="C1889" s="5" t="n">
        <v>46205.97511574074</v>
      </c>
      <c r="D1889" t="inlineStr">
        <is>
          <t>BUY</t>
        </is>
      </c>
      <c r="E1889" t="inlineStr">
        <is>
          <t>No</t>
        </is>
      </c>
      <c r="F1889" s="2" t="n">
        <v>0.986</v>
      </c>
      <c r="G1889" s="6" t="n">
        <v>58.02</v>
      </c>
      <c r="H1889" s="6">
        <f>F1889*G1889</f>
        <v/>
      </c>
      <c r="I1889">
        <f>_xlfn.XLOOKUP(A1889,MktTitle,MktCat,"n/a")</f>
        <v/>
      </c>
      <c r="J1889" s="3">
        <f>_xlfn.XLOOKUP(A1889,MktTitle,MktTotVol,0)</f>
        <v/>
      </c>
      <c r="K1889">
        <f>IF(H1889&gt;WhaleThreshold,"WHALE","")</f>
        <v/>
      </c>
    </row>
    <row r="1890">
      <c r="A1890" t="inlineStr">
        <is>
          <t>Will Belgium win the 2026 FIFA World Cup?</t>
        </is>
      </c>
      <c r="B1890" s="4" t="n">
        <v>46205</v>
      </c>
      <c r="C1890" s="5" t="n">
        <v>46205.97497685185</v>
      </c>
      <c r="D1890" t="inlineStr">
        <is>
          <t>BUY</t>
        </is>
      </c>
      <c r="E1890" t="inlineStr">
        <is>
          <t>No</t>
        </is>
      </c>
      <c r="F1890" s="2" t="n">
        <v>0.986</v>
      </c>
      <c r="G1890" s="6" t="n">
        <v>73.59999999999999</v>
      </c>
      <c r="H1890" s="6">
        <f>F1890*G1890</f>
        <v/>
      </c>
      <c r="I1890">
        <f>_xlfn.XLOOKUP(A1890,MktTitle,MktCat,"n/a")</f>
        <v/>
      </c>
      <c r="J1890" s="3">
        <f>_xlfn.XLOOKUP(A1890,MktTitle,MktTotVol,0)</f>
        <v/>
      </c>
      <c r="K1890">
        <f>IF(H1890&gt;WhaleThreshold,"WHALE","")</f>
        <v/>
      </c>
    </row>
    <row r="1891">
      <c r="A1891" t="inlineStr">
        <is>
          <t>Will Belgium win the 2026 FIFA World Cup?</t>
        </is>
      </c>
      <c r="B1891" s="4" t="n">
        <v>46205</v>
      </c>
      <c r="C1891" s="5" t="n">
        <v>46205.97497685185</v>
      </c>
      <c r="D1891" t="inlineStr">
        <is>
          <t>BUY</t>
        </is>
      </c>
      <c r="E1891" t="inlineStr">
        <is>
          <t>No</t>
        </is>
      </c>
      <c r="F1891" s="2" t="n">
        <v>0.986</v>
      </c>
      <c r="G1891" s="6" t="n">
        <v>107</v>
      </c>
      <c r="H1891" s="6">
        <f>F1891*G1891</f>
        <v/>
      </c>
      <c r="I1891">
        <f>_xlfn.XLOOKUP(A1891,MktTitle,MktCat,"n/a")</f>
        <v/>
      </c>
      <c r="J1891" s="3">
        <f>_xlfn.XLOOKUP(A1891,MktTitle,MktTotVol,0)</f>
        <v/>
      </c>
      <c r="K1891">
        <f>IF(H1891&gt;WhaleThreshold,"WHALE","")</f>
        <v/>
      </c>
    </row>
    <row r="1892">
      <c r="A1892" t="inlineStr">
        <is>
          <t>Will Belgium win the 2026 FIFA World Cup?</t>
        </is>
      </c>
      <c r="B1892" s="4" t="n">
        <v>46205</v>
      </c>
      <c r="C1892" s="5" t="n">
        <v>46205.97497685185</v>
      </c>
      <c r="D1892" t="inlineStr">
        <is>
          <t>BUY</t>
        </is>
      </c>
      <c r="E1892" t="inlineStr">
        <is>
          <t>No</t>
        </is>
      </c>
      <c r="F1892" s="2" t="n">
        <v>0.986</v>
      </c>
      <c r="G1892" s="6" t="n">
        <v>9</v>
      </c>
      <c r="H1892" s="6">
        <f>F1892*G1892</f>
        <v/>
      </c>
      <c r="I1892">
        <f>_xlfn.XLOOKUP(A1892,MktTitle,MktCat,"n/a")</f>
        <v/>
      </c>
      <c r="J1892" s="3">
        <f>_xlfn.XLOOKUP(A1892,MktTitle,MktTotVol,0)</f>
        <v/>
      </c>
      <c r="K1892">
        <f>IF(H1892&gt;WhaleThreshold,"WHALE","")</f>
        <v/>
      </c>
    </row>
    <row r="1893">
      <c r="A1893" t="inlineStr">
        <is>
          <t>Will Belgium win the 2026 FIFA World Cup?</t>
        </is>
      </c>
      <c r="B1893" s="4" t="n">
        <v>46205</v>
      </c>
      <c r="C1893" s="5" t="n">
        <v>46205.97453703704</v>
      </c>
      <c r="D1893" t="inlineStr">
        <is>
          <t>BUY</t>
        </is>
      </c>
      <c r="E1893" t="inlineStr">
        <is>
          <t>No</t>
        </is>
      </c>
      <c r="F1893" s="2" t="n">
        <v>0.986</v>
      </c>
      <c r="G1893" s="6" t="n">
        <v>10</v>
      </c>
      <c r="H1893" s="6">
        <f>F1893*G1893</f>
        <v/>
      </c>
      <c r="I1893">
        <f>_xlfn.XLOOKUP(A1893,MktTitle,MktCat,"n/a")</f>
        <v/>
      </c>
      <c r="J1893" s="3">
        <f>_xlfn.XLOOKUP(A1893,MktTitle,MktTotVol,0)</f>
        <v/>
      </c>
      <c r="K1893">
        <f>IF(H1893&gt;WhaleThreshold,"WHALE","")</f>
        <v/>
      </c>
    </row>
    <row r="1894">
      <c r="A1894" t="inlineStr">
        <is>
          <t>Will Belgium win the 2026 FIFA World Cup?</t>
        </is>
      </c>
      <c r="B1894" s="4" t="n">
        <v>46205</v>
      </c>
      <c r="C1894" s="5" t="n">
        <v>46205.97453703704</v>
      </c>
      <c r="D1894" t="inlineStr">
        <is>
          <t>BUY</t>
        </is>
      </c>
      <c r="E1894" t="inlineStr">
        <is>
          <t>No</t>
        </is>
      </c>
      <c r="F1894" s="2" t="n">
        <v>0.986</v>
      </c>
      <c r="G1894" s="6" t="n">
        <v>15</v>
      </c>
      <c r="H1894" s="6">
        <f>F1894*G1894</f>
        <v/>
      </c>
      <c r="I1894">
        <f>_xlfn.XLOOKUP(A1894,MktTitle,MktCat,"n/a")</f>
        <v/>
      </c>
      <c r="J1894" s="3">
        <f>_xlfn.XLOOKUP(A1894,MktTitle,MktTotVol,0)</f>
        <v/>
      </c>
      <c r="K1894">
        <f>IF(H1894&gt;WhaleThreshold,"WHALE","")</f>
        <v/>
      </c>
    </row>
    <row r="1895">
      <c r="A1895" t="inlineStr">
        <is>
          <t>Will Belgium win the 2026 FIFA World Cup?</t>
        </is>
      </c>
      <c r="B1895" s="4" t="n">
        <v>46205</v>
      </c>
      <c r="C1895" s="5" t="n">
        <v>46205.97273148148</v>
      </c>
      <c r="D1895" t="inlineStr">
        <is>
          <t>BUY</t>
        </is>
      </c>
      <c r="E1895" t="inlineStr">
        <is>
          <t>No</t>
        </is>
      </c>
      <c r="F1895" s="2" t="n">
        <v>0.986</v>
      </c>
      <c r="G1895" s="6" t="n">
        <v>20</v>
      </c>
      <c r="H1895" s="6">
        <f>F1895*G1895</f>
        <v/>
      </c>
      <c r="I1895">
        <f>_xlfn.XLOOKUP(A1895,MktTitle,MktCat,"n/a")</f>
        <v/>
      </c>
      <c r="J1895" s="3">
        <f>_xlfn.XLOOKUP(A1895,MktTitle,MktTotVol,0)</f>
        <v/>
      </c>
      <c r="K1895">
        <f>IF(H1895&gt;WhaleThreshold,"WHALE","")</f>
        <v/>
      </c>
    </row>
    <row r="1896">
      <c r="A1896" t="inlineStr">
        <is>
          <t>Will Belgium win the 2026 FIFA World Cup?</t>
        </is>
      </c>
      <c r="B1896" s="4" t="n">
        <v>46205</v>
      </c>
      <c r="C1896" s="5" t="n">
        <v>46205.97252314815</v>
      </c>
      <c r="D1896" t="inlineStr">
        <is>
          <t>BUY</t>
        </is>
      </c>
      <c r="E1896" t="inlineStr">
        <is>
          <t>No</t>
        </is>
      </c>
      <c r="F1896" s="2" t="n">
        <v>0.986</v>
      </c>
      <c r="G1896" s="6" t="n">
        <v>10</v>
      </c>
      <c r="H1896" s="6">
        <f>F1896*G1896</f>
        <v/>
      </c>
      <c r="I1896">
        <f>_xlfn.XLOOKUP(A1896,MktTitle,MktCat,"n/a")</f>
        <v/>
      </c>
      <c r="J1896" s="3">
        <f>_xlfn.XLOOKUP(A1896,MktTitle,MktTotVol,0)</f>
        <v/>
      </c>
      <c r="K1896">
        <f>IF(H1896&gt;WhaleThreshold,"WHALE","")</f>
        <v/>
      </c>
    </row>
    <row r="1897">
      <c r="A1897" t="inlineStr">
        <is>
          <t>Will Belgium win the 2026 FIFA World Cup?</t>
        </is>
      </c>
      <c r="B1897" s="4" t="n">
        <v>46205</v>
      </c>
      <c r="C1897" s="5" t="n">
        <v>46205.97251157407</v>
      </c>
      <c r="D1897" t="inlineStr">
        <is>
          <t>BUY</t>
        </is>
      </c>
      <c r="E1897" t="inlineStr">
        <is>
          <t>No</t>
        </is>
      </c>
      <c r="F1897" s="2" t="n">
        <v>0.986</v>
      </c>
      <c r="G1897" s="6" t="n">
        <v>18</v>
      </c>
      <c r="H1897" s="6">
        <f>F1897*G1897</f>
        <v/>
      </c>
      <c r="I1897">
        <f>_xlfn.XLOOKUP(A1897,MktTitle,MktCat,"n/a")</f>
        <v/>
      </c>
      <c r="J1897" s="3">
        <f>_xlfn.XLOOKUP(A1897,MktTitle,MktTotVol,0)</f>
        <v/>
      </c>
      <c r="K1897">
        <f>IF(H1897&gt;WhaleThreshold,"WHALE","")</f>
        <v/>
      </c>
    </row>
    <row r="1898">
      <c r="A1898" t="inlineStr">
        <is>
          <t>Will Belgium win the 2026 FIFA World Cup?</t>
        </is>
      </c>
      <c r="B1898" s="4" t="n">
        <v>46205</v>
      </c>
      <c r="C1898" s="5" t="n">
        <v>46205.97015046296</v>
      </c>
      <c r="D1898" t="inlineStr">
        <is>
          <t>BUY</t>
        </is>
      </c>
      <c r="E1898" t="inlineStr">
        <is>
          <t>No</t>
        </is>
      </c>
      <c r="F1898" s="2" t="n">
        <v>0.986</v>
      </c>
      <c r="G1898" s="6" t="n">
        <v>40</v>
      </c>
      <c r="H1898" s="6">
        <f>F1898*G1898</f>
        <v/>
      </c>
      <c r="I1898">
        <f>_xlfn.XLOOKUP(A1898,MktTitle,MktCat,"n/a")</f>
        <v/>
      </c>
      <c r="J1898" s="3">
        <f>_xlfn.XLOOKUP(A1898,MktTitle,MktTotVol,0)</f>
        <v/>
      </c>
      <c r="K1898">
        <f>IF(H1898&gt;WhaleThreshold,"WHALE","")</f>
        <v/>
      </c>
    </row>
    <row r="1899">
      <c r="A1899" t="inlineStr">
        <is>
          <t>Will Belgium win the 2026 FIFA World Cup?</t>
        </is>
      </c>
      <c r="B1899" s="4" t="n">
        <v>46205</v>
      </c>
      <c r="C1899" s="5" t="n">
        <v>46205.97012731482</v>
      </c>
      <c r="D1899" t="inlineStr">
        <is>
          <t>BUY</t>
        </is>
      </c>
      <c r="E1899" t="inlineStr">
        <is>
          <t>No</t>
        </is>
      </c>
      <c r="F1899" s="2" t="n">
        <v>0.986</v>
      </c>
      <c r="G1899" s="6" t="n">
        <v>5</v>
      </c>
      <c r="H1899" s="6">
        <f>F1899*G1899</f>
        <v/>
      </c>
      <c r="I1899">
        <f>_xlfn.XLOOKUP(A1899,MktTitle,MktCat,"n/a")</f>
        <v/>
      </c>
      <c r="J1899" s="3">
        <f>_xlfn.XLOOKUP(A1899,MktTitle,MktTotVol,0)</f>
        <v/>
      </c>
      <c r="K1899">
        <f>IF(H1899&gt;WhaleThreshold,"WHALE","")</f>
        <v/>
      </c>
    </row>
    <row r="1900">
      <c r="A1900" t="inlineStr">
        <is>
          <t>Will Belgium win the 2026 FIFA World Cup?</t>
        </is>
      </c>
      <c r="B1900" s="4" t="n">
        <v>46205</v>
      </c>
      <c r="C1900" s="5" t="n">
        <v>46205.97011574074</v>
      </c>
      <c r="D1900" t="inlineStr">
        <is>
          <t>BUY</t>
        </is>
      </c>
      <c r="E1900" t="inlineStr">
        <is>
          <t>No</t>
        </is>
      </c>
      <c r="F1900" s="2" t="n">
        <v>0.986</v>
      </c>
      <c r="G1900" s="6" t="n">
        <v>20</v>
      </c>
      <c r="H1900" s="6">
        <f>F1900*G1900</f>
        <v/>
      </c>
      <c r="I1900">
        <f>_xlfn.XLOOKUP(A1900,MktTitle,MktCat,"n/a")</f>
        <v/>
      </c>
      <c r="J1900" s="3">
        <f>_xlfn.XLOOKUP(A1900,MktTitle,MktTotVol,0)</f>
        <v/>
      </c>
      <c r="K1900">
        <f>IF(H1900&gt;WhaleThreshold,"WHALE","")</f>
        <v/>
      </c>
    </row>
    <row r="1901">
      <c r="A1901" t="inlineStr">
        <is>
          <t>Will Belgium win the 2026 FIFA World Cup?</t>
        </is>
      </c>
      <c r="B1901" s="4" t="n">
        <v>46205</v>
      </c>
      <c r="C1901" s="5" t="n">
        <v>46205.97011574074</v>
      </c>
      <c r="D1901" t="inlineStr">
        <is>
          <t>BUY</t>
        </is>
      </c>
      <c r="E1901" t="inlineStr">
        <is>
          <t>No</t>
        </is>
      </c>
      <c r="F1901" s="2" t="n">
        <v>0.986</v>
      </c>
      <c r="G1901" s="6" t="n">
        <v>25.3</v>
      </c>
      <c r="H1901" s="6">
        <f>F1901*G1901</f>
        <v/>
      </c>
      <c r="I1901">
        <f>_xlfn.XLOOKUP(A1901,MktTitle,MktCat,"n/a")</f>
        <v/>
      </c>
      <c r="J1901" s="3">
        <f>_xlfn.XLOOKUP(A1901,MktTitle,MktTotVol,0)</f>
        <v/>
      </c>
      <c r="K1901">
        <f>IF(H1901&gt;WhaleThreshold,"WHALE","")</f>
        <v/>
      </c>
    </row>
    <row r="1902">
      <c r="A1902" t="inlineStr">
        <is>
          <t>Will Belgium win the 2026 FIFA World Cup?</t>
        </is>
      </c>
      <c r="B1902" s="4" t="n">
        <v>46205</v>
      </c>
      <c r="C1902" s="5" t="n">
        <v>46205.97009259259</v>
      </c>
      <c r="D1902" t="inlineStr">
        <is>
          <t>BUY</t>
        </is>
      </c>
      <c r="E1902" t="inlineStr">
        <is>
          <t>No</t>
        </is>
      </c>
      <c r="F1902" s="2" t="n">
        <v>0.986</v>
      </c>
      <c r="G1902" s="6" t="n">
        <v>10</v>
      </c>
      <c r="H1902" s="6">
        <f>F1902*G1902</f>
        <v/>
      </c>
      <c r="I1902">
        <f>_xlfn.XLOOKUP(A1902,MktTitle,MktCat,"n/a")</f>
        <v/>
      </c>
      <c r="J1902" s="3">
        <f>_xlfn.XLOOKUP(A1902,MktTitle,MktTotVol,0)</f>
        <v/>
      </c>
      <c r="K1902">
        <f>IF(H1902&gt;WhaleThreshold,"WHALE","")</f>
        <v/>
      </c>
    </row>
    <row r="1903">
      <c r="A1903" t="inlineStr">
        <is>
          <t>Will Belgium win the 2026 FIFA World Cup?</t>
        </is>
      </c>
      <c r="B1903" s="4" t="n">
        <v>46205</v>
      </c>
      <c r="C1903" s="5" t="n">
        <v>46205.97009259259</v>
      </c>
      <c r="D1903" t="inlineStr">
        <is>
          <t>BUY</t>
        </is>
      </c>
      <c r="E1903" t="inlineStr">
        <is>
          <t>No</t>
        </is>
      </c>
      <c r="F1903" s="2" t="n">
        <v>0.986</v>
      </c>
      <c r="G1903" s="6" t="n">
        <v>60</v>
      </c>
      <c r="H1903" s="6">
        <f>F1903*G1903</f>
        <v/>
      </c>
      <c r="I1903">
        <f>_xlfn.XLOOKUP(A1903,MktTitle,MktCat,"n/a")</f>
        <v/>
      </c>
      <c r="J1903" s="3">
        <f>_xlfn.XLOOKUP(A1903,MktTitle,MktTotVol,0)</f>
        <v/>
      </c>
      <c r="K1903">
        <f>IF(H1903&gt;WhaleThreshold,"WHALE","")</f>
        <v/>
      </c>
    </row>
    <row r="1904">
      <c r="A1904" t="inlineStr">
        <is>
          <t>Will Belgium win the 2026 FIFA World Cup?</t>
        </is>
      </c>
      <c r="B1904" s="4" t="n">
        <v>46205</v>
      </c>
      <c r="C1904" s="5" t="n">
        <v>46205.97005787037</v>
      </c>
      <c r="D1904" t="inlineStr">
        <is>
          <t>BUY</t>
        </is>
      </c>
      <c r="E1904" t="inlineStr">
        <is>
          <t>No</t>
        </is>
      </c>
      <c r="F1904" s="2" t="n">
        <v>0.986</v>
      </c>
      <c r="G1904" s="6" t="n">
        <v>5</v>
      </c>
      <c r="H1904" s="6">
        <f>F1904*G1904</f>
        <v/>
      </c>
      <c r="I1904">
        <f>_xlfn.XLOOKUP(A1904,MktTitle,MktCat,"n/a")</f>
        <v/>
      </c>
      <c r="J1904" s="3">
        <f>_xlfn.XLOOKUP(A1904,MktTitle,MktTotVol,0)</f>
        <v/>
      </c>
      <c r="K1904">
        <f>IF(H1904&gt;WhaleThreshold,"WHALE","")</f>
        <v/>
      </c>
    </row>
    <row r="1905">
      <c r="A1905" t="inlineStr">
        <is>
          <t>Will Belgium win the 2026 FIFA World Cup?</t>
        </is>
      </c>
      <c r="B1905" s="4" t="n">
        <v>46205</v>
      </c>
      <c r="C1905" s="5" t="n">
        <v>46205.97005787037</v>
      </c>
      <c r="D1905" t="inlineStr">
        <is>
          <t>BUY</t>
        </is>
      </c>
      <c r="E1905" t="inlineStr">
        <is>
          <t>No</t>
        </is>
      </c>
      <c r="F1905" s="2" t="n">
        <v>0.986</v>
      </c>
      <c r="G1905" s="6" t="n">
        <v>5</v>
      </c>
      <c r="H1905" s="6">
        <f>F1905*G1905</f>
        <v/>
      </c>
      <c r="I1905">
        <f>_xlfn.XLOOKUP(A1905,MktTitle,MktCat,"n/a")</f>
        <v/>
      </c>
      <c r="J1905" s="3">
        <f>_xlfn.XLOOKUP(A1905,MktTitle,MktTotVol,0)</f>
        <v/>
      </c>
      <c r="K1905">
        <f>IF(H1905&gt;WhaleThreshold,"WHALE","")</f>
        <v/>
      </c>
    </row>
    <row r="1906">
      <c r="A1906" t="inlineStr">
        <is>
          <t>Will Belgium win the 2026 FIFA World Cup?</t>
        </is>
      </c>
      <c r="B1906" s="4" t="n">
        <v>46205</v>
      </c>
      <c r="C1906" s="5" t="n">
        <v>46205.97004629629</v>
      </c>
      <c r="D1906" t="inlineStr">
        <is>
          <t>BUY</t>
        </is>
      </c>
      <c r="E1906" t="inlineStr">
        <is>
          <t>No</t>
        </is>
      </c>
      <c r="F1906" s="2" t="n">
        <v>0.986</v>
      </c>
      <c r="G1906" s="6" t="n">
        <v>50.7</v>
      </c>
      <c r="H1906" s="6">
        <f>F1906*G1906</f>
        <v/>
      </c>
      <c r="I1906">
        <f>_xlfn.XLOOKUP(A1906,MktTitle,MktCat,"n/a")</f>
        <v/>
      </c>
      <c r="J1906" s="3">
        <f>_xlfn.XLOOKUP(A1906,MktTitle,MktTotVol,0)</f>
        <v/>
      </c>
      <c r="K1906">
        <f>IF(H1906&gt;WhaleThreshold,"WHALE","")</f>
        <v/>
      </c>
    </row>
    <row r="1907">
      <c r="A1907" t="inlineStr">
        <is>
          <t>Will Belgium win the 2026 FIFA World Cup?</t>
        </is>
      </c>
      <c r="B1907" s="4" t="n">
        <v>46205</v>
      </c>
      <c r="C1907" s="5" t="n">
        <v>46205.97004629629</v>
      </c>
      <c r="D1907" t="inlineStr">
        <is>
          <t>BUY</t>
        </is>
      </c>
      <c r="E1907" t="inlineStr">
        <is>
          <t>No</t>
        </is>
      </c>
      <c r="F1907" s="2" t="n">
        <v>0.986</v>
      </c>
      <c r="G1907" s="6" t="n">
        <v>10</v>
      </c>
      <c r="H1907" s="6">
        <f>F1907*G1907</f>
        <v/>
      </c>
      <c r="I1907">
        <f>_xlfn.XLOOKUP(A1907,MktTitle,MktCat,"n/a")</f>
        <v/>
      </c>
      <c r="J1907" s="3">
        <f>_xlfn.XLOOKUP(A1907,MktTitle,MktTotVol,0)</f>
        <v/>
      </c>
      <c r="K1907">
        <f>IF(H1907&gt;WhaleThreshold,"WHALE","")</f>
        <v/>
      </c>
    </row>
    <row r="1908">
      <c r="A1908" t="inlineStr">
        <is>
          <t>Will Belgium win the 2026 FIFA World Cup?</t>
        </is>
      </c>
      <c r="B1908" s="4" t="n">
        <v>46205</v>
      </c>
      <c r="C1908" s="5" t="n">
        <v>46205.96988425926</v>
      </c>
      <c r="D1908" t="inlineStr">
        <is>
          <t>BUY</t>
        </is>
      </c>
      <c r="E1908" t="inlineStr">
        <is>
          <t>No</t>
        </is>
      </c>
      <c r="F1908" s="2" t="n">
        <v>0.986</v>
      </c>
      <c r="G1908" s="6" t="n">
        <v>86</v>
      </c>
      <c r="H1908" s="6">
        <f>F1908*G1908</f>
        <v/>
      </c>
      <c r="I1908">
        <f>_xlfn.XLOOKUP(A1908,MktTitle,MktCat,"n/a")</f>
        <v/>
      </c>
      <c r="J1908" s="3">
        <f>_xlfn.XLOOKUP(A1908,MktTitle,MktTotVol,0)</f>
        <v/>
      </c>
      <c r="K1908">
        <f>IF(H1908&gt;WhaleThreshold,"WHALE","")</f>
        <v/>
      </c>
    </row>
    <row r="1909">
      <c r="A1909" t="inlineStr">
        <is>
          <t>Will Belgium win the 2026 FIFA World Cup?</t>
        </is>
      </c>
      <c r="B1909" s="4" t="n">
        <v>46205</v>
      </c>
      <c r="C1909" s="5" t="n">
        <v>46205.96988425926</v>
      </c>
      <c r="D1909" t="inlineStr">
        <is>
          <t>BUY</t>
        </is>
      </c>
      <c r="E1909" t="inlineStr">
        <is>
          <t>No</t>
        </is>
      </c>
      <c r="F1909" s="2" t="n">
        <v>0.986</v>
      </c>
      <c r="G1909" s="6" t="n">
        <v>100</v>
      </c>
      <c r="H1909" s="6">
        <f>F1909*G1909</f>
        <v/>
      </c>
      <c r="I1909">
        <f>_xlfn.XLOOKUP(A1909,MktTitle,MktCat,"n/a")</f>
        <v/>
      </c>
      <c r="J1909" s="3">
        <f>_xlfn.XLOOKUP(A1909,MktTitle,MktTotVol,0)</f>
        <v/>
      </c>
      <c r="K1909">
        <f>IF(H1909&gt;WhaleThreshold,"WHALE","")</f>
        <v/>
      </c>
    </row>
    <row r="1910">
      <c r="A1910" t="inlineStr">
        <is>
          <t>Will Belgium win the 2026 FIFA World Cup?</t>
        </is>
      </c>
      <c r="B1910" s="4" t="n">
        <v>46205</v>
      </c>
      <c r="C1910" s="5" t="n">
        <v>46205.96987268519</v>
      </c>
      <c r="D1910" t="inlineStr">
        <is>
          <t>BUY</t>
        </is>
      </c>
      <c r="E1910" t="inlineStr">
        <is>
          <t>No</t>
        </is>
      </c>
      <c r="F1910" s="2" t="n">
        <v>0.986</v>
      </c>
      <c r="G1910" s="6" t="n">
        <v>73.59999999999999</v>
      </c>
      <c r="H1910" s="6">
        <f>F1910*G1910</f>
        <v/>
      </c>
      <c r="I1910">
        <f>_xlfn.XLOOKUP(A1910,MktTitle,MktCat,"n/a")</f>
        <v/>
      </c>
      <c r="J1910" s="3">
        <f>_xlfn.XLOOKUP(A1910,MktTitle,MktTotVol,0)</f>
        <v/>
      </c>
      <c r="K1910">
        <f>IF(H1910&gt;WhaleThreshold,"WHALE","")</f>
        <v/>
      </c>
    </row>
    <row r="1911">
      <c r="A1911" t="inlineStr">
        <is>
          <t>Will Belgium win the 2026 FIFA World Cup?</t>
        </is>
      </c>
      <c r="B1911" s="4" t="n">
        <v>46205</v>
      </c>
      <c r="C1911" s="5" t="n">
        <v>46205.96987268519</v>
      </c>
      <c r="D1911" t="inlineStr">
        <is>
          <t>BUY</t>
        </is>
      </c>
      <c r="E1911" t="inlineStr">
        <is>
          <t>No</t>
        </is>
      </c>
      <c r="F1911" s="2" t="n">
        <v>0.986</v>
      </c>
      <c r="G1911" s="6" t="n">
        <v>80</v>
      </c>
      <c r="H1911" s="6">
        <f>F1911*G1911</f>
        <v/>
      </c>
      <c r="I1911">
        <f>_xlfn.XLOOKUP(A1911,MktTitle,MktCat,"n/a")</f>
        <v/>
      </c>
      <c r="J1911" s="3">
        <f>_xlfn.XLOOKUP(A1911,MktTitle,MktTotVol,0)</f>
        <v/>
      </c>
      <c r="K1911">
        <f>IF(H1911&gt;WhaleThreshold,"WHALE","")</f>
        <v/>
      </c>
    </row>
    <row r="1912">
      <c r="A1912" t="inlineStr">
        <is>
          <t>Will Belgium win the 2026 FIFA World Cup?</t>
        </is>
      </c>
      <c r="B1912" s="4" t="n">
        <v>46205</v>
      </c>
      <c r="C1912" s="5" t="n">
        <v>46205.96980324074</v>
      </c>
      <c r="D1912" t="inlineStr">
        <is>
          <t>BUY</t>
        </is>
      </c>
      <c r="E1912" t="inlineStr">
        <is>
          <t>No</t>
        </is>
      </c>
      <c r="F1912" s="2" t="n">
        <v>0.986</v>
      </c>
      <c r="G1912" s="6" t="n">
        <v>80</v>
      </c>
      <c r="H1912" s="6">
        <f>F1912*G1912</f>
        <v/>
      </c>
      <c r="I1912">
        <f>_xlfn.XLOOKUP(A1912,MktTitle,MktCat,"n/a")</f>
        <v/>
      </c>
      <c r="J1912" s="3">
        <f>_xlfn.XLOOKUP(A1912,MktTitle,MktTotVol,0)</f>
        <v/>
      </c>
      <c r="K1912">
        <f>IF(H1912&gt;WhaleThreshold,"WHALE","")</f>
        <v/>
      </c>
    </row>
    <row r="1913">
      <c r="A1913" t="inlineStr">
        <is>
          <t>Will Belgium win the 2026 FIFA World Cup?</t>
        </is>
      </c>
      <c r="B1913" s="4" t="n">
        <v>46205</v>
      </c>
      <c r="C1913" s="5" t="n">
        <v>46205.9696412037</v>
      </c>
      <c r="D1913" t="inlineStr">
        <is>
          <t>BUY</t>
        </is>
      </c>
      <c r="E1913" t="inlineStr">
        <is>
          <t>No</t>
        </is>
      </c>
      <c r="F1913" s="2" t="n">
        <v>0.986</v>
      </c>
      <c r="G1913" s="6" t="n">
        <v>10</v>
      </c>
      <c r="H1913" s="6">
        <f>F1913*G1913</f>
        <v/>
      </c>
      <c r="I1913">
        <f>_xlfn.XLOOKUP(A1913,MktTitle,MktCat,"n/a")</f>
        <v/>
      </c>
      <c r="J1913" s="3">
        <f>_xlfn.XLOOKUP(A1913,MktTitle,MktTotVol,0)</f>
        <v/>
      </c>
      <c r="K1913">
        <f>IF(H1913&gt;WhaleThreshold,"WHALE","")</f>
        <v/>
      </c>
    </row>
    <row r="1914">
      <c r="A1914" t="inlineStr">
        <is>
          <t>Will Belgium win the 2026 FIFA World Cup?</t>
        </is>
      </c>
      <c r="B1914" s="4" t="n">
        <v>46205</v>
      </c>
      <c r="C1914" s="5" t="n">
        <v>46205.96869212963</v>
      </c>
      <c r="D1914" t="inlineStr">
        <is>
          <t>SELL</t>
        </is>
      </c>
      <c r="E1914" t="inlineStr">
        <is>
          <t>Yes</t>
        </is>
      </c>
      <c r="F1914" s="2" t="n">
        <v>0.014</v>
      </c>
      <c r="G1914" s="6" t="n">
        <v>129.33</v>
      </c>
      <c r="H1914" s="6">
        <f>F1914*G1914</f>
        <v/>
      </c>
      <c r="I1914">
        <f>_xlfn.XLOOKUP(A1914,MktTitle,MktCat,"n/a")</f>
        <v/>
      </c>
      <c r="J1914" s="3">
        <f>_xlfn.XLOOKUP(A1914,MktTitle,MktTotVol,0)</f>
        <v/>
      </c>
      <c r="K1914">
        <f>IF(H1914&gt;WhaleThreshold,"WHALE","")</f>
        <v/>
      </c>
    </row>
    <row r="1915">
      <c r="A1915" t="inlineStr">
        <is>
          <t>Will Belgium win the 2026 FIFA World Cup?</t>
        </is>
      </c>
      <c r="B1915" s="4" t="n">
        <v>46205</v>
      </c>
      <c r="C1915" s="5" t="n">
        <v>46205.96841435185</v>
      </c>
      <c r="D1915" t="inlineStr">
        <is>
          <t>BUY</t>
        </is>
      </c>
      <c r="E1915" t="inlineStr">
        <is>
          <t>Yes</t>
        </is>
      </c>
      <c r="F1915" s="2" t="n">
        <v>0.015</v>
      </c>
      <c r="G1915" s="6" t="n">
        <v>129.3333</v>
      </c>
      <c r="H1915" s="6">
        <f>F1915*G1915</f>
        <v/>
      </c>
      <c r="I1915">
        <f>_xlfn.XLOOKUP(A1915,MktTitle,MktCat,"n/a")</f>
        <v/>
      </c>
      <c r="J1915" s="3">
        <f>_xlfn.XLOOKUP(A1915,MktTitle,MktTotVol,0)</f>
        <v/>
      </c>
      <c r="K1915">
        <f>IF(H1915&gt;WhaleThreshold,"WHALE","")</f>
        <v/>
      </c>
    </row>
    <row r="1916">
      <c r="A1916" t="inlineStr">
        <is>
          <t>Will Belgium win the 2026 FIFA World Cup?</t>
        </is>
      </c>
      <c r="B1916" s="4" t="n">
        <v>46205</v>
      </c>
      <c r="C1916" s="5" t="n">
        <v>46205.96731481481</v>
      </c>
      <c r="D1916" t="inlineStr">
        <is>
          <t>BUY</t>
        </is>
      </c>
      <c r="E1916" t="inlineStr">
        <is>
          <t>No</t>
        </is>
      </c>
      <c r="F1916" s="2" t="n">
        <v>0.986</v>
      </c>
      <c r="G1916" s="6" t="n">
        <v>1.1</v>
      </c>
      <c r="H1916" s="6">
        <f>F1916*G1916</f>
        <v/>
      </c>
      <c r="I1916">
        <f>_xlfn.XLOOKUP(A1916,MktTitle,MktCat,"n/a")</f>
        <v/>
      </c>
      <c r="J1916" s="3">
        <f>_xlfn.XLOOKUP(A1916,MktTitle,MktTotVol,0)</f>
        <v/>
      </c>
      <c r="K1916">
        <f>IF(H1916&gt;WhaleThreshold,"WHALE","")</f>
        <v/>
      </c>
    </row>
    <row r="1917">
      <c r="A1917" t="inlineStr">
        <is>
          <t>Will Belgium win the 2026 FIFA World Cup?</t>
        </is>
      </c>
      <c r="B1917" s="4" t="n">
        <v>46205</v>
      </c>
      <c r="C1917" s="5" t="n">
        <v>46205.9672337963</v>
      </c>
      <c r="D1917" t="inlineStr">
        <is>
          <t>BUY</t>
        </is>
      </c>
      <c r="E1917" t="inlineStr">
        <is>
          <t>No</t>
        </is>
      </c>
      <c r="F1917" s="2" t="n">
        <v>0.986</v>
      </c>
      <c r="G1917" s="6" t="n">
        <v>32.4</v>
      </c>
      <c r="H1917" s="6">
        <f>F1917*G1917</f>
        <v/>
      </c>
      <c r="I1917">
        <f>_xlfn.XLOOKUP(A1917,MktTitle,MktCat,"n/a")</f>
        <v/>
      </c>
      <c r="J1917" s="3">
        <f>_xlfn.XLOOKUP(A1917,MktTitle,MktTotVol,0)</f>
        <v/>
      </c>
      <c r="K1917">
        <f>IF(H1917&gt;WhaleThreshold,"WHALE","")</f>
        <v/>
      </c>
    </row>
    <row r="1918">
      <c r="A1918" t="inlineStr">
        <is>
          <t>Will Belgium win the 2026 FIFA World Cup?</t>
        </is>
      </c>
      <c r="B1918" s="4" t="n">
        <v>46205</v>
      </c>
      <c r="C1918" s="5" t="n">
        <v>46205.96717592593</v>
      </c>
      <c r="D1918" t="inlineStr">
        <is>
          <t>BUY</t>
        </is>
      </c>
      <c r="E1918" t="inlineStr">
        <is>
          <t>No</t>
        </is>
      </c>
      <c r="F1918" s="2" t="n">
        <v>0.986</v>
      </c>
      <c r="G1918" s="6" t="n">
        <v>110</v>
      </c>
      <c r="H1918" s="6">
        <f>F1918*G1918</f>
        <v/>
      </c>
      <c r="I1918">
        <f>_xlfn.XLOOKUP(A1918,MktTitle,MktCat,"n/a")</f>
        <v/>
      </c>
      <c r="J1918" s="3">
        <f>_xlfn.XLOOKUP(A1918,MktTitle,MktTotVol,0)</f>
        <v/>
      </c>
      <c r="K1918">
        <f>IF(H1918&gt;WhaleThreshold,"WHALE","")</f>
        <v/>
      </c>
    </row>
    <row r="1919">
      <c r="A1919" t="inlineStr">
        <is>
          <t>Will Belgium win the 2026 FIFA World Cup?</t>
        </is>
      </c>
      <c r="B1919" s="4" t="n">
        <v>46205</v>
      </c>
      <c r="C1919" s="5" t="n">
        <v>46205.96716435185</v>
      </c>
      <c r="D1919" t="inlineStr">
        <is>
          <t>BUY</t>
        </is>
      </c>
      <c r="E1919" t="inlineStr">
        <is>
          <t>No</t>
        </is>
      </c>
      <c r="F1919" s="2" t="n">
        <v>0.986</v>
      </c>
      <c r="G1919" s="6" t="n">
        <v>5</v>
      </c>
      <c r="H1919" s="6">
        <f>F1919*G1919</f>
        <v/>
      </c>
      <c r="I1919">
        <f>_xlfn.XLOOKUP(A1919,MktTitle,MktCat,"n/a")</f>
        <v/>
      </c>
      <c r="J1919" s="3">
        <f>_xlfn.XLOOKUP(A1919,MktTitle,MktTotVol,0)</f>
        <v/>
      </c>
      <c r="K1919">
        <f>IF(H1919&gt;WhaleThreshold,"WHALE","")</f>
        <v/>
      </c>
    </row>
    <row r="1920">
      <c r="A1920" t="inlineStr">
        <is>
          <t>Will Belgium win the 2026 FIFA World Cup?</t>
        </is>
      </c>
      <c r="B1920" s="4" t="n">
        <v>46205</v>
      </c>
      <c r="C1920" s="5" t="n">
        <v>46205.96714120371</v>
      </c>
      <c r="D1920" t="inlineStr">
        <is>
          <t>BUY</t>
        </is>
      </c>
      <c r="E1920" t="inlineStr">
        <is>
          <t>No</t>
        </is>
      </c>
      <c r="F1920" s="2" t="n">
        <v>0.986</v>
      </c>
      <c r="G1920" s="6" t="n">
        <v>22.8</v>
      </c>
      <c r="H1920" s="6">
        <f>F1920*G1920</f>
        <v/>
      </c>
      <c r="I1920">
        <f>_xlfn.XLOOKUP(A1920,MktTitle,MktCat,"n/a")</f>
        <v/>
      </c>
      <c r="J1920" s="3">
        <f>_xlfn.XLOOKUP(A1920,MktTitle,MktTotVol,0)</f>
        <v/>
      </c>
      <c r="K1920">
        <f>IF(H1920&gt;WhaleThreshold,"WHALE","")</f>
        <v/>
      </c>
    </row>
    <row r="1921">
      <c r="A1921" t="inlineStr">
        <is>
          <t>Will Belgium win the 2026 FIFA World Cup?</t>
        </is>
      </c>
      <c r="B1921" s="4" t="n">
        <v>46205</v>
      </c>
      <c r="C1921" s="5" t="n">
        <v>46205.96714120371</v>
      </c>
      <c r="D1921" t="inlineStr">
        <is>
          <t>BUY</t>
        </is>
      </c>
      <c r="E1921" t="inlineStr">
        <is>
          <t>No</t>
        </is>
      </c>
      <c r="F1921" s="2" t="n">
        <v>0.986</v>
      </c>
      <c r="G1921" s="6" t="n">
        <v>40</v>
      </c>
      <c r="H1921" s="6">
        <f>F1921*G1921</f>
        <v/>
      </c>
      <c r="I1921">
        <f>_xlfn.XLOOKUP(A1921,MktTitle,MktCat,"n/a")</f>
        <v/>
      </c>
      <c r="J1921" s="3">
        <f>_xlfn.XLOOKUP(A1921,MktTitle,MktTotVol,0)</f>
        <v/>
      </c>
      <c r="K1921">
        <f>IF(H1921&gt;WhaleThreshold,"WHALE","")</f>
        <v/>
      </c>
    </row>
    <row r="1922">
      <c r="A1922" t="inlineStr">
        <is>
          <t>Will Belgium win the 2026 FIFA World Cup?</t>
        </is>
      </c>
      <c r="B1922" s="4" t="n">
        <v>46205</v>
      </c>
      <c r="C1922" s="5" t="n">
        <v>46205.96712962963</v>
      </c>
      <c r="D1922" t="inlineStr">
        <is>
          <t>BUY</t>
        </is>
      </c>
      <c r="E1922" t="inlineStr">
        <is>
          <t>No</t>
        </is>
      </c>
      <c r="F1922" s="2" t="n">
        <v>0.986</v>
      </c>
      <c r="G1922" s="6" t="n">
        <v>30</v>
      </c>
      <c r="H1922" s="6">
        <f>F1922*G1922</f>
        <v/>
      </c>
      <c r="I1922">
        <f>_xlfn.XLOOKUP(A1922,MktTitle,MktCat,"n/a")</f>
        <v/>
      </c>
      <c r="J1922" s="3">
        <f>_xlfn.XLOOKUP(A1922,MktTitle,MktTotVol,0)</f>
        <v/>
      </c>
      <c r="K1922">
        <f>IF(H1922&gt;WhaleThreshold,"WHALE","")</f>
        <v/>
      </c>
    </row>
    <row r="1923">
      <c r="A1923" t="inlineStr">
        <is>
          <t>Will Belgium win the 2026 FIFA World Cup?</t>
        </is>
      </c>
      <c r="B1923" s="4" t="n">
        <v>46205</v>
      </c>
      <c r="C1923" s="5" t="n">
        <v>46205.96712962963</v>
      </c>
      <c r="D1923" t="inlineStr">
        <is>
          <t>BUY</t>
        </is>
      </c>
      <c r="E1923" t="inlineStr">
        <is>
          <t>No</t>
        </is>
      </c>
      <c r="F1923" s="2" t="n">
        <v>0.986</v>
      </c>
      <c r="G1923" s="6" t="n">
        <v>90</v>
      </c>
      <c r="H1923" s="6">
        <f>F1923*G1923</f>
        <v/>
      </c>
      <c r="I1923">
        <f>_xlfn.XLOOKUP(A1923,MktTitle,MktCat,"n/a")</f>
        <v/>
      </c>
      <c r="J1923" s="3">
        <f>_xlfn.XLOOKUP(A1923,MktTitle,MktTotVol,0)</f>
        <v/>
      </c>
      <c r="K1923">
        <f>IF(H1923&gt;WhaleThreshold,"WHALE","")</f>
        <v/>
      </c>
    </row>
    <row r="1924">
      <c r="A1924" t="inlineStr">
        <is>
          <t>Will Belgium win the 2026 FIFA World Cup?</t>
        </is>
      </c>
      <c r="B1924" s="4" t="n">
        <v>46205</v>
      </c>
      <c r="C1924" s="5" t="n">
        <v>46205.96710648148</v>
      </c>
      <c r="D1924" t="inlineStr">
        <is>
          <t>BUY</t>
        </is>
      </c>
      <c r="E1924" t="inlineStr">
        <is>
          <t>No</t>
        </is>
      </c>
      <c r="F1924" s="2" t="n">
        <v>0.986</v>
      </c>
      <c r="G1924" s="6" t="n">
        <v>45.6</v>
      </c>
      <c r="H1924" s="6">
        <f>F1924*G1924</f>
        <v/>
      </c>
      <c r="I1924">
        <f>_xlfn.XLOOKUP(A1924,MktTitle,MktCat,"n/a")</f>
        <v/>
      </c>
      <c r="J1924" s="3">
        <f>_xlfn.XLOOKUP(A1924,MktTitle,MktTotVol,0)</f>
        <v/>
      </c>
      <c r="K1924">
        <f>IF(H1924&gt;WhaleThreshold,"WHALE","")</f>
        <v/>
      </c>
    </row>
    <row r="1925">
      <c r="A1925" t="inlineStr">
        <is>
          <t>Will Belgium win the 2026 FIFA World Cup?</t>
        </is>
      </c>
      <c r="B1925" s="4" t="n">
        <v>46205</v>
      </c>
      <c r="C1925" s="5" t="n">
        <v>46205.96682870371</v>
      </c>
      <c r="D1925" t="inlineStr">
        <is>
          <t>BUY</t>
        </is>
      </c>
      <c r="E1925" t="inlineStr">
        <is>
          <t>No</t>
        </is>
      </c>
      <c r="F1925" s="2" t="n">
        <v>0.986</v>
      </c>
      <c r="G1925" s="6" t="n">
        <v>116</v>
      </c>
      <c r="H1925" s="6">
        <f>F1925*G1925</f>
        <v/>
      </c>
      <c r="I1925">
        <f>_xlfn.XLOOKUP(A1925,MktTitle,MktCat,"n/a")</f>
        <v/>
      </c>
      <c r="J1925" s="3">
        <f>_xlfn.XLOOKUP(A1925,MktTitle,MktTotVol,0)</f>
        <v/>
      </c>
      <c r="K1925">
        <f>IF(H1925&gt;WhaleThreshold,"WHALE","")</f>
        <v/>
      </c>
    </row>
    <row r="1926">
      <c r="A1926" t="inlineStr">
        <is>
          <t>Will Belgium win the 2026 FIFA World Cup?</t>
        </is>
      </c>
      <c r="B1926" s="4" t="n">
        <v>46205</v>
      </c>
      <c r="C1926" s="5" t="n">
        <v>46205.96682870371</v>
      </c>
      <c r="D1926" t="inlineStr">
        <is>
          <t>BUY</t>
        </is>
      </c>
      <c r="E1926" t="inlineStr">
        <is>
          <t>No</t>
        </is>
      </c>
      <c r="F1926" s="2" t="n">
        <v>0.986</v>
      </c>
      <c r="G1926" s="6" t="n">
        <v>40</v>
      </c>
      <c r="H1926" s="6">
        <f>F1926*G1926</f>
        <v/>
      </c>
      <c r="I1926">
        <f>_xlfn.XLOOKUP(A1926,MktTitle,MktCat,"n/a")</f>
        <v/>
      </c>
      <c r="J1926" s="3">
        <f>_xlfn.XLOOKUP(A1926,MktTitle,MktTotVol,0)</f>
        <v/>
      </c>
      <c r="K1926">
        <f>IF(H1926&gt;WhaleThreshold,"WHALE","")</f>
        <v/>
      </c>
    </row>
    <row r="1927">
      <c r="A1927" t="inlineStr">
        <is>
          <t>Will Belgium win the 2026 FIFA World Cup?</t>
        </is>
      </c>
      <c r="B1927" s="4" t="n">
        <v>46205</v>
      </c>
      <c r="C1927" s="5" t="n">
        <v>46205.96682870371</v>
      </c>
      <c r="D1927" t="inlineStr">
        <is>
          <t>BUY</t>
        </is>
      </c>
      <c r="E1927" t="inlineStr">
        <is>
          <t>No</t>
        </is>
      </c>
      <c r="F1927" s="2" t="n">
        <v>0.986</v>
      </c>
      <c r="G1927" s="6" t="n">
        <v>8.4</v>
      </c>
      <c r="H1927" s="6">
        <f>F1927*G1927</f>
        <v/>
      </c>
      <c r="I1927">
        <f>_xlfn.XLOOKUP(A1927,MktTitle,MktCat,"n/a")</f>
        <v/>
      </c>
      <c r="J1927" s="3">
        <f>_xlfn.XLOOKUP(A1927,MktTitle,MktTotVol,0)</f>
        <v/>
      </c>
      <c r="K1927">
        <f>IF(H1927&gt;WhaleThreshold,"WHALE","")</f>
        <v/>
      </c>
    </row>
    <row r="1928">
      <c r="A1928" t="inlineStr">
        <is>
          <t>Will Belgium win the 2026 FIFA World Cup?</t>
        </is>
      </c>
      <c r="B1928" s="4" t="n">
        <v>46205</v>
      </c>
      <c r="C1928" s="5" t="n">
        <v>46205.96681712963</v>
      </c>
      <c r="D1928" t="inlineStr">
        <is>
          <t>BUY</t>
        </is>
      </c>
      <c r="E1928" t="inlineStr">
        <is>
          <t>No</t>
        </is>
      </c>
      <c r="F1928" s="2" t="n">
        <v>0.986</v>
      </c>
      <c r="G1928" s="6" t="n">
        <v>73.59999999999999</v>
      </c>
      <c r="H1928" s="6">
        <f>F1928*G1928</f>
        <v/>
      </c>
      <c r="I1928">
        <f>_xlfn.XLOOKUP(A1928,MktTitle,MktCat,"n/a")</f>
        <v/>
      </c>
      <c r="J1928" s="3">
        <f>_xlfn.XLOOKUP(A1928,MktTitle,MktTotVol,0)</f>
        <v/>
      </c>
      <c r="K1928">
        <f>IF(H1928&gt;WhaleThreshold,"WHALE","")</f>
        <v/>
      </c>
    </row>
    <row r="1929">
      <c r="A1929" t="inlineStr">
        <is>
          <t>Will Belgium win the 2026 FIFA World Cup?</t>
        </is>
      </c>
      <c r="B1929" s="4" t="n">
        <v>46205</v>
      </c>
      <c r="C1929" s="5" t="n">
        <v>46205.96681712963</v>
      </c>
      <c r="D1929" t="inlineStr">
        <is>
          <t>BUY</t>
        </is>
      </c>
      <c r="E1929" t="inlineStr">
        <is>
          <t>No</t>
        </is>
      </c>
      <c r="F1929" s="2" t="n">
        <v>0.986</v>
      </c>
      <c r="G1929" s="6" t="n">
        <v>100</v>
      </c>
      <c r="H1929" s="6">
        <f>F1929*G1929</f>
        <v/>
      </c>
      <c r="I1929">
        <f>_xlfn.XLOOKUP(A1929,MktTitle,MktCat,"n/a")</f>
        <v/>
      </c>
      <c r="J1929" s="3">
        <f>_xlfn.XLOOKUP(A1929,MktTitle,MktTotVol,0)</f>
        <v/>
      </c>
      <c r="K1929">
        <f>IF(H1929&gt;WhaleThreshold,"WHALE","")</f>
        <v/>
      </c>
    </row>
    <row r="1930">
      <c r="A1930" t="inlineStr">
        <is>
          <t>Will Belgium win the 2026 FIFA World Cup?</t>
        </is>
      </c>
      <c r="B1930" s="4" t="n">
        <v>46205</v>
      </c>
      <c r="C1930" s="5" t="n">
        <v>46205.96679398148</v>
      </c>
      <c r="D1930" t="inlineStr">
        <is>
          <t>BUY</t>
        </is>
      </c>
      <c r="E1930" t="inlineStr">
        <is>
          <t>No</t>
        </is>
      </c>
      <c r="F1930" s="2" t="n">
        <v>0.986</v>
      </c>
      <c r="G1930" s="6" t="n">
        <v>10</v>
      </c>
      <c r="H1930" s="6">
        <f>F1930*G1930</f>
        <v/>
      </c>
      <c r="I1930">
        <f>_xlfn.XLOOKUP(A1930,MktTitle,MktCat,"n/a")</f>
        <v/>
      </c>
      <c r="J1930" s="3">
        <f>_xlfn.XLOOKUP(A1930,MktTitle,MktTotVol,0)</f>
        <v/>
      </c>
      <c r="K1930">
        <f>IF(H1930&gt;WhaleThreshold,"WHALE","")</f>
        <v/>
      </c>
    </row>
    <row r="1931">
      <c r="A1931" t="inlineStr">
        <is>
          <t>Will Belgium win the 2026 FIFA World Cup?</t>
        </is>
      </c>
      <c r="B1931" s="4" t="n">
        <v>46205</v>
      </c>
      <c r="C1931" s="5" t="n">
        <v>46205.96679398148</v>
      </c>
      <c r="D1931" t="inlineStr">
        <is>
          <t>BUY</t>
        </is>
      </c>
      <c r="E1931" t="inlineStr">
        <is>
          <t>No</t>
        </is>
      </c>
      <c r="F1931" s="2" t="n">
        <v>0.986</v>
      </c>
      <c r="G1931" s="6" t="n">
        <v>15</v>
      </c>
      <c r="H1931" s="6">
        <f>F1931*G1931</f>
        <v/>
      </c>
      <c r="I1931">
        <f>_xlfn.XLOOKUP(A1931,MktTitle,MktCat,"n/a")</f>
        <v/>
      </c>
      <c r="J1931" s="3">
        <f>_xlfn.XLOOKUP(A1931,MktTitle,MktTotVol,0)</f>
        <v/>
      </c>
      <c r="K1931">
        <f>IF(H1931&gt;WhaleThreshold,"WHALE","")</f>
        <v/>
      </c>
    </row>
    <row r="1932">
      <c r="A1932" t="inlineStr">
        <is>
          <t>Will Belgium win the 2026 FIFA World Cup?</t>
        </is>
      </c>
      <c r="B1932" s="4" t="n">
        <v>46205</v>
      </c>
      <c r="C1932" s="5" t="n">
        <v>46205.96655092593</v>
      </c>
      <c r="D1932" t="inlineStr">
        <is>
          <t>BUY</t>
        </is>
      </c>
      <c r="E1932" t="inlineStr">
        <is>
          <t>No</t>
        </is>
      </c>
      <c r="F1932" s="2" t="n">
        <v>0.986</v>
      </c>
      <c r="G1932" s="6" t="n">
        <v>5</v>
      </c>
      <c r="H1932" s="6">
        <f>F1932*G1932</f>
        <v/>
      </c>
      <c r="I1932">
        <f>_xlfn.XLOOKUP(A1932,MktTitle,MktCat,"n/a")</f>
        <v/>
      </c>
      <c r="J1932" s="3">
        <f>_xlfn.XLOOKUP(A1932,MktTitle,MktTotVol,0)</f>
        <v/>
      </c>
      <c r="K1932">
        <f>IF(H1932&gt;WhaleThreshold,"WHALE","")</f>
        <v/>
      </c>
    </row>
    <row r="1933">
      <c r="A1933" t="inlineStr">
        <is>
          <t>Will Belgium win the 2026 FIFA World Cup?</t>
        </is>
      </c>
      <c r="B1933" s="4" t="n">
        <v>46205</v>
      </c>
      <c r="C1933" s="5" t="n">
        <v>46205.96655092593</v>
      </c>
      <c r="D1933" t="inlineStr">
        <is>
          <t>BUY</t>
        </is>
      </c>
      <c r="E1933" t="inlineStr">
        <is>
          <t>No</t>
        </is>
      </c>
      <c r="F1933" s="2" t="n">
        <v>0.986</v>
      </c>
      <c r="G1933" s="6" t="n">
        <v>115</v>
      </c>
      <c r="H1933" s="6">
        <f>F1933*G1933</f>
        <v/>
      </c>
      <c r="I1933">
        <f>_xlfn.XLOOKUP(A1933,MktTitle,MktCat,"n/a")</f>
        <v/>
      </c>
      <c r="J1933" s="3">
        <f>_xlfn.XLOOKUP(A1933,MktTitle,MktTotVol,0)</f>
        <v/>
      </c>
      <c r="K1933">
        <f>IF(H1933&gt;WhaleThreshold,"WHALE","")</f>
        <v/>
      </c>
    </row>
    <row r="1934">
      <c r="A1934" t="inlineStr">
        <is>
          <t>Will Belgium win the 2026 FIFA World Cup?</t>
        </is>
      </c>
      <c r="B1934" s="4" t="n">
        <v>46205</v>
      </c>
      <c r="C1934" s="5" t="n">
        <v>46205.96653935185</v>
      </c>
      <c r="D1934" t="inlineStr">
        <is>
          <t>BUY</t>
        </is>
      </c>
      <c r="E1934" t="inlineStr">
        <is>
          <t>No</t>
        </is>
      </c>
      <c r="F1934" s="2" t="n">
        <v>0.986</v>
      </c>
      <c r="G1934" s="6" t="n">
        <v>115</v>
      </c>
      <c r="H1934" s="6">
        <f>F1934*G1934</f>
        <v/>
      </c>
      <c r="I1934">
        <f>_xlfn.XLOOKUP(A1934,MktTitle,MktCat,"n/a")</f>
        <v/>
      </c>
      <c r="J1934" s="3">
        <f>_xlfn.XLOOKUP(A1934,MktTitle,MktTotVol,0)</f>
        <v/>
      </c>
      <c r="K1934">
        <f>IF(H1934&gt;WhaleThreshold,"WHALE","")</f>
        <v/>
      </c>
    </row>
    <row r="1935">
      <c r="A1935" t="inlineStr">
        <is>
          <t>Will Belgium win the 2026 FIFA World Cup?</t>
        </is>
      </c>
      <c r="B1935" s="4" t="n">
        <v>46205</v>
      </c>
      <c r="C1935" s="5" t="n">
        <v>46205.96653935185</v>
      </c>
      <c r="D1935" t="inlineStr">
        <is>
          <t>BUY</t>
        </is>
      </c>
      <c r="E1935" t="inlineStr">
        <is>
          <t>No</t>
        </is>
      </c>
      <c r="F1935" s="2" t="n">
        <v>0.986</v>
      </c>
      <c r="G1935" s="6" t="n">
        <v>73.59999999999999</v>
      </c>
      <c r="H1935" s="6">
        <f>F1935*G1935</f>
        <v/>
      </c>
      <c r="I1935">
        <f>_xlfn.XLOOKUP(A1935,MktTitle,MktCat,"n/a")</f>
        <v/>
      </c>
      <c r="J1935" s="3">
        <f>_xlfn.XLOOKUP(A1935,MktTitle,MktTotVol,0)</f>
        <v/>
      </c>
      <c r="K1935">
        <f>IF(H1935&gt;WhaleThreshold,"WHALE","")</f>
        <v/>
      </c>
    </row>
    <row r="1936">
      <c r="A1936" t="inlineStr">
        <is>
          <t>Will Belgium win the 2026 FIFA World Cup?</t>
        </is>
      </c>
      <c r="B1936" s="4" t="n">
        <v>46205</v>
      </c>
      <c r="C1936" s="5" t="n">
        <v>46205.96622685185</v>
      </c>
      <c r="D1936" t="inlineStr">
        <is>
          <t>BUY</t>
        </is>
      </c>
      <c r="E1936" t="inlineStr">
        <is>
          <t>No</t>
        </is>
      </c>
      <c r="F1936" s="2" t="n">
        <v>0.986</v>
      </c>
      <c r="G1936" s="6" t="n">
        <v>10</v>
      </c>
      <c r="H1936" s="6">
        <f>F1936*G1936</f>
        <v/>
      </c>
      <c r="I1936">
        <f>_xlfn.XLOOKUP(A1936,MktTitle,MktCat,"n/a")</f>
        <v/>
      </c>
      <c r="J1936" s="3">
        <f>_xlfn.XLOOKUP(A1936,MktTitle,MktTotVol,0)</f>
        <v/>
      </c>
      <c r="K1936">
        <f>IF(H1936&gt;WhaleThreshold,"WHALE","")</f>
        <v/>
      </c>
    </row>
    <row r="1937">
      <c r="A1937" t="inlineStr">
        <is>
          <t>Will Belgium win the 2026 FIFA World Cup?</t>
        </is>
      </c>
      <c r="B1937" s="4" t="n">
        <v>46205</v>
      </c>
      <c r="C1937" s="5" t="n">
        <v>46205.96622685185</v>
      </c>
      <c r="D1937" t="inlineStr">
        <is>
          <t>BUY</t>
        </is>
      </c>
      <c r="E1937" t="inlineStr">
        <is>
          <t>No</t>
        </is>
      </c>
      <c r="F1937" s="2" t="n">
        <v>0.986</v>
      </c>
      <c r="G1937" s="6" t="n">
        <v>54</v>
      </c>
      <c r="H1937" s="6">
        <f>F1937*G1937</f>
        <v/>
      </c>
      <c r="I1937">
        <f>_xlfn.XLOOKUP(A1937,MktTitle,MktCat,"n/a")</f>
        <v/>
      </c>
      <c r="J1937" s="3">
        <f>_xlfn.XLOOKUP(A1937,MktTitle,MktTotVol,0)</f>
        <v/>
      </c>
      <c r="K1937">
        <f>IF(H1937&gt;WhaleThreshold,"WHALE","")</f>
        <v/>
      </c>
    </row>
    <row r="1938">
      <c r="A1938" t="inlineStr">
        <is>
          <t>Will Belgium win the 2026 FIFA World Cup?</t>
        </is>
      </c>
      <c r="B1938" s="4" t="n">
        <v>46205</v>
      </c>
      <c r="C1938" s="5" t="n">
        <v>46205.96594907407</v>
      </c>
      <c r="D1938" t="inlineStr">
        <is>
          <t>BUY</t>
        </is>
      </c>
      <c r="E1938" t="inlineStr">
        <is>
          <t>No</t>
        </is>
      </c>
      <c r="F1938" s="2" t="n">
        <v>0.986</v>
      </c>
      <c r="G1938" s="6" t="n">
        <v>10</v>
      </c>
      <c r="H1938" s="6">
        <f>F1938*G1938</f>
        <v/>
      </c>
      <c r="I1938">
        <f>_xlfn.XLOOKUP(A1938,MktTitle,MktCat,"n/a")</f>
        <v/>
      </c>
      <c r="J1938" s="3">
        <f>_xlfn.XLOOKUP(A1938,MktTitle,MktTotVol,0)</f>
        <v/>
      </c>
      <c r="K1938">
        <f>IF(H1938&gt;WhaleThreshold,"WHALE","")</f>
        <v/>
      </c>
    </row>
    <row r="1939">
      <c r="A1939" t="inlineStr">
        <is>
          <t>Will Belgium win the 2026 FIFA World Cup?</t>
        </is>
      </c>
      <c r="B1939" s="4" t="n">
        <v>46205</v>
      </c>
      <c r="C1939" s="5" t="n">
        <v>46205.96594907407</v>
      </c>
      <c r="D1939" t="inlineStr">
        <is>
          <t>BUY</t>
        </is>
      </c>
      <c r="E1939" t="inlineStr">
        <is>
          <t>No</t>
        </is>
      </c>
      <c r="F1939" s="2" t="n">
        <v>0.986</v>
      </c>
      <c r="G1939" s="6" t="n">
        <v>28</v>
      </c>
      <c r="H1939" s="6">
        <f>F1939*G1939</f>
        <v/>
      </c>
      <c r="I1939">
        <f>_xlfn.XLOOKUP(A1939,MktTitle,MktCat,"n/a")</f>
        <v/>
      </c>
      <c r="J1939" s="3">
        <f>_xlfn.XLOOKUP(A1939,MktTitle,MktTotVol,0)</f>
        <v/>
      </c>
      <c r="K1939">
        <f>IF(H1939&gt;WhaleThreshold,"WHALE","")</f>
        <v/>
      </c>
    </row>
    <row r="1940">
      <c r="A1940" t="inlineStr">
        <is>
          <t>Will Belgium win the 2026 FIFA World Cup?</t>
        </is>
      </c>
      <c r="B1940" s="4" t="n">
        <v>46205</v>
      </c>
      <c r="C1940" s="5" t="n">
        <v>46205.96582175926</v>
      </c>
      <c r="D1940" t="inlineStr">
        <is>
          <t>BUY</t>
        </is>
      </c>
      <c r="E1940" t="inlineStr">
        <is>
          <t>No</t>
        </is>
      </c>
      <c r="F1940" s="2" t="n">
        <v>0.986</v>
      </c>
      <c r="G1940" s="6" t="n">
        <v>5</v>
      </c>
      <c r="H1940" s="6">
        <f>F1940*G1940</f>
        <v/>
      </c>
      <c r="I1940">
        <f>_xlfn.XLOOKUP(A1940,MktTitle,MktCat,"n/a")</f>
        <v/>
      </c>
      <c r="J1940" s="3">
        <f>_xlfn.XLOOKUP(A1940,MktTitle,MktTotVol,0)</f>
        <v/>
      </c>
      <c r="K1940">
        <f>IF(H1940&gt;WhaleThreshold,"WHALE","")</f>
        <v/>
      </c>
    </row>
    <row r="1941">
      <c r="A1941" t="inlineStr">
        <is>
          <t>Will Belgium win the 2026 FIFA World Cup?</t>
        </is>
      </c>
      <c r="B1941" s="4" t="n">
        <v>46205</v>
      </c>
      <c r="C1941" s="5" t="n">
        <v>46205.96578703704</v>
      </c>
      <c r="D1941" t="inlineStr">
        <is>
          <t>BUY</t>
        </is>
      </c>
      <c r="E1941" t="inlineStr">
        <is>
          <t>No</t>
        </is>
      </c>
      <c r="F1941" s="2" t="n">
        <v>0.986</v>
      </c>
      <c r="G1941" s="6" t="n">
        <v>115</v>
      </c>
      <c r="H1941" s="6">
        <f>F1941*G1941</f>
        <v/>
      </c>
      <c r="I1941">
        <f>_xlfn.XLOOKUP(A1941,MktTitle,MktCat,"n/a")</f>
        <v/>
      </c>
      <c r="J1941" s="3">
        <f>_xlfn.XLOOKUP(A1941,MktTitle,MktTotVol,0)</f>
        <v/>
      </c>
      <c r="K1941">
        <f>IF(H1941&gt;WhaleThreshold,"WHALE","")</f>
        <v/>
      </c>
    </row>
    <row r="1942">
      <c r="A1942" t="inlineStr">
        <is>
          <t>Will Belgium win the 2026 FIFA World Cup?</t>
        </is>
      </c>
      <c r="B1942" s="4" t="n">
        <v>46205</v>
      </c>
      <c r="C1942" s="5" t="n">
        <v>46205.96578703704</v>
      </c>
      <c r="D1942" t="inlineStr">
        <is>
          <t>BUY</t>
        </is>
      </c>
      <c r="E1942" t="inlineStr">
        <is>
          <t>No</t>
        </is>
      </c>
      <c r="F1942" s="2" t="n">
        <v>0.986</v>
      </c>
      <c r="G1942" s="6" t="n">
        <v>37.4</v>
      </c>
      <c r="H1942" s="6">
        <f>F1942*G1942</f>
        <v/>
      </c>
      <c r="I1942">
        <f>_xlfn.XLOOKUP(A1942,MktTitle,MktCat,"n/a")</f>
        <v/>
      </c>
      <c r="J1942" s="3">
        <f>_xlfn.XLOOKUP(A1942,MktTitle,MktTotVol,0)</f>
        <v/>
      </c>
      <c r="K1942">
        <f>IF(H1942&gt;WhaleThreshold,"WHALE","")</f>
        <v/>
      </c>
    </row>
    <row r="1943">
      <c r="A1943" t="inlineStr">
        <is>
          <t>Will Belgium win the 2026 FIFA World Cup?</t>
        </is>
      </c>
      <c r="B1943" s="4" t="n">
        <v>46205</v>
      </c>
      <c r="C1943" s="5" t="n">
        <v>46205.9641550926</v>
      </c>
      <c r="D1943" t="inlineStr">
        <is>
          <t>BUY</t>
        </is>
      </c>
      <c r="E1943" t="inlineStr">
        <is>
          <t>No</t>
        </is>
      </c>
      <c r="F1943" s="2" t="n">
        <v>0.986</v>
      </c>
      <c r="G1943" s="6" t="n">
        <v>39</v>
      </c>
      <c r="H1943" s="6">
        <f>F1943*G1943</f>
        <v/>
      </c>
      <c r="I1943">
        <f>_xlfn.XLOOKUP(A1943,MktTitle,MktCat,"n/a")</f>
        <v/>
      </c>
      <c r="J1943" s="3">
        <f>_xlfn.XLOOKUP(A1943,MktTitle,MktTotVol,0)</f>
        <v/>
      </c>
      <c r="K1943">
        <f>IF(H1943&gt;WhaleThreshold,"WHALE","")</f>
        <v/>
      </c>
    </row>
    <row r="1944">
      <c r="A1944" t="inlineStr">
        <is>
          <t>Will Belgium win the 2026 FIFA World Cup?</t>
        </is>
      </c>
      <c r="B1944" s="4" t="n">
        <v>46205</v>
      </c>
      <c r="C1944" s="5" t="n">
        <v>46205.9641550926</v>
      </c>
      <c r="D1944" t="inlineStr">
        <is>
          <t>BUY</t>
        </is>
      </c>
      <c r="E1944" t="inlineStr">
        <is>
          <t>No</t>
        </is>
      </c>
      <c r="F1944" s="2" t="n">
        <v>0.986</v>
      </c>
      <c r="G1944" s="6" t="n">
        <v>15</v>
      </c>
      <c r="H1944" s="6">
        <f>F1944*G1944</f>
        <v/>
      </c>
      <c r="I1944">
        <f>_xlfn.XLOOKUP(A1944,MktTitle,MktCat,"n/a")</f>
        <v/>
      </c>
      <c r="J1944" s="3">
        <f>_xlfn.XLOOKUP(A1944,MktTitle,MktTotVol,0)</f>
        <v/>
      </c>
      <c r="K1944">
        <f>IF(H1944&gt;WhaleThreshold,"WHALE","")</f>
        <v/>
      </c>
    </row>
    <row r="1945">
      <c r="A1945" t="inlineStr">
        <is>
          <t>Will Belgium win the 2026 FIFA World Cup?</t>
        </is>
      </c>
      <c r="B1945" s="4" t="n">
        <v>46205</v>
      </c>
      <c r="C1945" s="5" t="n">
        <v>46205.96414351852</v>
      </c>
      <c r="D1945" t="inlineStr">
        <is>
          <t>BUY</t>
        </is>
      </c>
      <c r="E1945" t="inlineStr">
        <is>
          <t>No</t>
        </is>
      </c>
      <c r="F1945" s="2" t="n">
        <v>0.986</v>
      </c>
      <c r="G1945" s="6" t="n">
        <v>116</v>
      </c>
      <c r="H1945" s="6">
        <f>F1945*G1945</f>
        <v/>
      </c>
      <c r="I1945">
        <f>_xlfn.XLOOKUP(A1945,MktTitle,MktCat,"n/a")</f>
        <v/>
      </c>
      <c r="J1945" s="3">
        <f>_xlfn.XLOOKUP(A1945,MktTitle,MktTotVol,0)</f>
        <v/>
      </c>
      <c r="K1945">
        <f>IF(H1945&gt;WhaleThreshold,"WHALE","")</f>
        <v/>
      </c>
    </row>
    <row r="1946">
      <c r="A1946" t="inlineStr">
        <is>
          <t>Will Belgium win the 2026 FIFA World Cup?</t>
        </is>
      </c>
      <c r="B1946" s="4" t="n">
        <v>46205</v>
      </c>
      <c r="C1946" s="5" t="n">
        <v>46205.96412037037</v>
      </c>
      <c r="D1946" t="inlineStr">
        <is>
          <t>BUY</t>
        </is>
      </c>
      <c r="E1946" t="inlineStr">
        <is>
          <t>No</t>
        </is>
      </c>
      <c r="F1946" s="2" t="n">
        <v>0.986</v>
      </c>
      <c r="G1946" s="6" t="n">
        <v>62</v>
      </c>
      <c r="H1946" s="6">
        <f>F1946*G1946</f>
        <v/>
      </c>
      <c r="I1946">
        <f>_xlfn.XLOOKUP(A1946,MktTitle,MktCat,"n/a")</f>
        <v/>
      </c>
      <c r="J1946" s="3">
        <f>_xlfn.XLOOKUP(A1946,MktTitle,MktTotVol,0)</f>
        <v/>
      </c>
      <c r="K1946">
        <f>IF(H1946&gt;WhaleThreshold,"WHALE","")</f>
        <v/>
      </c>
    </row>
    <row r="1947">
      <c r="A1947" t="inlineStr">
        <is>
          <t>Will Belgium win the 2026 FIFA World Cup?</t>
        </is>
      </c>
      <c r="B1947" s="4" t="n">
        <v>46205</v>
      </c>
      <c r="C1947" s="5" t="n">
        <v>46205.9641087963</v>
      </c>
      <c r="D1947" t="inlineStr">
        <is>
          <t>BUY</t>
        </is>
      </c>
      <c r="E1947" t="inlineStr">
        <is>
          <t>No</t>
        </is>
      </c>
      <c r="F1947" s="2" t="n">
        <v>0.986</v>
      </c>
      <c r="G1947" s="6" t="n">
        <v>110</v>
      </c>
      <c r="H1947" s="6">
        <f>F1947*G1947</f>
        <v/>
      </c>
      <c r="I1947">
        <f>_xlfn.XLOOKUP(A1947,MktTitle,MktCat,"n/a")</f>
        <v/>
      </c>
      <c r="J1947" s="3">
        <f>_xlfn.XLOOKUP(A1947,MktTitle,MktTotVol,0)</f>
        <v/>
      </c>
      <c r="K1947">
        <f>IF(H1947&gt;WhaleThreshold,"WHALE","")</f>
        <v/>
      </c>
    </row>
    <row r="1948">
      <c r="A1948" t="inlineStr">
        <is>
          <t>Will Belgium win the 2026 FIFA World Cup?</t>
        </is>
      </c>
      <c r="B1948" s="4" t="n">
        <v>46205</v>
      </c>
      <c r="C1948" s="5" t="n">
        <v>46205.9641087963</v>
      </c>
      <c r="D1948" t="inlineStr">
        <is>
          <t>BUY</t>
        </is>
      </c>
      <c r="E1948" t="inlineStr">
        <is>
          <t>No</t>
        </is>
      </c>
      <c r="F1948" s="2" t="n">
        <v>0.986</v>
      </c>
      <c r="G1948" s="6" t="n">
        <v>25.5</v>
      </c>
      <c r="H1948" s="6">
        <f>F1948*G1948</f>
        <v/>
      </c>
      <c r="I1948">
        <f>_xlfn.XLOOKUP(A1948,MktTitle,MktCat,"n/a")</f>
        <v/>
      </c>
      <c r="J1948" s="3">
        <f>_xlfn.XLOOKUP(A1948,MktTitle,MktTotVol,0)</f>
        <v/>
      </c>
      <c r="K1948">
        <f>IF(H1948&gt;WhaleThreshold,"WHALE","")</f>
        <v/>
      </c>
    </row>
    <row r="1949">
      <c r="A1949" t="inlineStr">
        <is>
          <t>Will Belgium win the 2026 FIFA World Cup?</t>
        </is>
      </c>
      <c r="B1949" s="4" t="n">
        <v>46205</v>
      </c>
      <c r="C1949" s="5" t="n">
        <v>46205.9641087963</v>
      </c>
      <c r="D1949" t="inlineStr">
        <is>
          <t>BUY</t>
        </is>
      </c>
      <c r="E1949" t="inlineStr">
        <is>
          <t>No</t>
        </is>
      </c>
      <c r="F1949" s="2" t="n">
        <v>0.986</v>
      </c>
      <c r="G1949" s="6" t="n">
        <v>10</v>
      </c>
      <c r="H1949" s="6">
        <f>F1949*G1949</f>
        <v/>
      </c>
      <c r="I1949">
        <f>_xlfn.XLOOKUP(A1949,MktTitle,MktCat,"n/a")</f>
        <v/>
      </c>
      <c r="J1949" s="3">
        <f>_xlfn.XLOOKUP(A1949,MktTitle,MktTotVol,0)</f>
        <v/>
      </c>
      <c r="K1949">
        <f>IF(H1949&gt;WhaleThreshold,"WHALE","")</f>
        <v/>
      </c>
    </row>
    <row r="1950">
      <c r="A1950" t="inlineStr">
        <is>
          <t>Will Belgium win the 2026 FIFA World Cup?</t>
        </is>
      </c>
      <c r="B1950" s="4" t="n">
        <v>46205</v>
      </c>
      <c r="C1950" s="5" t="n">
        <v>46205.96408564815</v>
      </c>
      <c r="D1950" t="inlineStr">
        <is>
          <t>BUY</t>
        </is>
      </c>
      <c r="E1950" t="inlineStr">
        <is>
          <t>No</t>
        </is>
      </c>
      <c r="F1950" s="2" t="n">
        <v>0.986</v>
      </c>
      <c r="G1950" s="6" t="n">
        <v>51.1</v>
      </c>
      <c r="H1950" s="6">
        <f>F1950*G1950</f>
        <v/>
      </c>
      <c r="I1950">
        <f>_xlfn.XLOOKUP(A1950,MktTitle,MktCat,"n/a")</f>
        <v/>
      </c>
      <c r="J1950" s="3">
        <f>_xlfn.XLOOKUP(A1950,MktTitle,MktTotVol,0)</f>
        <v/>
      </c>
      <c r="K1950">
        <f>IF(H1950&gt;WhaleThreshold,"WHALE","")</f>
        <v/>
      </c>
    </row>
    <row r="1951">
      <c r="A1951" t="inlineStr">
        <is>
          <t>Will Belgium win the 2026 FIFA World Cup?</t>
        </is>
      </c>
      <c r="B1951" s="4" t="n">
        <v>46205</v>
      </c>
      <c r="C1951" s="5" t="n">
        <v>46205.96408564815</v>
      </c>
      <c r="D1951" t="inlineStr">
        <is>
          <t>BUY</t>
        </is>
      </c>
      <c r="E1951" t="inlineStr">
        <is>
          <t>No</t>
        </is>
      </c>
      <c r="F1951" s="2" t="n">
        <v>0.986</v>
      </c>
      <c r="G1951" s="6" t="n">
        <v>110</v>
      </c>
      <c r="H1951" s="6">
        <f>F1951*G1951</f>
        <v/>
      </c>
      <c r="I1951">
        <f>_xlfn.XLOOKUP(A1951,MktTitle,MktCat,"n/a")</f>
        <v/>
      </c>
      <c r="J1951" s="3">
        <f>_xlfn.XLOOKUP(A1951,MktTitle,MktTotVol,0)</f>
        <v/>
      </c>
      <c r="K1951">
        <f>IF(H1951&gt;WhaleThreshold,"WHALE","")</f>
        <v/>
      </c>
    </row>
    <row r="1952">
      <c r="A1952" t="inlineStr">
        <is>
          <t>Will Belgium win the 2026 FIFA World Cup?</t>
        </is>
      </c>
      <c r="B1952" s="4" t="n">
        <v>46205</v>
      </c>
      <c r="C1952" s="5" t="n">
        <v>46205.96408564815</v>
      </c>
      <c r="D1952" t="inlineStr">
        <is>
          <t>BUY</t>
        </is>
      </c>
      <c r="E1952" t="inlineStr">
        <is>
          <t>No</t>
        </is>
      </c>
      <c r="F1952" s="2" t="n">
        <v>0.986</v>
      </c>
      <c r="G1952" s="6" t="n">
        <v>110</v>
      </c>
      <c r="H1952" s="6">
        <f>F1952*G1952</f>
        <v/>
      </c>
      <c r="I1952">
        <f>_xlfn.XLOOKUP(A1952,MktTitle,MktCat,"n/a")</f>
        <v/>
      </c>
      <c r="J1952" s="3">
        <f>_xlfn.XLOOKUP(A1952,MktTitle,MktTotVol,0)</f>
        <v/>
      </c>
      <c r="K1952">
        <f>IF(H1952&gt;WhaleThreshold,"WHALE","")</f>
        <v/>
      </c>
    </row>
    <row r="1953">
      <c r="A1953" t="inlineStr">
        <is>
          <t>Will Belgium win the 2026 FIFA World Cup?</t>
        </is>
      </c>
      <c r="B1953" s="4" t="n">
        <v>46205</v>
      </c>
      <c r="C1953" s="5" t="n">
        <v>46205.96407407407</v>
      </c>
      <c r="D1953" t="inlineStr">
        <is>
          <t>BUY</t>
        </is>
      </c>
      <c r="E1953" t="inlineStr">
        <is>
          <t>No</t>
        </is>
      </c>
      <c r="F1953" s="2" t="n">
        <v>0.986</v>
      </c>
      <c r="G1953" s="6" t="n">
        <v>73.59999999999999</v>
      </c>
      <c r="H1953" s="6">
        <f>F1953*G1953</f>
        <v/>
      </c>
      <c r="I1953">
        <f>_xlfn.XLOOKUP(A1953,MktTitle,MktCat,"n/a")</f>
        <v/>
      </c>
      <c r="J1953" s="3">
        <f>_xlfn.XLOOKUP(A1953,MktTitle,MktTotVol,0)</f>
        <v/>
      </c>
      <c r="K1953">
        <f>IF(H1953&gt;WhaleThreshold,"WHALE","")</f>
        <v/>
      </c>
    </row>
    <row r="1954">
      <c r="A1954" t="inlineStr">
        <is>
          <t>Will Belgium win the 2026 FIFA World Cup?</t>
        </is>
      </c>
      <c r="B1954" s="4" t="n">
        <v>46205</v>
      </c>
      <c r="C1954" s="5" t="n">
        <v>46205.96407407407</v>
      </c>
      <c r="D1954" t="inlineStr">
        <is>
          <t>BUY</t>
        </is>
      </c>
      <c r="E1954" t="inlineStr">
        <is>
          <t>No</t>
        </is>
      </c>
      <c r="F1954" s="2" t="n">
        <v>0.986</v>
      </c>
      <c r="G1954" s="6" t="n">
        <v>5</v>
      </c>
      <c r="H1954" s="6">
        <f>F1954*G1954</f>
        <v/>
      </c>
      <c r="I1954">
        <f>_xlfn.XLOOKUP(A1954,MktTitle,MktCat,"n/a")</f>
        <v/>
      </c>
      <c r="J1954" s="3">
        <f>_xlfn.XLOOKUP(A1954,MktTitle,MktTotVol,0)</f>
        <v/>
      </c>
      <c r="K1954">
        <f>IF(H1954&gt;WhaleThreshold,"WHALE","")</f>
        <v/>
      </c>
    </row>
    <row r="1955">
      <c r="A1955" t="inlineStr">
        <is>
          <t>Will Belgium win the 2026 FIFA World Cup?</t>
        </is>
      </c>
      <c r="B1955" s="4" t="n">
        <v>46205</v>
      </c>
      <c r="C1955" s="5" t="n">
        <v>46205.96403935185</v>
      </c>
      <c r="D1955" t="inlineStr">
        <is>
          <t>BUY</t>
        </is>
      </c>
      <c r="E1955" t="inlineStr">
        <is>
          <t>No</t>
        </is>
      </c>
      <c r="F1955" s="2" t="n">
        <v>0.986</v>
      </c>
      <c r="G1955" s="6" t="n">
        <v>115</v>
      </c>
      <c r="H1955" s="6">
        <f>F1955*G1955</f>
        <v/>
      </c>
      <c r="I1955">
        <f>_xlfn.XLOOKUP(A1955,MktTitle,MktCat,"n/a")</f>
        <v/>
      </c>
      <c r="J1955" s="3">
        <f>_xlfn.XLOOKUP(A1955,MktTitle,MktTotVol,0)</f>
        <v/>
      </c>
      <c r="K1955">
        <f>IF(H1955&gt;WhaleThreshold,"WHALE","")</f>
        <v/>
      </c>
    </row>
    <row r="1956">
      <c r="A1956" t="inlineStr">
        <is>
          <t>Will Belgium win the 2026 FIFA World Cup?</t>
        </is>
      </c>
      <c r="B1956" s="4" t="n">
        <v>46205</v>
      </c>
      <c r="C1956" s="5" t="n">
        <v>46205.96383101852</v>
      </c>
      <c r="D1956" t="inlineStr">
        <is>
          <t>BUY</t>
        </is>
      </c>
      <c r="E1956" t="inlineStr">
        <is>
          <t>No</t>
        </is>
      </c>
      <c r="F1956" s="2" t="n">
        <v>0.986</v>
      </c>
      <c r="G1956" s="6" t="n">
        <v>19.7769</v>
      </c>
      <c r="H1956" s="6">
        <f>F1956*G1956</f>
        <v/>
      </c>
      <c r="I1956">
        <f>_xlfn.XLOOKUP(A1956,MktTitle,MktCat,"n/a")</f>
        <v/>
      </c>
      <c r="J1956" s="3">
        <f>_xlfn.XLOOKUP(A1956,MktTitle,MktTotVol,0)</f>
        <v/>
      </c>
      <c r="K1956">
        <f>IF(H1956&gt;WhaleThreshold,"WHALE","")</f>
        <v/>
      </c>
    </row>
    <row r="1957">
      <c r="A1957" t="inlineStr">
        <is>
          <t>Will Belgium win the 2026 FIFA World Cup?</t>
        </is>
      </c>
      <c r="B1957" s="4" t="n">
        <v>46205</v>
      </c>
      <c r="C1957" s="5" t="n">
        <v>46205.96380787037</v>
      </c>
      <c r="D1957" t="inlineStr">
        <is>
          <t>SELL</t>
        </is>
      </c>
      <c r="E1957" t="inlineStr">
        <is>
          <t>Yes</t>
        </is>
      </c>
      <c r="F1957" s="2" t="n">
        <v>0.014</v>
      </c>
      <c r="G1957" s="6" t="n">
        <v>4761.9</v>
      </c>
      <c r="H1957" s="6">
        <f>F1957*G1957</f>
        <v/>
      </c>
      <c r="I1957">
        <f>_xlfn.XLOOKUP(A1957,MktTitle,MktCat,"n/a")</f>
        <v/>
      </c>
      <c r="J1957" s="3">
        <f>_xlfn.XLOOKUP(A1957,MktTitle,MktTotVol,0)</f>
        <v/>
      </c>
      <c r="K1957">
        <f>IF(H1957&gt;WhaleThreshold,"WHALE","")</f>
        <v/>
      </c>
    </row>
    <row r="1958">
      <c r="A1958" t="inlineStr">
        <is>
          <t>Will Belgium win the 2026 FIFA World Cup?</t>
        </is>
      </c>
      <c r="B1958" s="4" t="n">
        <v>46205</v>
      </c>
      <c r="C1958" s="5" t="n">
        <v>46205.96325231482</v>
      </c>
      <c r="D1958" t="inlineStr">
        <is>
          <t>BUY</t>
        </is>
      </c>
      <c r="E1958" t="inlineStr">
        <is>
          <t>No</t>
        </is>
      </c>
      <c r="F1958" s="2" t="n">
        <v>0.986</v>
      </c>
      <c r="G1958" s="6" t="n">
        <v>20</v>
      </c>
      <c r="H1958" s="6">
        <f>F1958*G1958</f>
        <v/>
      </c>
      <c r="I1958">
        <f>_xlfn.XLOOKUP(A1958,MktTitle,MktCat,"n/a")</f>
        <v/>
      </c>
      <c r="J1958" s="3">
        <f>_xlfn.XLOOKUP(A1958,MktTitle,MktTotVol,0)</f>
        <v/>
      </c>
      <c r="K1958">
        <f>IF(H1958&gt;WhaleThreshold,"WHALE","")</f>
        <v/>
      </c>
    </row>
    <row r="1959">
      <c r="A1959" t="inlineStr">
        <is>
          <t>Will Belgium win the 2026 FIFA World Cup?</t>
        </is>
      </c>
      <c r="B1959" s="4" t="n">
        <v>46205</v>
      </c>
      <c r="C1959" s="5" t="n">
        <v>46205.96325231482</v>
      </c>
      <c r="D1959" t="inlineStr">
        <is>
          <t>BUY</t>
        </is>
      </c>
      <c r="E1959" t="inlineStr">
        <is>
          <t>No</t>
        </is>
      </c>
      <c r="F1959" s="2" t="n">
        <v>0.986</v>
      </c>
      <c r="G1959" s="6" t="n">
        <v>16</v>
      </c>
      <c r="H1959" s="6">
        <f>F1959*G1959</f>
        <v/>
      </c>
      <c r="I1959">
        <f>_xlfn.XLOOKUP(A1959,MktTitle,MktCat,"n/a")</f>
        <v/>
      </c>
      <c r="J1959" s="3">
        <f>_xlfn.XLOOKUP(A1959,MktTitle,MktTotVol,0)</f>
        <v/>
      </c>
      <c r="K1959">
        <f>IF(H1959&gt;WhaleThreshold,"WHALE","")</f>
        <v/>
      </c>
    </row>
    <row r="1960">
      <c r="A1960" t="inlineStr">
        <is>
          <t>Will Belgium win the 2026 FIFA World Cup?</t>
        </is>
      </c>
      <c r="B1960" s="4" t="n">
        <v>46205</v>
      </c>
      <c r="C1960" s="5" t="n">
        <v>46205.96321759259</v>
      </c>
      <c r="D1960" t="inlineStr">
        <is>
          <t>BUY</t>
        </is>
      </c>
      <c r="E1960" t="inlineStr">
        <is>
          <t>No</t>
        </is>
      </c>
      <c r="F1960" s="2" t="n">
        <v>0.986</v>
      </c>
      <c r="G1960" s="6" t="n">
        <v>2.1</v>
      </c>
      <c r="H1960" s="6">
        <f>F1960*G1960</f>
        <v/>
      </c>
      <c r="I1960">
        <f>_xlfn.XLOOKUP(A1960,MktTitle,MktCat,"n/a")</f>
        <v/>
      </c>
      <c r="J1960" s="3">
        <f>_xlfn.XLOOKUP(A1960,MktTitle,MktTotVol,0)</f>
        <v/>
      </c>
      <c r="K1960">
        <f>IF(H1960&gt;WhaleThreshold,"WHALE","")</f>
        <v/>
      </c>
    </row>
    <row r="1961">
      <c r="A1961" t="inlineStr">
        <is>
          <t>Will Belgium win the 2026 FIFA World Cup?</t>
        </is>
      </c>
      <c r="B1961" s="4" t="n">
        <v>46205</v>
      </c>
      <c r="C1961" s="5" t="n">
        <v>46205.96300925926</v>
      </c>
      <c r="D1961" t="inlineStr">
        <is>
          <t>BUY</t>
        </is>
      </c>
      <c r="E1961" t="inlineStr">
        <is>
          <t>No</t>
        </is>
      </c>
      <c r="F1961" s="2" t="n">
        <v>0.986</v>
      </c>
      <c r="G1961" s="6" t="n">
        <v>10</v>
      </c>
      <c r="H1961" s="6">
        <f>F1961*G1961</f>
        <v/>
      </c>
      <c r="I1961">
        <f>_xlfn.XLOOKUP(A1961,MktTitle,MktCat,"n/a")</f>
        <v/>
      </c>
      <c r="J1961" s="3">
        <f>_xlfn.XLOOKUP(A1961,MktTitle,MktTotVol,0)</f>
        <v/>
      </c>
      <c r="K1961">
        <f>IF(H1961&gt;WhaleThreshold,"WHALE","")</f>
        <v/>
      </c>
    </row>
    <row r="1962">
      <c r="A1962" t="inlineStr">
        <is>
          <t>Will Belgium win the 2026 FIFA World Cup?</t>
        </is>
      </c>
      <c r="B1962" s="4" t="n">
        <v>46205</v>
      </c>
      <c r="C1962" s="5" t="n">
        <v>46205.96275462963</v>
      </c>
      <c r="D1962" t="inlineStr">
        <is>
          <t>BUY</t>
        </is>
      </c>
      <c r="E1962" t="inlineStr">
        <is>
          <t>No</t>
        </is>
      </c>
      <c r="F1962" s="2" t="n">
        <v>0.986</v>
      </c>
      <c r="G1962" s="6" t="n">
        <v>50</v>
      </c>
      <c r="H1962" s="6">
        <f>F1962*G1962</f>
        <v/>
      </c>
      <c r="I1962">
        <f>_xlfn.XLOOKUP(A1962,MktTitle,MktCat,"n/a")</f>
        <v/>
      </c>
      <c r="J1962" s="3">
        <f>_xlfn.XLOOKUP(A1962,MktTitle,MktTotVol,0)</f>
        <v/>
      </c>
      <c r="K1962">
        <f>IF(H1962&gt;WhaleThreshold,"WHALE","")</f>
        <v/>
      </c>
    </row>
    <row r="1963">
      <c r="A1963" t="inlineStr">
        <is>
          <t>Will Belgium win the 2026 FIFA World Cup?</t>
        </is>
      </c>
      <c r="B1963" s="4" t="n">
        <v>46205</v>
      </c>
      <c r="C1963" s="5" t="n">
        <v>46205.96266203704</v>
      </c>
      <c r="D1963" t="inlineStr">
        <is>
          <t>BUY</t>
        </is>
      </c>
      <c r="E1963" t="inlineStr">
        <is>
          <t>No</t>
        </is>
      </c>
      <c r="F1963" s="2" t="n">
        <v>0.986</v>
      </c>
      <c r="G1963" s="6" t="n">
        <v>38.3</v>
      </c>
      <c r="H1963" s="6">
        <f>F1963*G1963</f>
        <v/>
      </c>
      <c r="I1963">
        <f>_xlfn.XLOOKUP(A1963,MktTitle,MktCat,"n/a")</f>
        <v/>
      </c>
      <c r="J1963" s="3">
        <f>_xlfn.XLOOKUP(A1963,MktTitle,MktTotVol,0)</f>
        <v/>
      </c>
      <c r="K1963">
        <f>IF(H1963&gt;WhaleThreshold,"WHALE","")</f>
        <v/>
      </c>
    </row>
    <row r="1964">
      <c r="A1964" t="inlineStr">
        <is>
          <t>Will Belgium win the 2026 FIFA World Cup?</t>
        </is>
      </c>
      <c r="B1964" s="4" t="n">
        <v>46205</v>
      </c>
      <c r="C1964" s="5" t="n">
        <v>46205.96266203704</v>
      </c>
      <c r="D1964" t="inlineStr">
        <is>
          <t>BUY</t>
        </is>
      </c>
      <c r="E1964" t="inlineStr">
        <is>
          <t>No</t>
        </is>
      </c>
      <c r="F1964" s="2" t="n">
        <v>0.986</v>
      </c>
      <c r="G1964" s="6" t="n">
        <v>115</v>
      </c>
      <c r="H1964" s="6">
        <f>F1964*G1964</f>
        <v/>
      </c>
      <c r="I1964">
        <f>_xlfn.XLOOKUP(A1964,MktTitle,MktCat,"n/a")</f>
        <v/>
      </c>
      <c r="J1964" s="3">
        <f>_xlfn.XLOOKUP(A1964,MktTitle,MktTotVol,0)</f>
        <v/>
      </c>
      <c r="K1964">
        <f>IF(H1964&gt;WhaleThreshold,"WHALE","")</f>
        <v/>
      </c>
    </row>
    <row r="1965">
      <c r="A1965" t="inlineStr">
        <is>
          <t>Will Belgium win the 2026 FIFA World Cup?</t>
        </is>
      </c>
      <c r="B1965" s="4" t="n">
        <v>46205</v>
      </c>
      <c r="C1965" s="5" t="n">
        <v>46205.96266203704</v>
      </c>
      <c r="D1965" t="inlineStr">
        <is>
          <t>BUY</t>
        </is>
      </c>
      <c r="E1965" t="inlineStr">
        <is>
          <t>No</t>
        </is>
      </c>
      <c r="F1965" s="2" t="n">
        <v>0.986</v>
      </c>
      <c r="G1965" s="6" t="n">
        <v>10</v>
      </c>
      <c r="H1965" s="6">
        <f>F1965*G1965</f>
        <v/>
      </c>
      <c r="I1965">
        <f>_xlfn.XLOOKUP(A1965,MktTitle,MktCat,"n/a")</f>
        <v/>
      </c>
      <c r="J1965" s="3">
        <f>_xlfn.XLOOKUP(A1965,MktTitle,MktTotVol,0)</f>
        <v/>
      </c>
      <c r="K1965">
        <f>IF(H1965&gt;WhaleThreshold,"WHALE","")</f>
        <v/>
      </c>
    </row>
    <row r="1966">
      <c r="A1966" t="inlineStr">
        <is>
          <t>Will Belgium win the 2026 FIFA World Cup?</t>
        </is>
      </c>
      <c r="B1966" s="4" t="n">
        <v>46205</v>
      </c>
      <c r="C1966" s="5" t="n">
        <v>46205.96266203704</v>
      </c>
      <c r="D1966" t="inlineStr">
        <is>
          <t>BUY</t>
        </is>
      </c>
      <c r="E1966" t="inlineStr">
        <is>
          <t>No</t>
        </is>
      </c>
      <c r="F1966" s="2" t="n">
        <v>0.986</v>
      </c>
      <c r="G1966" s="6" t="n">
        <v>50</v>
      </c>
      <c r="H1966" s="6">
        <f>F1966*G1966</f>
        <v/>
      </c>
      <c r="I1966">
        <f>_xlfn.XLOOKUP(A1966,MktTitle,MktCat,"n/a")</f>
        <v/>
      </c>
      <c r="J1966" s="3">
        <f>_xlfn.XLOOKUP(A1966,MktTitle,MktTotVol,0)</f>
        <v/>
      </c>
      <c r="K1966">
        <f>IF(H1966&gt;WhaleThreshold,"WHALE","")</f>
        <v/>
      </c>
    </row>
    <row r="1967">
      <c r="A1967" t="inlineStr">
        <is>
          <t>Will Belgium win the 2026 FIFA World Cup?</t>
        </is>
      </c>
      <c r="B1967" s="4" t="n">
        <v>46205</v>
      </c>
      <c r="C1967" s="5" t="n">
        <v>46205.96266203704</v>
      </c>
      <c r="D1967" t="inlineStr">
        <is>
          <t>BUY</t>
        </is>
      </c>
      <c r="E1967" t="inlineStr">
        <is>
          <t>No</t>
        </is>
      </c>
      <c r="F1967" s="2" t="n">
        <v>0.986</v>
      </c>
      <c r="G1967" s="6" t="n">
        <v>73.59999999999999</v>
      </c>
      <c r="H1967" s="6">
        <f>F1967*G1967</f>
        <v/>
      </c>
      <c r="I1967">
        <f>_xlfn.XLOOKUP(A1967,MktTitle,MktCat,"n/a")</f>
        <v/>
      </c>
      <c r="J1967" s="3">
        <f>_xlfn.XLOOKUP(A1967,MktTitle,MktTotVol,0)</f>
        <v/>
      </c>
      <c r="K1967">
        <f>IF(H1967&gt;WhaleThreshold,"WHALE","")</f>
        <v/>
      </c>
    </row>
    <row r="1968">
      <c r="A1968" t="inlineStr">
        <is>
          <t>Will Belgium win the 2026 FIFA World Cup?</t>
        </is>
      </c>
      <c r="B1968" s="4" t="n">
        <v>46205</v>
      </c>
      <c r="C1968" s="5" t="n">
        <v>46205.96259259259</v>
      </c>
      <c r="D1968" t="inlineStr">
        <is>
          <t>BUY</t>
        </is>
      </c>
      <c r="E1968" t="inlineStr">
        <is>
          <t>No</t>
        </is>
      </c>
      <c r="F1968" s="2" t="n">
        <v>0.986</v>
      </c>
      <c r="G1968" s="6" t="n">
        <v>26.1</v>
      </c>
      <c r="H1968" s="6">
        <f>F1968*G1968</f>
        <v/>
      </c>
      <c r="I1968">
        <f>_xlfn.XLOOKUP(A1968,MktTitle,MktCat,"n/a")</f>
        <v/>
      </c>
      <c r="J1968" s="3">
        <f>_xlfn.XLOOKUP(A1968,MktTitle,MktTotVol,0)</f>
        <v/>
      </c>
      <c r="K1968">
        <f>IF(H1968&gt;WhaleThreshold,"WHALE","")</f>
        <v/>
      </c>
    </row>
    <row r="1969">
      <c r="A1969" t="inlineStr">
        <is>
          <t>Will Belgium win the 2026 FIFA World Cup?</t>
        </is>
      </c>
      <c r="B1969" s="4" t="n">
        <v>46205</v>
      </c>
      <c r="C1969" s="5" t="n">
        <v>46205.96255787037</v>
      </c>
      <c r="D1969" t="inlineStr">
        <is>
          <t>BUY</t>
        </is>
      </c>
      <c r="E1969" t="inlineStr">
        <is>
          <t>No</t>
        </is>
      </c>
      <c r="F1969" s="2" t="n">
        <v>0.986</v>
      </c>
      <c r="G1969" s="6" t="n">
        <v>20</v>
      </c>
      <c r="H1969" s="6">
        <f>F1969*G1969</f>
        <v/>
      </c>
      <c r="I1969">
        <f>_xlfn.XLOOKUP(A1969,MktTitle,MktCat,"n/a")</f>
        <v/>
      </c>
      <c r="J1969" s="3">
        <f>_xlfn.XLOOKUP(A1969,MktTitle,MktTotVol,0)</f>
        <v/>
      </c>
      <c r="K1969">
        <f>IF(H1969&gt;WhaleThreshold,"WHALE","")</f>
        <v/>
      </c>
    </row>
    <row r="1970">
      <c r="A1970" t="inlineStr">
        <is>
          <t>Will Belgium win the 2026 FIFA World Cup?</t>
        </is>
      </c>
      <c r="B1970" s="4" t="n">
        <v>46205</v>
      </c>
      <c r="C1970" s="5" t="n">
        <v>46205.96254629629</v>
      </c>
      <c r="D1970" t="inlineStr">
        <is>
          <t>BUY</t>
        </is>
      </c>
      <c r="E1970" t="inlineStr">
        <is>
          <t>No</t>
        </is>
      </c>
      <c r="F1970" s="2" t="n">
        <v>0.986</v>
      </c>
      <c r="G1970" s="6" t="n">
        <v>10</v>
      </c>
      <c r="H1970" s="6">
        <f>F1970*G1970</f>
        <v/>
      </c>
      <c r="I1970">
        <f>_xlfn.XLOOKUP(A1970,MktTitle,MktCat,"n/a")</f>
        <v/>
      </c>
      <c r="J1970" s="3">
        <f>_xlfn.XLOOKUP(A1970,MktTitle,MktTotVol,0)</f>
        <v/>
      </c>
      <c r="K1970">
        <f>IF(H1970&gt;WhaleThreshold,"WHALE","")</f>
        <v/>
      </c>
    </row>
    <row r="1971">
      <c r="A1971" t="inlineStr">
        <is>
          <t>Will Belgium win the 2026 FIFA World Cup?</t>
        </is>
      </c>
      <c r="B1971" s="4" t="n">
        <v>46205</v>
      </c>
      <c r="C1971" s="5" t="n">
        <v>46205.9624537037</v>
      </c>
      <c r="D1971" t="inlineStr">
        <is>
          <t>SELL</t>
        </is>
      </c>
      <c r="E1971" t="inlineStr">
        <is>
          <t>Yes</t>
        </is>
      </c>
      <c r="F1971" s="2" t="n">
        <v>0.014</v>
      </c>
      <c r="G1971" s="6" t="n">
        <v>252</v>
      </c>
      <c r="H1971" s="6">
        <f>F1971*G1971</f>
        <v/>
      </c>
      <c r="I1971">
        <f>_xlfn.XLOOKUP(A1971,MktTitle,MktCat,"n/a")</f>
        <v/>
      </c>
      <c r="J1971" s="3">
        <f>_xlfn.XLOOKUP(A1971,MktTitle,MktTotVol,0)</f>
        <v/>
      </c>
      <c r="K1971">
        <f>IF(H1971&gt;WhaleThreshold,"WHALE","")</f>
        <v/>
      </c>
    </row>
    <row r="1972">
      <c r="A1972" t="inlineStr">
        <is>
          <t>Will Belgium win the 2026 FIFA World Cup?</t>
        </is>
      </c>
      <c r="B1972" s="4" t="n">
        <v>46205</v>
      </c>
      <c r="C1972" s="5" t="n">
        <v>46205.96200231482</v>
      </c>
      <c r="D1972" t="inlineStr">
        <is>
          <t>BUY</t>
        </is>
      </c>
      <c r="E1972" t="inlineStr">
        <is>
          <t>No</t>
        </is>
      </c>
      <c r="F1972" s="2" t="n">
        <v>0.986</v>
      </c>
      <c r="G1972" s="6" t="n">
        <v>10</v>
      </c>
      <c r="H1972" s="6">
        <f>F1972*G1972</f>
        <v/>
      </c>
      <c r="I1972">
        <f>_xlfn.XLOOKUP(A1972,MktTitle,MktCat,"n/a")</f>
        <v/>
      </c>
      <c r="J1972" s="3">
        <f>_xlfn.XLOOKUP(A1972,MktTitle,MktTotVol,0)</f>
        <v/>
      </c>
      <c r="K1972">
        <f>IF(H1972&gt;WhaleThreshold,"WHALE","")</f>
        <v/>
      </c>
    </row>
    <row r="1973">
      <c r="A1973" t="inlineStr">
        <is>
          <t>Will Belgium win the 2026 FIFA World Cup?</t>
        </is>
      </c>
      <c r="B1973" s="4" t="n">
        <v>46205</v>
      </c>
      <c r="C1973" s="5" t="n">
        <v>46205.96199074074</v>
      </c>
      <c r="D1973" t="inlineStr">
        <is>
          <t>BUY</t>
        </is>
      </c>
      <c r="E1973" t="inlineStr">
        <is>
          <t>No</t>
        </is>
      </c>
      <c r="F1973" s="2" t="n">
        <v>0.986</v>
      </c>
      <c r="G1973" s="6" t="n">
        <v>10</v>
      </c>
      <c r="H1973" s="6">
        <f>F1973*G1973</f>
        <v/>
      </c>
      <c r="I1973">
        <f>_xlfn.XLOOKUP(A1973,MktTitle,MktCat,"n/a")</f>
        <v/>
      </c>
      <c r="J1973" s="3">
        <f>_xlfn.XLOOKUP(A1973,MktTitle,MktTotVol,0)</f>
        <v/>
      </c>
      <c r="K1973">
        <f>IF(H1973&gt;WhaleThreshold,"WHALE","")</f>
        <v/>
      </c>
    </row>
    <row r="1974">
      <c r="A1974" t="inlineStr">
        <is>
          <t>Will Belgium win the 2026 FIFA World Cup?</t>
        </is>
      </c>
      <c r="B1974" s="4" t="n">
        <v>46205</v>
      </c>
      <c r="C1974" s="5" t="n">
        <v>46205.96195601852</v>
      </c>
      <c r="D1974" t="inlineStr">
        <is>
          <t>BUY</t>
        </is>
      </c>
      <c r="E1974" t="inlineStr">
        <is>
          <t>No</t>
        </is>
      </c>
      <c r="F1974" s="2" t="n">
        <v>0.986</v>
      </c>
      <c r="G1974" s="6" t="n">
        <v>10</v>
      </c>
      <c r="H1974" s="6">
        <f>F1974*G1974</f>
        <v/>
      </c>
      <c r="I1974">
        <f>_xlfn.XLOOKUP(A1974,MktTitle,MktCat,"n/a")</f>
        <v/>
      </c>
      <c r="J1974" s="3">
        <f>_xlfn.XLOOKUP(A1974,MktTitle,MktTotVol,0)</f>
        <v/>
      </c>
      <c r="K1974">
        <f>IF(H1974&gt;WhaleThreshold,"WHALE","")</f>
        <v/>
      </c>
    </row>
    <row r="1975">
      <c r="A1975" t="inlineStr">
        <is>
          <t>Will Belgium win the 2026 FIFA World Cup?</t>
        </is>
      </c>
      <c r="B1975" s="4" t="n">
        <v>46205</v>
      </c>
      <c r="C1975" s="5" t="n">
        <v>46205.96193287037</v>
      </c>
      <c r="D1975" t="inlineStr">
        <is>
          <t>BUY</t>
        </is>
      </c>
      <c r="E1975" t="inlineStr">
        <is>
          <t>No</t>
        </is>
      </c>
      <c r="F1975" s="2" t="n">
        <v>0.986</v>
      </c>
      <c r="G1975" s="6" t="n">
        <v>10</v>
      </c>
      <c r="H1975" s="6">
        <f>F1975*G1975</f>
        <v/>
      </c>
      <c r="I1975">
        <f>_xlfn.XLOOKUP(A1975,MktTitle,MktCat,"n/a")</f>
        <v/>
      </c>
      <c r="J1975" s="3">
        <f>_xlfn.XLOOKUP(A1975,MktTitle,MktTotVol,0)</f>
        <v/>
      </c>
      <c r="K1975">
        <f>IF(H1975&gt;WhaleThreshold,"WHALE","")</f>
        <v/>
      </c>
    </row>
    <row r="1976">
      <c r="A1976" t="inlineStr">
        <is>
          <t>Will Belgium win the 2026 FIFA World Cup?</t>
        </is>
      </c>
      <c r="B1976" s="4" t="n">
        <v>46205</v>
      </c>
      <c r="C1976" s="5" t="n">
        <v>46205.96192129629</v>
      </c>
      <c r="D1976" t="inlineStr">
        <is>
          <t>BUY</t>
        </is>
      </c>
      <c r="E1976" t="inlineStr">
        <is>
          <t>No</t>
        </is>
      </c>
      <c r="F1976" s="2" t="n">
        <v>0.986</v>
      </c>
      <c r="G1976" s="6" t="n">
        <v>10</v>
      </c>
      <c r="H1976" s="6">
        <f>F1976*G1976</f>
        <v/>
      </c>
      <c r="I1976">
        <f>_xlfn.XLOOKUP(A1976,MktTitle,MktCat,"n/a")</f>
        <v/>
      </c>
      <c r="J1976" s="3">
        <f>_xlfn.XLOOKUP(A1976,MktTitle,MktTotVol,0)</f>
        <v/>
      </c>
      <c r="K1976">
        <f>IF(H1976&gt;WhaleThreshold,"WHALE","")</f>
        <v/>
      </c>
    </row>
    <row r="1977">
      <c r="A1977" t="inlineStr">
        <is>
          <t>Will Belgium win the 2026 FIFA World Cup?</t>
        </is>
      </c>
      <c r="B1977" s="4" t="n">
        <v>46205</v>
      </c>
      <c r="C1977" s="5" t="n">
        <v>46205.96188657408</v>
      </c>
      <c r="D1977" t="inlineStr">
        <is>
          <t>BUY</t>
        </is>
      </c>
      <c r="E1977" t="inlineStr">
        <is>
          <t>No</t>
        </is>
      </c>
      <c r="F1977" s="2" t="n">
        <v>0.986</v>
      </c>
      <c r="G1977" s="6" t="n">
        <v>10</v>
      </c>
      <c r="H1977" s="6">
        <f>F1977*G1977</f>
        <v/>
      </c>
      <c r="I1977">
        <f>_xlfn.XLOOKUP(A1977,MktTitle,MktCat,"n/a")</f>
        <v/>
      </c>
      <c r="J1977" s="3">
        <f>_xlfn.XLOOKUP(A1977,MktTitle,MktTotVol,0)</f>
        <v/>
      </c>
      <c r="K1977">
        <f>IF(H1977&gt;WhaleThreshold,"WHALE","")</f>
        <v/>
      </c>
    </row>
    <row r="1978">
      <c r="A1978" t="inlineStr">
        <is>
          <t>Will Belgium win the 2026 FIFA World Cup?</t>
        </is>
      </c>
      <c r="B1978" s="4" t="n">
        <v>46205</v>
      </c>
      <c r="C1978" s="5" t="n">
        <v>46205.96185185185</v>
      </c>
      <c r="D1978" t="inlineStr">
        <is>
          <t>BUY</t>
        </is>
      </c>
      <c r="E1978" t="inlineStr">
        <is>
          <t>No</t>
        </is>
      </c>
      <c r="F1978" s="2" t="n">
        <v>0.986</v>
      </c>
      <c r="G1978" s="6" t="n">
        <v>10</v>
      </c>
      <c r="H1978" s="6">
        <f>F1978*G1978</f>
        <v/>
      </c>
      <c r="I1978">
        <f>_xlfn.XLOOKUP(A1978,MktTitle,MktCat,"n/a")</f>
        <v/>
      </c>
      <c r="J1978" s="3">
        <f>_xlfn.XLOOKUP(A1978,MktTitle,MktTotVol,0)</f>
        <v/>
      </c>
      <c r="K1978">
        <f>IF(H1978&gt;WhaleThreshold,"WHALE","")</f>
        <v/>
      </c>
    </row>
    <row r="1979">
      <c r="A1979" t="inlineStr">
        <is>
          <t>Will Belgium win the 2026 FIFA World Cup?</t>
        </is>
      </c>
      <c r="B1979" s="4" t="n">
        <v>46205</v>
      </c>
      <c r="C1979" s="5" t="n">
        <v>46205.96185185185</v>
      </c>
      <c r="D1979" t="inlineStr">
        <is>
          <t>BUY</t>
        </is>
      </c>
      <c r="E1979" t="inlineStr">
        <is>
          <t>No</t>
        </is>
      </c>
      <c r="F1979" s="2" t="n">
        <v>0.986</v>
      </c>
      <c r="G1979" s="6" t="n">
        <v>10</v>
      </c>
      <c r="H1979" s="6">
        <f>F1979*G1979</f>
        <v/>
      </c>
      <c r="I1979">
        <f>_xlfn.XLOOKUP(A1979,MktTitle,MktCat,"n/a")</f>
        <v/>
      </c>
      <c r="J1979" s="3">
        <f>_xlfn.XLOOKUP(A1979,MktTitle,MktTotVol,0)</f>
        <v/>
      </c>
      <c r="K1979">
        <f>IF(H1979&gt;WhaleThreshold,"WHALE","")</f>
        <v/>
      </c>
    </row>
    <row r="1980">
      <c r="A1980" t="inlineStr">
        <is>
          <t>Will Belgium win the 2026 FIFA World Cup?</t>
        </is>
      </c>
      <c r="B1980" s="4" t="n">
        <v>46205</v>
      </c>
      <c r="C1980" s="5" t="n">
        <v>46205.9618287037</v>
      </c>
      <c r="D1980" t="inlineStr">
        <is>
          <t>BUY</t>
        </is>
      </c>
      <c r="E1980" t="inlineStr">
        <is>
          <t>No</t>
        </is>
      </c>
      <c r="F1980" s="2" t="n">
        <v>0.986</v>
      </c>
      <c r="G1980" s="6" t="n">
        <v>10</v>
      </c>
      <c r="H1980" s="6">
        <f>F1980*G1980</f>
        <v/>
      </c>
      <c r="I1980">
        <f>_xlfn.XLOOKUP(A1980,MktTitle,MktCat,"n/a")</f>
        <v/>
      </c>
      <c r="J1980" s="3">
        <f>_xlfn.XLOOKUP(A1980,MktTitle,MktTotVol,0)</f>
        <v/>
      </c>
      <c r="K1980">
        <f>IF(H1980&gt;WhaleThreshold,"WHALE","")</f>
        <v/>
      </c>
    </row>
    <row r="1981">
      <c r="A1981" t="inlineStr">
        <is>
          <t>Will Belgium win the 2026 FIFA World Cup?</t>
        </is>
      </c>
      <c r="B1981" s="4" t="n">
        <v>46205</v>
      </c>
      <c r="C1981" s="5" t="n">
        <v>46205.96181712963</v>
      </c>
      <c r="D1981" t="inlineStr">
        <is>
          <t>BUY</t>
        </is>
      </c>
      <c r="E1981" t="inlineStr">
        <is>
          <t>No</t>
        </is>
      </c>
      <c r="F1981" s="2" t="n">
        <v>0.986</v>
      </c>
      <c r="G1981" s="6" t="n">
        <v>10</v>
      </c>
      <c r="H1981" s="6">
        <f>F1981*G1981</f>
        <v/>
      </c>
      <c r="I1981">
        <f>_xlfn.XLOOKUP(A1981,MktTitle,MktCat,"n/a")</f>
        <v/>
      </c>
      <c r="J1981" s="3">
        <f>_xlfn.XLOOKUP(A1981,MktTitle,MktTotVol,0)</f>
        <v/>
      </c>
      <c r="K1981">
        <f>IF(H1981&gt;WhaleThreshold,"WHALE","")</f>
        <v/>
      </c>
    </row>
    <row r="1982">
      <c r="A1982" t="inlineStr">
        <is>
          <t>Will Belgium win the 2026 FIFA World Cup?</t>
        </is>
      </c>
      <c r="B1982" s="4" t="n">
        <v>46205</v>
      </c>
      <c r="C1982" s="5" t="n">
        <v>46205.96179398148</v>
      </c>
      <c r="D1982" t="inlineStr">
        <is>
          <t>BUY</t>
        </is>
      </c>
      <c r="E1982" t="inlineStr">
        <is>
          <t>No</t>
        </is>
      </c>
      <c r="F1982" s="2" t="n">
        <v>0.986</v>
      </c>
      <c r="G1982" s="6" t="n">
        <v>10</v>
      </c>
      <c r="H1982" s="6">
        <f>F1982*G1982</f>
        <v/>
      </c>
      <c r="I1982">
        <f>_xlfn.XLOOKUP(A1982,MktTitle,MktCat,"n/a")</f>
        <v/>
      </c>
      <c r="J1982" s="3">
        <f>_xlfn.XLOOKUP(A1982,MktTitle,MktTotVol,0)</f>
        <v/>
      </c>
      <c r="K1982">
        <f>IF(H1982&gt;WhaleThreshold,"WHALE","")</f>
        <v/>
      </c>
    </row>
    <row r="1983">
      <c r="A1983" t="inlineStr">
        <is>
          <t>Will Belgium win the 2026 FIFA World Cup?</t>
        </is>
      </c>
      <c r="B1983" s="4" t="n">
        <v>46205</v>
      </c>
      <c r="C1983" s="5" t="n">
        <v>46205.96178240741</v>
      </c>
      <c r="D1983" t="inlineStr">
        <is>
          <t>BUY</t>
        </is>
      </c>
      <c r="E1983" t="inlineStr">
        <is>
          <t>No</t>
        </is>
      </c>
      <c r="F1983" s="2" t="n">
        <v>0.986</v>
      </c>
      <c r="G1983" s="6" t="n">
        <v>20</v>
      </c>
      <c r="H1983" s="6">
        <f>F1983*G1983</f>
        <v/>
      </c>
      <c r="I1983">
        <f>_xlfn.XLOOKUP(A1983,MktTitle,MktCat,"n/a")</f>
        <v/>
      </c>
      <c r="J1983" s="3">
        <f>_xlfn.XLOOKUP(A1983,MktTitle,MktTotVol,0)</f>
        <v/>
      </c>
      <c r="K1983">
        <f>IF(H1983&gt;WhaleThreshold,"WHALE","")</f>
        <v/>
      </c>
    </row>
    <row r="1984">
      <c r="A1984" t="inlineStr">
        <is>
          <t>Will Belgium win the 2026 FIFA World Cup?</t>
        </is>
      </c>
      <c r="B1984" s="4" t="n">
        <v>46205</v>
      </c>
      <c r="C1984" s="5" t="n">
        <v>46205.96178240741</v>
      </c>
      <c r="D1984" t="inlineStr">
        <is>
          <t>BUY</t>
        </is>
      </c>
      <c r="E1984" t="inlineStr">
        <is>
          <t>No</t>
        </is>
      </c>
      <c r="F1984" s="2" t="n">
        <v>0.986</v>
      </c>
      <c r="G1984" s="6" t="n">
        <v>20</v>
      </c>
      <c r="H1984" s="6">
        <f>F1984*G1984</f>
        <v/>
      </c>
      <c r="I1984">
        <f>_xlfn.XLOOKUP(A1984,MktTitle,MktCat,"n/a")</f>
        <v/>
      </c>
      <c r="J1984" s="3">
        <f>_xlfn.XLOOKUP(A1984,MktTitle,MktTotVol,0)</f>
        <v/>
      </c>
      <c r="K1984">
        <f>IF(H1984&gt;WhaleThreshold,"WHALE","")</f>
        <v/>
      </c>
    </row>
    <row r="1985">
      <c r="A1985" t="inlineStr">
        <is>
          <t>Will Belgium win the 2026 FIFA World Cup?</t>
        </is>
      </c>
      <c r="B1985" s="4" t="n">
        <v>46205</v>
      </c>
      <c r="C1985" s="5" t="n">
        <v>46205.96175925926</v>
      </c>
      <c r="D1985" t="inlineStr">
        <is>
          <t>BUY</t>
        </is>
      </c>
      <c r="E1985" t="inlineStr">
        <is>
          <t>No</t>
        </is>
      </c>
      <c r="F1985" s="2" t="n">
        <v>0.986</v>
      </c>
      <c r="G1985" s="6" t="n">
        <v>10</v>
      </c>
      <c r="H1985" s="6">
        <f>F1985*G1985</f>
        <v/>
      </c>
      <c r="I1985">
        <f>_xlfn.XLOOKUP(A1985,MktTitle,MktCat,"n/a")</f>
        <v/>
      </c>
      <c r="J1985" s="3">
        <f>_xlfn.XLOOKUP(A1985,MktTitle,MktTotVol,0)</f>
        <v/>
      </c>
      <c r="K1985">
        <f>IF(H1985&gt;WhaleThreshold,"WHALE","")</f>
        <v/>
      </c>
    </row>
    <row r="1986">
      <c r="A1986" t="inlineStr">
        <is>
          <t>Will Belgium win the 2026 FIFA World Cup?</t>
        </is>
      </c>
      <c r="B1986" s="4" t="n">
        <v>46205</v>
      </c>
      <c r="C1986" s="5" t="n">
        <v>46205.96174768519</v>
      </c>
      <c r="D1986" t="inlineStr">
        <is>
          <t>BUY</t>
        </is>
      </c>
      <c r="E1986" t="inlineStr">
        <is>
          <t>No</t>
        </is>
      </c>
      <c r="F1986" s="2" t="n">
        <v>0.986</v>
      </c>
      <c r="G1986" s="6" t="n">
        <v>10</v>
      </c>
      <c r="H1986" s="6">
        <f>F1986*G1986</f>
        <v/>
      </c>
      <c r="I1986">
        <f>_xlfn.XLOOKUP(A1986,MktTitle,MktCat,"n/a")</f>
        <v/>
      </c>
      <c r="J1986" s="3">
        <f>_xlfn.XLOOKUP(A1986,MktTitle,MktTotVol,0)</f>
        <v/>
      </c>
      <c r="K1986">
        <f>IF(H1986&gt;WhaleThreshold,"WHALE","")</f>
        <v/>
      </c>
    </row>
    <row r="1987">
      <c r="A1987" t="inlineStr">
        <is>
          <t>Will Belgium win the 2026 FIFA World Cup?</t>
        </is>
      </c>
      <c r="B1987" s="4" t="n">
        <v>46205</v>
      </c>
      <c r="C1987" s="5" t="n">
        <v>46205.96077546296</v>
      </c>
      <c r="D1987" t="inlineStr">
        <is>
          <t>BUY</t>
        </is>
      </c>
      <c r="E1987" t="inlineStr">
        <is>
          <t>No</t>
        </is>
      </c>
      <c r="F1987" s="2" t="n">
        <v>0.986</v>
      </c>
      <c r="G1987" s="6" t="n">
        <v>95</v>
      </c>
      <c r="H1987" s="6">
        <f>F1987*G1987</f>
        <v/>
      </c>
      <c r="I1987">
        <f>_xlfn.XLOOKUP(A1987,MktTitle,MktCat,"n/a")</f>
        <v/>
      </c>
      <c r="J1987" s="3">
        <f>_xlfn.XLOOKUP(A1987,MktTitle,MktTotVol,0)</f>
        <v/>
      </c>
      <c r="K1987">
        <f>IF(H1987&gt;WhaleThreshold,"WHALE","")</f>
        <v/>
      </c>
    </row>
    <row r="1988">
      <c r="A1988" t="inlineStr">
        <is>
          <t>Will Belgium win the 2026 FIFA World Cup?</t>
        </is>
      </c>
      <c r="B1988" s="4" t="n">
        <v>46205</v>
      </c>
      <c r="C1988" s="5" t="n">
        <v>46205.96077546296</v>
      </c>
      <c r="D1988" t="inlineStr">
        <is>
          <t>BUY</t>
        </is>
      </c>
      <c r="E1988" t="inlineStr">
        <is>
          <t>No</t>
        </is>
      </c>
      <c r="F1988" s="2" t="n">
        <v>0.986</v>
      </c>
      <c r="G1988" s="6" t="n">
        <v>1.1</v>
      </c>
      <c r="H1988" s="6">
        <f>F1988*G1988</f>
        <v/>
      </c>
      <c r="I1988">
        <f>_xlfn.XLOOKUP(A1988,MktTitle,MktCat,"n/a")</f>
        <v/>
      </c>
      <c r="J1988" s="3">
        <f>_xlfn.XLOOKUP(A1988,MktTitle,MktTotVol,0)</f>
        <v/>
      </c>
      <c r="K1988">
        <f>IF(H1988&gt;WhaleThreshold,"WHALE","")</f>
        <v/>
      </c>
    </row>
    <row r="1989">
      <c r="A1989" t="inlineStr">
        <is>
          <t>Will Belgium win the 2026 FIFA World Cup?</t>
        </is>
      </c>
      <c r="B1989" s="4" t="n">
        <v>46205</v>
      </c>
      <c r="C1989" s="5" t="n">
        <v>46205.96068287037</v>
      </c>
      <c r="D1989" t="inlineStr">
        <is>
          <t>BUY</t>
        </is>
      </c>
      <c r="E1989" t="inlineStr">
        <is>
          <t>No</t>
        </is>
      </c>
      <c r="F1989" s="2" t="n">
        <v>0.986</v>
      </c>
      <c r="G1989" s="6" t="n">
        <v>85</v>
      </c>
      <c r="H1989" s="6">
        <f>F1989*G1989</f>
        <v/>
      </c>
      <c r="I1989">
        <f>_xlfn.XLOOKUP(A1989,MktTitle,MktCat,"n/a")</f>
        <v/>
      </c>
      <c r="J1989" s="3">
        <f>_xlfn.XLOOKUP(A1989,MktTitle,MktTotVol,0)</f>
        <v/>
      </c>
      <c r="K1989">
        <f>IF(H1989&gt;WhaleThreshold,"WHALE","")</f>
        <v/>
      </c>
    </row>
    <row r="1990">
      <c r="A1990" t="inlineStr">
        <is>
          <t>Will Belgium win the 2026 FIFA World Cup?</t>
        </is>
      </c>
      <c r="B1990" s="4" t="n">
        <v>46205</v>
      </c>
      <c r="C1990" s="5" t="n">
        <v>46205.9606712963</v>
      </c>
      <c r="D1990" t="inlineStr">
        <is>
          <t>BUY</t>
        </is>
      </c>
      <c r="E1990" t="inlineStr">
        <is>
          <t>No</t>
        </is>
      </c>
      <c r="F1990" s="2" t="n">
        <v>0.986</v>
      </c>
      <c r="G1990" s="6" t="n">
        <v>8</v>
      </c>
      <c r="H1990" s="6">
        <f>F1990*G1990</f>
        <v/>
      </c>
      <c r="I1990">
        <f>_xlfn.XLOOKUP(A1990,MktTitle,MktCat,"n/a")</f>
        <v/>
      </c>
      <c r="J1990" s="3">
        <f>_xlfn.XLOOKUP(A1990,MktTitle,MktTotVol,0)</f>
        <v/>
      </c>
      <c r="K1990">
        <f>IF(H1990&gt;WhaleThreshold,"WHALE","")</f>
        <v/>
      </c>
    </row>
    <row r="1991">
      <c r="A1991" t="inlineStr">
        <is>
          <t>Will Belgium win the 2026 FIFA World Cup?</t>
        </is>
      </c>
      <c r="B1991" s="4" t="n">
        <v>46205</v>
      </c>
      <c r="C1991" s="5" t="n">
        <v>46205.96060185185</v>
      </c>
      <c r="D1991" t="inlineStr">
        <is>
          <t>BUY</t>
        </is>
      </c>
      <c r="E1991" t="inlineStr">
        <is>
          <t>No</t>
        </is>
      </c>
      <c r="F1991" s="2" t="n">
        <v>0.986</v>
      </c>
      <c r="G1991" s="6" t="n">
        <v>70</v>
      </c>
      <c r="H1991" s="6">
        <f>F1991*G1991</f>
        <v/>
      </c>
      <c r="I1991">
        <f>_xlfn.XLOOKUP(A1991,MktTitle,MktCat,"n/a")</f>
        <v/>
      </c>
      <c r="J1991" s="3">
        <f>_xlfn.XLOOKUP(A1991,MktTitle,MktTotVol,0)</f>
        <v/>
      </c>
      <c r="K1991">
        <f>IF(H1991&gt;WhaleThreshold,"WHALE","")</f>
        <v/>
      </c>
    </row>
    <row r="1992">
      <c r="A1992" t="inlineStr">
        <is>
          <t>Will Belgium win the 2026 FIFA World Cup?</t>
        </is>
      </c>
      <c r="B1992" s="4" t="n">
        <v>46205</v>
      </c>
      <c r="C1992" s="5" t="n">
        <v>46205.96060185185</v>
      </c>
      <c r="D1992" t="inlineStr">
        <is>
          <t>BUY</t>
        </is>
      </c>
      <c r="E1992" t="inlineStr">
        <is>
          <t>No</t>
        </is>
      </c>
      <c r="F1992" s="2" t="n">
        <v>0.986</v>
      </c>
      <c r="G1992" s="6" t="n">
        <v>45</v>
      </c>
      <c r="H1992" s="6">
        <f>F1992*G1992</f>
        <v/>
      </c>
      <c r="I1992">
        <f>_xlfn.XLOOKUP(A1992,MktTitle,MktCat,"n/a")</f>
        <v/>
      </c>
      <c r="J1992" s="3">
        <f>_xlfn.XLOOKUP(A1992,MktTitle,MktTotVol,0)</f>
        <v/>
      </c>
      <c r="K1992">
        <f>IF(H1992&gt;WhaleThreshold,"WHALE","")</f>
        <v/>
      </c>
    </row>
    <row r="1993">
      <c r="A1993" t="inlineStr">
        <is>
          <t>Will Belgium win the 2026 FIFA World Cup?</t>
        </is>
      </c>
      <c r="B1993" s="4" t="n">
        <v>46205</v>
      </c>
      <c r="C1993" s="5" t="n">
        <v>46205.96050925926</v>
      </c>
      <c r="D1993" t="inlineStr">
        <is>
          <t>BUY</t>
        </is>
      </c>
      <c r="E1993" t="inlineStr">
        <is>
          <t>No</t>
        </is>
      </c>
      <c r="F1993" s="2" t="n">
        <v>0.986</v>
      </c>
      <c r="G1993" s="6" t="n">
        <v>66.76000000000001</v>
      </c>
      <c r="H1993" s="6">
        <f>F1993*G1993</f>
        <v/>
      </c>
      <c r="I1993">
        <f>_xlfn.XLOOKUP(A1993,MktTitle,MktCat,"n/a")</f>
        <v/>
      </c>
      <c r="J1993" s="3">
        <f>_xlfn.XLOOKUP(A1993,MktTitle,MktTotVol,0)</f>
        <v/>
      </c>
      <c r="K1993">
        <f>IF(H1993&gt;WhaleThreshold,"WHALE","")</f>
        <v/>
      </c>
    </row>
    <row r="1994">
      <c r="A1994" t="inlineStr">
        <is>
          <t>Will Belgium win the 2026 FIFA World Cup?</t>
        </is>
      </c>
      <c r="B1994" s="4" t="n">
        <v>46205</v>
      </c>
      <c r="C1994" s="5" t="n">
        <v>46205.96021990741</v>
      </c>
      <c r="D1994" t="inlineStr">
        <is>
          <t>BUY</t>
        </is>
      </c>
      <c r="E1994" t="inlineStr">
        <is>
          <t>Yes</t>
        </is>
      </c>
      <c r="F1994" s="2" t="n">
        <v>0.015</v>
      </c>
      <c r="G1994" s="6" t="n">
        <v>84.66670000000001</v>
      </c>
      <c r="H1994" s="6">
        <f>F1994*G1994</f>
        <v/>
      </c>
      <c r="I1994">
        <f>_xlfn.XLOOKUP(A1994,MktTitle,MktCat,"n/a")</f>
        <v/>
      </c>
      <c r="J1994" s="3">
        <f>_xlfn.XLOOKUP(A1994,MktTitle,MktTotVol,0)</f>
        <v/>
      </c>
      <c r="K1994">
        <f>IF(H1994&gt;WhaleThreshold,"WHALE","")</f>
        <v/>
      </c>
    </row>
    <row r="1995">
      <c r="A1995" t="inlineStr">
        <is>
          <t>Will Belgium win the 2026 FIFA World Cup?</t>
        </is>
      </c>
      <c r="B1995" s="4" t="n">
        <v>46205</v>
      </c>
      <c r="C1995" s="5" t="n">
        <v>46205.96018518518</v>
      </c>
      <c r="D1995" t="inlineStr">
        <is>
          <t>BUY</t>
        </is>
      </c>
      <c r="E1995" t="inlineStr">
        <is>
          <t>No</t>
        </is>
      </c>
      <c r="F1995" s="2" t="n">
        <v>0.986</v>
      </c>
      <c r="G1995" s="6" t="n">
        <v>1.1</v>
      </c>
      <c r="H1995" s="6">
        <f>F1995*G1995</f>
        <v/>
      </c>
      <c r="I1995">
        <f>_xlfn.XLOOKUP(A1995,MktTitle,MktCat,"n/a")</f>
        <v/>
      </c>
      <c r="J1995" s="3">
        <f>_xlfn.XLOOKUP(A1995,MktTitle,MktTotVol,0)</f>
        <v/>
      </c>
      <c r="K1995">
        <f>IF(H1995&gt;WhaleThreshold,"WHALE","")</f>
        <v/>
      </c>
    </row>
    <row r="1996">
      <c r="A1996" t="inlineStr">
        <is>
          <t>Will Belgium win the 2026 FIFA World Cup?</t>
        </is>
      </c>
      <c r="B1996" s="4" t="n">
        <v>46205</v>
      </c>
      <c r="C1996" s="5" t="n">
        <v>46205.96012731481</v>
      </c>
      <c r="D1996" t="inlineStr">
        <is>
          <t>BUY</t>
        </is>
      </c>
      <c r="E1996" t="inlineStr">
        <is>
          <t>No</t>
        </is>
      </c>
      <c r="F1996" s="2" t="n">
        <v>0.986</v>
      </c>
      <c r="G1996" s="6" t="n">
        <v>5</v>
      </c>
      <c r="H1996" s="6">
        <f>F1996*G1996</f>
        <v/>
      </c>
      <c r="I1996">
        <f>_xlfn.XLOOKUP(A1996,MktTitle,MktCat,"n/a")</f>
        <v/>
      </c>
      <c r="J1996" s="3">
        <f>_xlfn.XLOOKUP(A1996,MktTitle,MktTotVol,0)</f>
        <v/>
      </c>
      <c r="K1996">
        <f>IF(H1996&gt;WhaleThreshold,"WHALE","")</f>
        <v/>
      </c>
    </row>
    <row r="1997">
      <c r="A1997" t="inlineStr">
        <is>
          <t>Will Belgium win the 2026 FIFA World Cup?</t>
        </is>
      </c>
      <c r="B1997" s="4" t="n">
        <v>46205</v>
      </c>
      <c r="C1997" s="5" t="n">
        <v>46205.96012731481</v>
      </c>
      <c r="D1997" t="inlineStr">
        <is>
          <t>BUY</t>
        </is>
      </c>
      <c r="E1997" t="inlineStr">
        <is>
          <t>No</t>
        </is>
      </c>
      <c r="F1997" s="2" t="n">
        <v>0.986</v>
      </c>
      <c r="G1997" s="6" t="n">
        <v>64.34</v>
      </c>
      <c r="H1997" s="6">
        <f>F1997*G1997</f>
        <v/>
      </c>
      <c r="I1997">
        <f>_xlfn.XLOOKUP(A1997,MktTitle,MktCat,"n/a")</f>
        <v/>
      </c>
      <c r="J1997" s="3">
        <f>_xlfn.XLOOKUP(A1997,MktTitle,MktTotVol,0)</f>
        <v/>
      </c>
      <c r="K1997">
        <f>IF(H1997&gt;WhaleThreshold,"WHALE","")</f>
        <v/>
      </c>
    </row>
    <row r="1998">
      <c r="A1998" t="inlineStr">
        <is>
          <t>Will Belgium win the 2026 FIFA World Cup?</t>
        </is>
      </c>
      <c r="B1998" s="4" t="n">
        <v>46205</v>
      </c>
      <c r="C1998" s="5" t="n">
        <v>46205.96011574074</v>
      </c>
      <c r="D1998" t="inlineStr">
        <is>
          <t>BUY</t>
        </is>
      </c>
      <c r="E1998" t="inlineStr">
        <is>
          <t>No</t>
        </is>
      </c>
      <c r="F1998" s="2" t="n">
        <v>0.986</v>
      </c>
      <c r="G1998" s="6" t="n">
        <v>3.63</v>
      </c>
      <c r="H1998" s="6">
        <f>F1998*G1998</f>
        <v/>
      </c>
      <c r="I1998">
        <f>_xlfn.XLOOKUP(A1998,MktTitle,MktCat,"n/a")</f>
        <v/>
      </c>
      <c r="J1998" s="3">
        <f>_xlfn.XLOOKUP(A1998,MktTitle,MktTotVol,0)</f>
        <v/>
      </c>
      <c r="K1998">
        <f>IF(H1998&gt;WhaleThreshold,"WHALE","")</f>
        <v/>
      </c>
    </row>
    <row r="1999">
      <c r="A1999" t="inlineStr">
        <is>
          <t>Will Belgium win the 2026 FIFA World Cup?</t>
        </is>
      </c>
      <c r="B1999" s="4" t="n">
        <v>46205</v>
      </c>
      <c r="C1999" s="5" t="n">
        <v>46205.9600462963</v>
      </c>
      <c r="D1999" t="inlineStr">
        <is>
          <t>BUY</t>
        </is>
      </c>
      <c r="E1999" t="inlineStr">
        <is>
          <t>No</t>
        </is>
      </c>
      <c r="F1999" s="2" t="n">
        <v>0.986</v>
      </c>
      <c r="G1999" s="6" t="n">
        <v>51.77</v>
      </c>
      <c r="H1999" s="6">
        <f>F1999*G1999</f>
        <v/>
      </c>
      <c r="I1999">
        <f>_xlfn.XLOOKUP(A1999,MktTitle,MktCat,"n/a")</f>
        <v/>
      </c>
      <c r="J1999" s="3">
        <f>_xlfn.XLOOKUP(A1999,MktTitle,MktTotVol,0)</f>
        <v/>
      </c>
      <c r="K1999">
        <f>IF(H1999&gt;WhaleThreshold,"WHALE","")</f>
        <v/>
      </c>
    </row>
    <row r="2000">
      <c r="A2000" t="inlineStr">
        <is>
          <t>Will Belgium win the 2026 FIFA World Cup?</t>
        </is>
      </c>
      <c r="B2000" s="4" t="n">
        <v>46205</v>
      </c>
      <c r="C2000" s="5" t="n">
        <v>46205.9600462963</v>
      </c>
      <c r="D2000" t="inlineStr">
        <is>
          <t>BUY</t>
        </is>
      </c>
      <c r="E2000" t="inlineStr">
        <is>
          <t>No</t>
        </is>
      </c>
      <c r="F2000" s="2" t="n">
        <v>0.986</v>
      </c>
      <c r="G2000" s="6" t="n">
        <v>61.62</v>
      </c>
      <c r="H2000" s="6">
        <f>F2000*G2000</f>
        <v/>
      </c>
      <c r="I2000">
        <f>_xlfn.XLOOKUP(A2000,MktTitle,MktCat,"n/a")</f>
        <v/>
      </c>
      <c r="J2000" s="3">
        <f>_xlfn.XLOOKUP(A2000,MktTitle,MktTotVol,0)</f>
        <v/>
      </c>
      <c r="K2000">
        <f>IF(H2000&gt;WhaleThreshold,"WHALE","")</f>
        <v/>
      </c>
    </row>
    <row r="2001">
      <c r="A2001" t="inlineStr">
        <is>
          <t>Will Belgium win the 2026 FIFA World Cup?</t>
        </is>
      </c>
      <c r="B2001" s="4" t="n">
        <v>46205</v>
      </c>
      <c r="C2001" s="5" t="n">
        <v>46205.95997685185</v>
      </c>
      <c r="D2001" t="inlineStr">
        <is>
          <t>BUY</t>
        </is>
      </c>
      <c r="E2001" t="inlineStr">
        <is>
          <t>No</t>
        </is>
      </c>
      <c r="F2001" s="2" t="n">
        <v>0.986</v>
      </c>
      <c r="G2001" s="6" t="n">
        <v>22.82</v>
      </c>
      <c r="H2001" s="6">
        <f>F2001*G2001</f>
        <v/>
      </c>
      <c r="I2001">
        <f>_xlfn.XLOOKUP(A2001,MktTitle,MktCat,"n/a")</f>
        <v/>
      </c>
      <c r="J2001" s="3">
        <f>_xlfn.XLOOKUP(A2001,MktTitle,MktTotVol,0)</f>
        <v/>
      </c>
      <c r="K2001">
        <f>IF(H2001&gt;WhaleThreshold,"WHALE","")</f>
        <v/>
      </c>
    </row>
    <row r="2002">
      <c r="A2002" t="inlineStr">
        <is>
          <t>Will Belgium win the 2026 FIFA World Cup?</t>
        </is>
      </c>
      <c r="B2002" s="4" t="n">
        <v>46205</v>
      </c>
      <c r="C2002" s="5" t="n">
        <v>46205.95994212963</v>
      </c>
      <c r="D2002" t="inlineStr">
        <is>
          <t>BUY</t>
        </is>
      </c>
      <c r="E2002" t="inlineStr">
        <is>
          <t>No</t>
        </is>
      </c>
      <c r="F2002" s="2" t="n">
        <v>0.986</v>
      </c>
      <c r="G2002" s="6" t="n">
        <v>25.2</v>
      </c>
      <c r="H2002" s="6">
        <f>F2002*G2002</f>
        <v/>
      </c>
      <c r="I2002">
        <f>_xlfn.XLOOKUP(A2002,MktTitle,MktCat,"n/a")</f>
        <v/>
      </c>
      <c r="J2002" s="3">
        <f>_xlfn.XLOOKUP(A2002,MktTitle,MktTotVol,0)</f>
        <v/>
      </c>
      <c r="K2002">
        <f>IF(H2002&gt;WhaleThreshold,"WHALE","")</f>
        <v/>
      </c>
    </row>
    <row r="2003">
      <c r="A2003" t="inlineStr">
        <is>
          <t>Will Belgium win the 2026 FIFA World Cup?</t>
        </is>
      </c>
      <c r="B2003" s="4" t="n">
        <v>46205</v>
      </c>
      <c r="C2003" s="5" t="n">
        <v>46205.95991898148</v>
      </c>
      <c r="D2003" t="inlineStr">
        <is>
          <t>BUY</t>
        </is>
      </c>
      <c r="E2003" t="inlineStr">
        <is>
          <t>No</t>
        </is>
      </c>
      <c r="F2003" s="2" t="n">
        <v>0.986</v>
      </c>
      <c r="G2003" s="6" t="n">
        <v>50.4</v>
      </c>
      <c r="H2003" s="6">
        <f>F2003*G2003</f>
        <v/>
      </c>
      <c r="I2003">
        <f>_xlfn.XLOOKUP(A2003,MktTitle,MktCat,"n/a")</f>
        <v/>
      </c>
      <c r="J2003" s="3">
        <f>_xlfn.XLOOKUP(A2003,MktTitle,MktTotVol,0)</f>
        <v/>
      </c>
      <c r="K2003">
        <f>IF(H2003&gt;WhaleThreshold,"WHALE","")</f>
        <v/>
      </c>
    </row>
    <row r="2004">
      <c r="A2004" t="inlineStr">
        <is>
          <t>Will Belgium win the 2026 FIFA World Cup?</t>
        </is>
      </c>
      <c r="B2004" s="4" t="n">
        <v>46205</v>
      </c>
      <c r="C2004" s="5" t="n">
        <v>46205.95990740741</v>
      </c>
      <c r="D2004" t="inlineStr">
        <is>
          <t>BUY</t>
        </is>
      </c>
      <c r="E2004" t="inlineStr">
        <is>
          <t>No</t>
        </is>
      </c>
      <c r="F2004" s="2" t="n">
        <v>0.986</v>
      </c>
      <c r="G2004" s="6" t="n">
        <v>50.12</v>
      </c>
      <c r="H2004" s="6">
        <f>F2004*G2004</f>
        <v/>
      </c>
      <c r="I2004">
        <f>_xlfn.XLOOKUP(A2004,MktTitle,MktCat,"n/a")</f>
        <v/>
      </c>
      <c r="J2004" s="3">
        <f>_xlfn.XLOOKUP(A2004,MktTitle,MktTotVol,0)</f>
        <v/>
      </c>
      <c r="K2004">
        <f>IF(H2004&gt;WhaleThreshold,"WHALE","")</f>
        <v/>
      </c>
    </row>
    <row r="2005">
      <c r="A2005" t="inlineStr">
        <is>
          <t>Will Belgium win the 2026 FIFA World Cup?</t>
        </is>
      </c>
      <c r="B2005" s="4" t="n">
        <v>46205</v>
      </c>
      <c r="C2005" s="5" t="n">
        <v>46205.95988425926</v>
      </c>
      <c r="D2005" t="inlineStr">
        <is>
          <t>BUY</t>
        </is>
      </c>
      <c r="E2005" t="inlineStr">
        <is>
          <t>No</t>
        </is>
      </c>
      <c r="F2005" s="2" t="n">
        <v>0.986</v>
      </c>
      <c r="G2005" s="6" t="n">
        <v>5</v>
      </c>
      <c r="H2005" s="6">
        <f>F2005*G2005</f>
        <v/>
      </c>
      <c r="I2005">
        <f>_xlfn.XLOOKUP(A2005,MktTitle,MktCat,"n/a")</f>
        <v/>
      </c>
      <c r="J2005" s="3">
        <f>_xlfn.XLOOKUP(A2005,MktTitle,MktTotVol,0)</f>
        <v/>
      </c>
      <c r="K2005">
        <f>IF(H2005&gt;WhaleThreshold,"WHALE","")</f>
        <v/>
      </c>
    </row>
    <row r="2006">
      <c r="A2006" t="inlineStr">
        <is>
          <t>Will Belgium win the 2026 FIFA World Cup?</t>
        </is>
      </c>
      <c r="B2006" s="4" t="n">
        <v>46205</v>
      </c>
      <c r="C2006" s="5" t="n">
        <v>46205.95988425926</v>
      </c>
      <c r="D2006" t="inlineStr">
        <is>
          <t>BUY</t>
        </is>
      </c>
      <c r="E2006" t="inlineStr">
        <is>
          <t>No</t>
        </is>
      </c>
      <c r="F2006" s="2" t="n">
        <v>0.986</v>
      </c>
      <c r="G2006" s="6" t="n">
        <v>20</v>
      </c>
      <c r="H2006" s="6">
        <f>F2006*G2006</f>
        <v/>
      </c>
      <c r="I2006">
        <f>_xlfn.XLOOKUP(A2006,MktTitle,MktCat,"n/a")</f>
        <v/>
      </c>
      <c r="J2006" s="3">
        <f>_xlfn.XLOOKUP(A2006,MktTitle,MktTotVol,0)</f>
        <v/>
      </c>
      <c r="K2006">
        <f>IF(H2006&gt;WhaleThreshold,"WHALE","")</f>
        <v/>
      </c>
    </row>
    <row r="2007">
      <c r="A2007" t="inlineStr">
        <is>
          <t>Will Belgium win the 2026 FIFA World Cup?</t>
        </is>
      </c>
      <c r="B2007" s="4" t="n">
        <v>46205</v>
      </c>
      <c r="C2007" s="5" t="n">
        <v>46205.95983796296</v>
      </c>
      <c r="D2007" t="inlineStr">
        <is>
          <t>BUY</t>
        </is>
      </c>
      <c r="E2007" t="inlineStr">
        <is>
          <t>No</t>
        </is>
      </c>
      <c r="F2007" s="2" t="n">
        <v>0.986</v>
      </c>
      <c r="G2007" s="6" t="n">
        <v>20.92</v>
      </c>
      <c r="H2007" s="6">
        <f>F2007*G2007</f>
        <v/>
      </c>
      <c r="I2007">
        <f>_xlfn.XLOOKUP(A2007,MktTitle,MktCat,"n/a")</f>
        <v/>
      </c>
      <c r="J2007" s="3">
        <f>_xlfn.XLOOKUP(A2007,MktTitle,MktTotVol,0)</f>
        <v/>
      </c>
      <c r="K2007">
        <f>IF(H2007&gt;WhaleThreshold,"WHALE","")</f>
        <v/>
      </c>
    </row>
    <row r="2008">
      <c r="A2008" t="inlineStr">
        <is>
          <t>Will Belgium win the 2026 FIFA World Cup?</t>
        </is>
      </c>
      <c r="B2008" s="4" t="n">
        <v>46205</v>
      </c>
      <c r="C2008" s="5" t="n">
        <v>46205.95978009259</v>
      </c>
      <c r="D2008" t="inlineStr">
        <is>
          <t>BUY</t>
        </is>
      </c>
      <c r="E2008" t="inlineStr">
        <is>
          <t>No</t>
        </is>
      </c>
      <c r="F2008" s="2" t="n">
        <v>0.986</v>
      </c>
      <c r="G2008" s="6" t="n">
        <v>65</v>
      </c>
      <c r="H2008" s="6">
        <f>F2008*G2008</f>
        <v/>
      </c>
      <c r="I2008">
        <f>_xlfn.XLOOKUP(A2008,MktTitle,MktCat,"n/a")</f>
        <v/>
      </c>
      <c r="J2008" s="3">
        <f>_xlfn.XLOOKUP(A2008,MktTitle,MktTotVol,0)</f>
        <v/>
      </c>
      <c r="K2008">
        <f>IF(H2008&gt;WhaleThreshold,"WHALE","")</f>
        <v/>
      </c>
    </row>
    <row r="2009">
      <c r="A2009" t="inlineStr">
        <is>
          <t>Will Belgium win the 2026 FIFA World Cup?</t>
        </is>
      </c>
      <c r="B2009" s="4" t="n">
        <v>46205</v>
      </c>
      <c r="C2009" s="5" t="n">
        <v>46205.95978009259</v>
      </c>
      <c r="D2009" t="inlineStr">
        <is>
          <t>BUY</t>
        </is>
      </c>
      <c r="E2009" t="inlineStr">
        <is>
          <t>No</t>
        </is>
      </c>
      <c r="F2009" s="2" t="n">
        <v>0.986</v>
      </c>
      <c r="G2009" s="6" t="n">
        <v>115</v>
      </c>
      <c r="H2009" s="6">
        <f>F2009*G2009</f>
        <v/>
      </c>
      <c r="I2009">
        <f>_xlfn.XLOOKUP(A2009,MktTitle,MktCat,"n/a")</f>
        <v/>
      </c>
      <c r="J2009" s="3">
        <f>_xlfn.XLOOKUP(A2009,MktTitle,MktTotVol,0)</f>
        <v/>
      </c>
      <c r="K2009">
        <f>IF(H2009&gt;WhaleThreshold,"WHALE","")</f>
        <v/>
      </c>
    </row>
    <row r="2010">
      <c r="A2010" t="inlineStr">
        <is>
          <t>Will Belgium win the 2026 FIFA World Cup?</t>
        </is>
      </c>
      <c r="B2010" s="4" t="n">
        <v>46205</v>
      </c>
      <c r="C2010" s="5" t="n">
        <v>46205.95976851852</v>
      </c>
      <c r="D2010" t="inlineStr">
        <is>
          <t>BUY</t>
        </is>
      </c>
      <c r="E2010" t="inlineStr">
        <is>
          <t>No</t>
        </is>
      </c>
      <c r="F2010" s="2" t="n">
        <v>0.986</v>
      </c>
      <c r="G2010" s="6" t="n">
        <v>115</v>
      </c>
      <c r="H2010" s="6">
        <f>F2010*G2010</f>
        <v/>
      </c>
      <c r="I2010">
        <f>_xlfn.XLOOKUP(A2010,MktTitle,MktCat,"n/a")</f>
        <v/>
      </c>
      <c r="J2010" s="3">
        <f>_xlfn.XLOOKUP(A2010,MktTitle,MktTotVol,0)</f>
        <v/>
      </c>
      <c r="K2010">
        <f>IF(H2010&gt;WhaleThreshold,"WHALE","")</f>
        <v/>
      </c>
    </row>
    <row r="2011">
      <c r="A2011" t="inlineStr">
        <is>
          <t>Will Belgium win the 2026 FIFA World Cup?</t>
        </is>
      </c>
      <c r="B2011" s="4" t="n">
        <v>46205</v>
      </c>
      <c r="C2011" s="5" t="n">
        <v>46205.95976851852</v>
      </c>
      <c r="D2011" t="inlineStr">
        <is>
          <t>BUY</t>
        </is>
      </c>
      <c r="E2011" t="inlineStr">
        <is>
          <t>No</t>
        </is>
      </c>
      <c r="F2011" s="2" t="n">
        <v>0.986</v>
      </c>
      <c r="G2011" s="6" t="n">
        <v>60</v>
      </c>
      <c r="H2011" s="6">
        <f>F2011*G2011</f>
        <v/>
      </c>
      <c r="I2011">
        <f>_xlfn.XLOOKUP(A2011,MktTitle,MktCat,"n/a")</f>
        <v/>
      </c>
      <c r="J2011" s="3">
        <f>_xlfn.XLOOKUP(A2011,MktTitle,MktTotVol,0)</f>
        <v/>
      </c>
      <c r="K2011">
        <f>IF(H2011&gt;WhaleThreshold,"WHALE","")</f>
        <v/>
      </c>
    </row>
    <row r="2012">
      <c r="A2012" t="inlineStr">
        <is>
          <t>Will Belgium win the 2026 FIFA World Cup?</t>
        </is>
      </c>
      <c r="B2012" s="4" t="n">
        <v>46205</v>
      </c>
      <c r="C2012" s="5" t="n">
        <v>46205.95974537037</v>
      </c>
      <c r="D2012" t="inlineStr">
        <is>
          <t>BUY</t>
        </is>
      </c>
      <c r="E2012" t="inlineStr">
        <is>
          <t>No</t>
        </is>
      </c>
      <c r="F2012" s="2" t="n">
        <v>0.986</v>
      </c>
      <c r="G2012" s="6" t="n">
        <v>55</v>
      </c>
      <c r="H2012" s="6">
        <f>F2012*G2012</f>
        <v/>
      </c>
      <c r="I2012">
        <f>_xlfn.XLOOKUP(A2012,MktTitle,MktCat,"n/a")</f>
        <v/>
      </c>
      <c r="J2012" s="3">
        <f>_xlfn.XLOOKUP(A2012,MktTitle,MktTotVol,0)</f>
        <v/>
      </c>
      <c r="K2012">
        <f>IF(H2012&gt;WhaleThreshold,"WHALE","")</f>
        <v/>
      </c>
    </row>
    <row r="2013">
      <c r="A2013" t="inlineStr">
        <is>
          <t>Will Belgium win the 2026 FIFA World Cup?</t>
        </is>
      </c>
      <c r="B2013" s="4" t="n">
        <v>46205</v>
      </c>
      <c r="C2013" s="5" t="n">
        <v>46205.9597337963</v>
      </c>
      <c r="D2013" t="inlineStr">
        <is>
          <t>BUY</t>
        </is>
      </c>
      <c r="E2013" t="inlineStr">
        <is>
          <t>No</t>
        </is>
      </c>
      <c r="F2013" s="2" t="n">
        <v>0.986</v>
      </c>
      <c r="G2013" s="6" t="n">
        <v>115</v>
      </c>
      <c r="H2013" s="6">
        <f>F2013*G2013</f>
        <v/>
      </c>
      <c r="I2013">
        <f>_xlfn.XLOOKUP(A2013,MktTitle,MktCat,"n/a")</f>
        <v/>
      </c>
      <c r="J2013" s="3">
        <f>_xlfn.XLOOKUP(A2013,MktTitle,MktTotVol,0)</f>
        <v/>
      </c>
      <c r="K2013">
        <f>IF(H2013&gt;WhaleThreshold,"WHALE","")</f>
        <v/>
      </c>
    </row>
    <row r="2014">
      <c r="A2014" t="inlineStr">
        <is>
          <t>Will Belgium win the 2026 FIFA World Cup?</t>
        </is>
      </c>
      <c r="B2014" s="4" t="n">
        <v>46205</v>
      </c>
      <c r="C2014" s="5" t="n">
        <v>46205.9597337963</v>
      </c>
      <c r="D2014" t="inlineStr">
        <is>
          <t>BUY</t>
        </is>
      </c>
      <c r="E2014" t="inlineStr">
        <is>
          <t>No</t>
        </is>
      </c>
      <c r="F2014" s="2" t="n">
        <v>0.986</v>
      </c>
      <c r="G2014" s="6" t="n">
        <v>23.4</v>
      </c>
      <c r="H2014" s="6">
        <f>F2014*G2014</f>
        <v/>
      </c>
      <c r="I2014">
        <f>_xlfn.XLOOKUP(A2014,MktTitle,MktCat,"n/a")</f>
        <v/>
      </c>
      <c r="J2014" s="3">
        <f>_xlfn.XLOOKUP(A2014,MktTitle,MktTotVol,0)</f>
        <v/>
      </c>
      <c r="K2014">
        <f>IF(H2014&gt;WhaleThreshold,"WHALE","")</f>
        <v/>
      </c>
    </row>
    <row r="2015">
      <c r="A2015" t="inlineStr">
        <is>
          <t>Will Belgium win the 2026 FIFA World Cup?</t>
        </is>
      </c>
      <c r="B2015" s="4" t="n">
        <v>46205</v>
      </c>
      <c r="C2015" s="5" t="n">
        <v>46205.9597337963</v>
      </c>
      <c r="D2015" t="inlineStr">
        <is>
          <t>BUY</t>
        </is>
      </c>
      <c r="E2015" t="inlineStr">
        <is>
          <t>No</t>
        </is>
      </c>
      <c r="F2015" s="2" t="n">
        <v>0.986</v>
      </c>
      <c r="G2015" s="6" t="n">
        <v>46.8</v>
      </c>
      <c r="H2015" s="6">
        <f>F2015*G2015</f>
        <v/>
      </c>
      <c r="I2015">
        <f>_xlfn.XLOOKUP(A2015,MktTitle,MktCat,"n/a")</f>
        <v/>
      </c>
      <c r="J2015" s="3">
        <f>_xlfn.XLOOKUP(A2015,MktTitle,MktTotVol,0)</f>
        <v/>
      </c>
      <c r="K2015">
        <f>IF(H2015&gt;WhaleThreshold,"WHALE","")</f>
        <v/>
      </c>
    </row>
    <row r="2016">
      <c r="A2016" t="inlineStr">
        <is>
          <t>Will Belgium win the 2026 FIFA World Cup?</t>
        </is>
      </c>
      <c r="B2016" s="4" t="n">
        <v>46205</v>
      </c>
      <c r="C2016" s="5" t="n">
        <v>46205.95971064815</v>
      </c>
      <c r="D2016" t="inlineStr">
        <is>
          <t>SELL</t>
        </is>
      </c>
      <c r="E2016" t="inlineStr">
        <is>
          <t>No</t>
        </is>
      </c>
      <c r="F2016" s="2" t="n">
        <v>0.985</v>
      </c>
      <c r="G2016" s="6" t="n">
        <v>10.55</v>
      </c>
      <c r="H2016" s="6">
        <f>F2016*G2016</f>
        <v/>
      </c>
      <c r="I2016">
        <f>_xlfn.XLOOKUP(A2016,MktTitle,MktCat,"n/a")</f>
        <v/>
      </c>
      <c r="J2016" s="3">
        <f>_xlfn.XLOOKUP(A2016,MktTitle,MktTotVol,0)</f>
        <v/>
      </c>
      <c r="K2016">
        <f>IF(H2016&gt;WhaleThreshold,"WHALE","")</f>
        <v/>
      </c>
    </row>
    <row r="2017">
      <c r="A2017" t="inlineStr">
        <is>
          <t>Will Belgium win the 2026 FIFA World Cup?</t>
        </is>
      </c>
      <c r="B2017" s="4" t="n">
        <v>46205</v>
      </c>
      <c r="C2017" s="5" t="n">
        <v>46205.95971064815</v>
      </c>
      <c r="D2017" t="inlineStr">
        <is>
          <t>BUY</t>
        </is>
      </c>
      <c r="E2017" t="inlineStr">
        <is>
          <t>No</t>
        </is>
      </c>
      <c r="F2017" s="2" t="n">
        <v>0.986</v>
      </c>
      <c r="G2017" s="6" t="n">
        <v>115</v>
      </c>
      <c r="H2017" s="6">
        <f>F2017*G2017</f>
        <v/>
      </c>
      <c r="I2017">
        <f>_xlfn.XLOOKUP(A2017,MktTitle,MktCat,"n/a")</f>
        <v/>
      </c>
      <c r="J2017" s="3">
        <f>_xlfn.XLOOKUP(A2017,MktTitle,MktTotVol,0)</f>
        <v/>
      </c>
      <c r="K2017">
        <f>IF(H2017&gt;WhaleThreshold,"WHALE","")</f>
        <v/>
      </c>
    </row>
    <row r="2018">
      <c r="A2018" t="inlineStr">
        <is>
          <t>Will Belgium win the 2026 FIFA World Cup?</t>
        </is>
      </c>
      <c r="B2018" s="4" t="n">
        <v>46205</v>
      </c>
      <c r="C2018" s="5" t="n">
        <v>46205.95953703704</v>
      </c>
      <c r="D2018" t="inlineStr">
        <is>
          <t>BUY</t>
        </is>
      </c>
      <c r="E2018" t="inlineStr">
        <is>
          <t>No</t>
        </is>
      </c>
      <c r="F2018" s="2" t="n">
        <v>0.986</v>
      </c>
      <c r="G2018" s="6" t="n">
        <v>5.2332</v>
      </c>
      <c r="H2018" s="6">
        <f>F2018*G2018</f>
        <v/>
      </c>
      <c r="I2018">
        <f>_xlfn.XLOOKUP(A2018,MktTitle,MktCat,"n/a")</f>
        <v/>
      </c>
      <c r="J2018" s="3">
        <f>_xlfn.XLOOKUP(A2018,MktTitle,MktTotVol,0)</f>
        <v/>
      </c>
      <c r="K2018">
        <f>IF(H2018&gt;WhaleThreshold,"WHALE","")</f>
        <v/>
      </c>
    </row>
    <row r="2019">
      <c r="A2019" t="inlineStr">
        <is>
          <t>Will Belgium win the 2026 FIFA World Cup?</t>
        </is>
      </c>
      <c r="B2019" s="4" t="n">
        <v>46205</v>
      </c>
      <c r="C2019" s="5" t="n">
        <v>46205.95945601852</v>
      </c>
      <c r="D2019" t="inlineStr">
        <is>
          <t>BUY</t>
        </is>
      </c>
      <c r="E2019" t="inlineStr">
        <is>
          <t>No</t>
        </is>
      </c>
      <c r="F2019" s="2" t="n">
        <v>0.986</v>
      </c>
      <c r="G2019" s="6" t="n">
        <v>10.55</v>
      </c>
      <c r="H2019" s="6">
        <f>F2019*G2019</f>
        <v/>
      </c>
      <c r="I2019">
        <f>_xlfn.XLOOKUP(A2019,MktTitle,MktCat,"n/a")</f>
        <v/>
      </c>
      <c r="J2019" s="3">
        <f>_xlfn.XLOOKUP(A2019,MktTitle,MktTotVol,0)</f>
        <v/>
      </c>
      <c r="K2019">
        <f>IF(H2019&gt;WhaleThreshold,"WHALE","")</f>
        <v/>
      </c>
    </row>
    <row r="2020">
      <c r="A2020" t="inlineStr">
        <is>
          <t>Will Belgium win the 2026 FIFA World Cup?</t>
        </is>
      </c>
      <c r="B2020" s="4" t="n">
        <v>46205</v>
      </c>
      <c r="C2020" s="5" t="n">
        <v>46205.95894675926</v>
      </c>
      <c r="D2020" t="inlineStr">
        <is>
          <t>BUY</t>
        </is>
      </c>
      <c r="E2020" t="inlineStr">
        <is>
          <t>No</t>
        </is>
      </c>
      <c r="F2020" s="2" t="n">
        <v>0.986</v>
      </c>
      <c r="G2020" s="6" t="n">
        <v>2.94</v>
      </c>
      <c r="H2020" s="6">
        <f>F2020*G2020</f>
        <v/>
      </c>
      <c r="I2020">
        <f>_xlfn.XLOOKUP(A2020,MktTitle,MktCat,"n/a")</f>
        <v/>
      </c>
      <c r="J2020" s="3">
        <f>_xlfn.XLOOKUP(A2020,MktTitle,MktTotVol,0)</f>
        <v/>
      </c>
      <c r="K2020">
        <f>IF(H2020&gt;WhaleThreshold,"WHALE","")</f>
        <v/>
      </c>
    </row>
    <row r="2021">
      <c r="A2021" t="inlineStr">
        <is>
          <t>Will Belgium win the 2026 FIFA World Cup?</t>
        </is>
      </c>
      <c r="B2021" s="4" t="n">
        <v>46205</v>
      </c>
      <c r="C2021" s="5" t="n">
        <v>46205.95893518518</v>
      </c>
      <c r="D2021" t="inlineStr">
        <is>
          <t>BUY</t>
        </is>
      </c>
      <c r="E2021" t="inlineStr">
        <is>
          <t>No</t>
        </is>
      </c>
      <c r="F2021" s="2" t="n">
        <v>0.986</v>
      </c>
      <c r="G2021" s="6" t="n">
        <v>5</v>
      </c>
      <c r="H2021" s="6">
        <f>F2021*G2021</f>
        <v/>
      </c>
      <c r="I2021">
        <f>_xlfn.XLOOKUP(A2021,MktTitle,MktCat,"n/a")</f>
        <v/>
      </c>
      <c r="J2021" s="3">
        <f>_xlfn.XLOOKUP(A2021,MktTitle,MktTotVol,0)</f>
        <v/>
      </c>
      <c r="K2021">
        <f>IF(H2021&gt;WhaleThreshold,"WHALE","")</f>
        <v/>
      </c>
    </row>
    <row r="2022">
      <c r="A2022" t="inlineStr">
        <is>
          <t>Will Belgium win the 2026 FIFA World Cup?</t>
        </is>
      </c>
      <c r="B2022" s="4" t="n">
        <v>46205</v>
      </c>
      <c r="C2022" s="5" t="n">
        <v>46205.95890046296</v>
      </c>
      <c r="D2022" t="inlineStr">
        <is>
          <t>BUY</t>
        </is>
      </c>
      <c r="E2022" t="inlineStr">
        <is>
          <t>No</t>
        </is>
      </c>
      <c r="F2022" s="2" t="n">
        <v>0.986</v>
      </c>
      <c r="G2022" s="6" t="n">
        <v>5</v>
      </c>
      <c r="H2022" s="6">
        <f>F2022*G2022</f>
        <v/>
      </c>
      <c r="I2022">
        <f>_xlfn.XLOOKUP(A2022,MktTitle,MktCat,"n/a")</f>
        <v/>
      </c>
      <c r="J2022" s="3">
        <f>_xlfn.XLOOKUP(A2022,MktTitle,MktTotVol,0)</f>
        <v/>
      </c>
      <c r="K2022">
        <f>IF(H2022&gt;WhaleThreshold,"WHALE","")</f>
        <v/>
      </c>
    </row>
    <row r="2023">
      <c r="A2023" t="inlineStr">
        <is>
          <t>Will Belgium win the 2026 FIFA World Cup?</t>
        </is>
      </c>
      <c r="B2023" s="4" t="n">
        <v>46205</v>
      </c>
      <c r="C2023" s="5" t="n">
        <v>46205.95887731481</v>
      </c>
      <c r="D2023" t="inlineStr">
        <is>
          <t>BUY</t>
        </is>
      </c>
      <c r="E2023" t="inlineStr">
        <is>
          <t>No</t>
        </is>
      </c>
      <c r="F2023" s="2" t="n">
        <v>0.986</v>
      </c>
      <c r="G2023" s="6" t="n">
        <v>10</v>
      </c>
      <c r="H2023" s="6">
        <f>F2023*G2023</f>
        <v/>
      </c>
      <c r="I2023">
        <f>_xlfn.XLOOKUP(A2023,MktTitle,MktCat,"n/a")</f>
        <v/>
      </c>
      <c r="J2023" s="3">
        <f>_xlfn.XLOOKUP(A2023,MktTitle,MktTotVol,0)</f>
        <v/>
      </c>
      <c r="K2023">
        <f>IF(H2023&gt;WhaleThreshold,"WHALE","")</f>
        <v/>
      </c>
    </row>
    <row r="2024">
      <c r="A2024" t="inlineStr">
        <is>
          <t>Will Belgium win the 2026 FIFA World Cup?</t>
        </is>
      </c>
      <c r="B2024" s="4" t="n">
        <v>46205</v>
      </c>
      <c r="C2024" s="5" t="n">
        <v>46205.95886574074</v>
      </c>
      <c r="D2024" t="inlineStr">
        <is>
          <t>BUY</t>
        </is>
      </c>
      <c r="E2024" t="inlineStr">
        <is>
          <t>No</t>
        </is>
      </c>
      <c r="F2024" s="2" t="n">
        <v>0.986</v>
      </c>
      <c r="G2024" s="6" t="n">
        <v>10</v>
      </c>
      <c r="H2024" s="6">
        <f>F2024*G2024</f>
        <v/>
      </c>
      <c r="I2024">
        <f>_xlfn.XLOOKUP(A2024,MktTitle,MktCat,"n/a")</f>
        <v/>
      </c>
      <c r="J2024" s="3">
        <f>_xlfn.XLOOKUP(A2024,MktTitle,MktTotVol,0)</f>
        <v/>
      </c>
      <c r="K2024">
        <f>IF(H2024&gt;WhaleThreshold,"WHALE","")</f>
        <v/>
      </c>
    </row>
    <row r="2025">
      <c r="A2025" t="inlineStr">
        <is>
          <t>Will Belgium win the 2026 FIFA World Cup?</t>
        </is>
      </c>
      <c r="B2025" s="4" t="n">
        <v>46205</v>
      </c>
      <c r="C2025" s="5" t="n">
        <v>46205.95884259259</v>
      </c>
      <c r="D2025" t="inlineStr">
        <is>
          <t>BUY</t>
        </is>
      </c>
      <c r="E2025" t="inlineStr">
        <is>
          <t>No</t>
        </is>
      </c>
      <c r="F2025" s="2" t="n">
        <v>0.986</v>
      </c>
      <c r="G2025" s="6" t="n">
        <v>10</v>
      </c>
      <c r="H2025" s="6">
        <f>F2025*G2025</f>
        <v/>
      </c>
      <c r="I2025">
        <f>_xlfn.XLOOKUP(A2025,MktTitle,MktCat,"n/a")</f>
        <v/>
      </c>
      <c r="J2025" s="3">
        <f>_xlfn.XLOOKUP(A2025,MktTitle,MktTotVol,0)</f>
        <v/>
      </c>
      <c r="K2025">
        <f>IF(H2025&gt;WhaleThreshold,"WHALE","")</f>
        <v/>
      </c>
    </row>
    <row r="2026">
      <c r="A2026" t="inlineStr">
        <is>
          <t>Will Belgium win the 2026 FIFA World Cup?</t>
        </is>
      </c>
      <c r="B2026" s="4" t="n">
        <v>46205</v>
      </c>
      <c r="C2026" s="5" t="n">
        <v>46205.95883101852</v>
      </c>
      <c r="D2026" t="inlineStr">
        <is>
          <t>BUY</t>
        </is>
      </c>
      <c r="E2026" t="inlineStr">
        <is>
          <t>No</t>
        </is>
      </c>
      <c r="F2026" s="2" t="n">
        <v>0.986</v>
      </c>
      <c r="G2026" s="6" t="n">
        <v>115</v>
      </c>
      <c r="H2026" s="6">
        <f>F2026*G2026</f>
        <v/>
      </c>
      <c r="I2026">
        <f>_xlfn.XLOOKUP(A2026,MktTitle,MktCat,"n/a")</f>
        <v/>
      </c>
      <c r="J2026" s="3">
        <f>_xlfn.XLOOKUP(A2026,MktTitle,MktTotVol,0)</f>
        <v/>
      </c>
      <c r="K2026">
        <f>IF(H2026&gt;WhaleThreshold,"WHALE","")</f>
        <v/>
      </c>
    </row>
    <row r="2027">
      <c r="A2027" t="inlineStr">
        <is>
          <t>Will Belgium win the 2026 FIFA World Cup?</t>
        </is>
      </c>
      <c r="B2027" s="4" t="n">
        <v>46205</v>
      </c>
      <c r="C2027" s="5" t="n">
        <v>46205.95880787037</v>
      </c>
      <c r="D2027" t="inlineStr">
        <is>
          <t>BUY</t>
        </is>
      </c>
      <c r="E2027" t="inlineStr">
        <is>
          <t>No</t>
        </is>
      </c>
      <c r="F2027" s="2" t="n">
        <v>0.986</v>
      </c>
      <c r="G2027" s="6" t="n">
        <v>20</v>
      </c>
      <c r="H2027" s="6">
        <f>F2027*G2027</f>
        <v/>
      </c>
      <c r="I2027">
        <f>_xlfn.XLOOKUP(A2027,MktTitle,MktCat,"n/a")</f>
        <v/>
      </c>
      <c r="J2027" s="3">
        <f>_xlfn.XLOOKUP(A2027,MktTitle,MktTotVol,0)</f>
        <v/>
      </c>
      <c r="K2027">
        <f>IF(H2027&gt;WhaleThreshold,"WHALE","")</f>
        <v/>
      </c>
    </row>
    <row r="2028">
      <c r="A2028" t="inlineStr">
        <is>
          <t>Will Belgium win the 2026 FIFA World Cup?</t>
        </is>
      </c>
      <c r="B2028" s="4" t="n">
        <v>46205</v>
      </c>
      <c r="C2028" s="5" t="n">
        <v>46205.95880787037</v>
      </c>
      <c r="D2028" t="inlineStr">
        <is>
          <t>BUY</t>
        </is>
      </c>
      <c r="E2028" t="inlineStr">
        <is>
          <t>Yes</t>
        </is>
      </c>
      <c r="F2028" s="2" t="n">
        <v>0.015</v>
      </c>
      <c r="G2028" s="6" t="n">
        <v>66.66670000000001</v>
      </c>
      <c r="H2028" s="6">
        <f>F2028*G2028</f>
        <v/>
      </c>
      <c r="I2028">
        <f>_xlfn.XLOOKUP(A2028,MktTitle,MktCat,"n/a")</f>
        <v/>
      </c>
      <c r="J2028" s="3">
        <f>_xlfn.XLOOKUP(A2028,MktTitle,MktTotVol,0)</f>
        <v/>
      </c>
      <c r="K2028">
        <f>IF(H2028&gt;WhaleThreshold,"WHALE","")</f>
        <v/>
      </c>
    </row>
    <row r="2029">
      <c r="A2029" t="inlineStr">
        <is>
          <t>Will Belgium win the 2026 FIFA World Cup?</t>
        </is>
      </c>
      <c r="B2029" s="4" t="n">
        <v>46205</v>
      </c>
      <c r="C2029" s="5" t="n">
        <v>46205.95880787037</v>
      </c>
      <c r="D2029" t="inlineStr">
        <is>
          <t>BUY</t>
        </is>
      </c>
      <c r="E2029" t="inlineStr">
        <is>
          <t>No</t>
        </is>
      </c>
      <c r="F2029" s="2" t="n">
        <v>0.986</v>
      </c>
      <c r="G2029" s="6" t="n">
        <v>27.2</v>
      </c>
      <c r="H2029" s="6">
        <f>F2029*G2029</f>
        <v/>
      </c>
      <c r="I2029">
        <f>_xlfn.XLOOKUP(A2029,MktTitle,MktCat,"n/a")</f>
        <v/>
      </c>
      <c r="J2029" s="3">
        <f>_xlfn.XLOOKUP(A2029,MktTitle,MktTotVol,0)</f>
        <v/>
      </c>
      <c r="K2029">
        <f>IF(H2029&gt;WhaleThreshold,"WHALE","")</f>
        <v/>
      </c>
    </row>
    <row r="2030">
      <c r="A2030" t="inlineStr">
        <is>
          <t>Will Belgium win the 2026 FIFA World Cup?</t>
        </is>
      </c>
      <c r="B2030" s="4" t="n">
        <v>46205</v>
      </c>
      <c r="C2030" s="5" t="n">
        <v>46205.95880787037</v>
      </c>
      <c r="D2030" t="inlineStr">
        <is>
          <t>BUY</t>
        </is>
      </c>
      <c r="E2030" t="inlineStr">
        <is>
          <t>No</t>
        </is>
      </c>
      <c r="F2030" s="2" t="n">
        <v>0.986</v>
      </c>
      <c r="G2030" s="6" t="n">
        <v>70</v>
      </c>
      <c r="H2030" s="6">
        <f>F2030*G2030</f>
        <v/>
      </c>
      <c r="I2030">
        <f>_xlfn.XLOOKUP(A2030,MktTitle,MktCat,"n/a")</f>
        <v/>
      </c>
      <c r="J2030" s="3">
        <f>_xlfn.XLOOKUP(A2030,MktTitle,MktTotVol,0)</f>
        <v/>
      </c>
      <c r="K2030">
        <f>IF(H2030&gt;WhaleThreshold,"WHALE","")</f>
        <v/>
      </c>
    </row>
    <row r="2031">
      <c r="A2031" t="inlineStr">
        <is>
          <t>Will Belgium win the 2026 FIFA World Cup?</t>
        </is>
      </c>
      <c r="B2031" s="4" t="n">
        <v>46205</v>
      </c>
      <c r="C2031" s="5" t="n">
        <v>46205.9587962963</v>
      </c>
      <c r="D2031" t="inlineStr">
        <is>
          <t>BUY</t>
        </is>
      </c>
      <c r="E2031" t="inlineStr">
        <is>
          <t>No</t>
        </is>
      </c>
      <c r="F2031" s="2" t="n">
        <v>0.986</v>
      </c>
      <c r="G2031" s="6" t="n">
        <v>115</v>
      </c>
      <c r="H2031" s="6">
        <f>F2031*G2031</f>
        <v/>
      </c>
      <c r="I2031">
        <f>_xlfn.XLOOKUP(A2031,MktTitle,MktCat,"n/a")</f>
        <v/>
      </c>
      <c r="J2031" s="3">
        <f>_xlfn.XLOOKUP(A2031,MktTitle,MktTotVol,0)</f>
        <v/>
      </c>
      <c r="K2031">
        <f>IF(H2031&gt;WhaleThreshold,"WHALE","")</f>
        <v/>
      </c>
    </row>
    <row r="2032">
      <c r="A2032" t="inlineStr">
        <is>
          <t>Will Belgium win the 2026 FIFA World Cup?</t>
        </is>
      </c>
      <c r="B2032" s="4" t="n">
        <v>46205</v>
      </c>
      <c r="C2032" s="5" t="n">
        <v>46205.9587962963</v>
      </c>
      <c r="D2032" t="inlineStr">
        <is>
          <t>BUY</t>
        </is>
      </c>
      <c r="E2032" t="inlineStr">
        <is>
          <t>No</t>
        </is>
      </c>
      <c r="F2032" s="2" t="n">
        <v>0.986</v>
      </c>
      <c r="G2032" s="6" t="n">
        <v>47</v>
      </c>
      <c r="H2032" s="6">
        <f>F2032*G2032</f>
        <v/>
      </c>
      <c r="I2032">
        <f>_xlfn.XLOOKUP(A2032,MktTitle,MktCat,"n/a")</f>
        <v/>
      </c>
      <c r="J2032" s="3">
        <f>_xlfn.XLOOKUP(A2032,MktTitle,MktTotVol,0)</f>
        <v/>
      </c>
      <c r="K2032">
        <f>IF(H2032&gt;WhaleThreshold,"WHALE","")</f>
        <v/>
      </c>
    </row>
    <row r="2033">
      <c r="A2033" t="inlineStr">
        <is>
          <t>Will Belgium win the 2026 FIFA World Cup?</t>
        </is>
      </c>
      <c r="B2033" s="4" t="n">
        <v>46205</v>
      </c>
      <c r="C2033" s="5" t="n">
        <v>46205.9587962963</v>
      </c>
      <c r="D2033" t="inlineStr">
        <is>
          <t>BUY</t>
        </is>
      </c>
      <c r="E2033" t="inlineStr">
        <is>
          <t>No</t>
        </is>
      </c>
      <c r="F2033" s="2" t="n">
        <v>0.986</v>
      </c>
      <c r="G2033" s="6" t="n">
        <v>115</v>
      </c>
      <c r="H2033" s="6">
        <f>F2033*G2033</f>
        <v/>
      </c>
      <c r="I2033">
        <f>_xlfn.XLOOKUP(A2033,MktTitle,MktCat,"n/a")</f>
        <v/>
      </c>
      <c r="J2033" s="3">
        <f>_xlfn.XLOOKUP(A2033,MktTitle,MktTotVol,0)</f>
        <v/>
      </c>
      <c r="K2033">
        <f>IF(H2033&gt;WhaleThreshold,"WHALE","")</f>
        <v/>
      </c>
    </row>
    <row r="2034">
      <c r="A2034" t="inlineStr">
        <is>
          <t>Will Belgium win the 2026 FIFA World Cup?</t>
        </is>
      </c>
      <c r="B2034" s="4" t="n">
        <v>46205</v>
      </c>
      <c r="C2034" s="5" t="n">
        <v>46205.95851851852</v>
      </c>
      <c r="D2034" t="inlineStr">
        <is>
          <t>SELL</t>
        </is>
      </c>
      <c r="E2034" t="inlineStr">
        <is>
          <t>No</t>
        </is>
      </c>
      <c r="F2034" s="2" t="n">
        <v>0.985</v>
      </c>
      <c r="G2034" s="6" t="n">
        <v>40.78</v>
      </c>
      <c r="H2034" s="6">
        <f>F2034*G2034</f>
        <v/>
      </c>
      <c r="I2034">
        <f>_xlfn.XLOOKUP(A2034,MktTitle,MktCat,"n/a")</f>
        <v/>
      </c>
      <c r="J2034" s="3">
        <f>_xlfn.XLOOKUP(A2034,MktTitle,MktTotVol,0)</f>
        <v/>
      </c>
      <c r="K2034">
        <f>IF(H2034&gt;WhaleThreshold,"WHALE","")</f>
        <v/>
      </c>
    </row>
    <row r="2035">
      <c r="A2035" t="inlineStr">
        <is>
          <t>Will Belgium win the 2026 FIFA World Cup?</t>
        </is>
      </c>
      <c r="B2035" s="4" t="n">
        <v>46205</v>
      </c>
      <c r="C2035" s="5" t="n">
        <v>46205.95849537037</v>
      </c>
      <c r="D2035" t="inlineStr">
        <is>
          <t>BUY</t>
        </is>
      </c>
      <c r="E2035" t="inlineStr">
        <is>
          <t>No</t>
        </is>
      </c>
      <c r="F2035" s="2" t="n">
        <v>0.986</v>
      </c>
      <c r="G2035" s="6" t="n">
        <v>10</v>
      </c>
      <c r="H2035" s="6">
        <f>F2035*G2035</f>
        <v/>
      </c>
      <c r="I2035">
        <f>_xlfn.XLOOKUP(A2035,MktTitle,MktCat,"n/a")</f>
        <v/>
      </c>
      <c r="J2035" s="3">
        <f>_xlfn.XLOOKUP(A2035,MktTitle,MktTotVol,0)</f>
        <v/>
      </c>
      <c r="K2035">
        <f>IF(H2035&gt;WhaleThreshold,"WHALE","")</f>
        <v/>
      </c>
    </row>
    <row r="2036">
      <c r="A2036" t="inlineStr">
        <is>
          <t>Will Belgium win the 2026 FIFA World Cup?</t>
        </is>
      </c>
      <c r="B2036" s="4" t="n">
        <v>46205</v>
      </c>
      <c r="C2036" s="5" t="n">
        <v>46205.95849537037</v>
      </c>
      <c r="D2036" t="inlineStr">
        <is>
          <t>BUY</t>
        </is>
      </c>
      <c r="E2036" t="inlineStr">
        <is>
          <t>No</t>
        </is>
      </c>
      <c r="F2036" s="2" t="n">
        <v>0.986</v>
      </c>
      <c r="G2036" s="6" t="n">
        <v>10</v>
      </c>
      <c r="H2036" s="6">
        <f>F2036*G2036</f>
        <v/>
      </c>
      <c r="I2036">
        <f>_xlfn.XLOOKUP(A2036,MktTitle,MktCat,"n/a")</f>
        <v/>
      </c>
      <c r="J2036" s="3">
        <f>_xlfn.XLOOKUP(A2036,MktTitle,MktTotVol,0)</f>
        <v/>
      </c>
      <c r="K2036">
        <f>IF(H2036&gt;WhaleThreshold,"WHALE","")</f>
        <v/>
      </c>
    </row>
    <row r="2037">
      <c r="A2037" t="inlineStr">
        <is>
          <t>Will Belgium win the 2026 FIFA World Cup?</t>
        </is>
      </c>
      <c r="B2037" s="4" t="n">
        <v>46205</v>
      </c>
      <c r="C2037" s="5" t="n">
        <v>46205.95837962963</v>
      </c>
      <c r="D2037" t="inlineStr">
        <is>
          <t>BUY</t>
        </is>
      </c>
      <c r="E2037" t="inlineStr">
        <is>
          <t>No</t>
        </is>
      </c>
      <c r="F2037" s="2" t="n">
        <v>0.986</v>
      </c>
      <c r="G2037" s="6" t="n">
        <v>15</v>
      </c>
      <c r="H2037" s="6">
        <f>F2037*G2037</f>
        <v/>
      </c>
      <c r="I2037">
        <f>_xlfn.XLOOKUP(A2037,MktTitle,MktCat,"n/a")</f>
        <v/>
      </c>
      <c r="J2037" s="3">
        <f>_xlfn.XLOOKUP(A2037,MktTitle,MktTotVol,0)</f>
        <v/>
      </c>
      <c r="K2037">
        <f>IF(H2037&gt;WhaleThreshold,"WHALE","")</f>
        <v/>
      </c>
    </row>
    <row r="2038">
      <c r="A2038" t="inlineStr">
        <is>
          <t>Will Belgium win the 2026 FIFA World Cup?</t>
        </is>
      </c>
      <c r="B2038" s="4" t="n">
        <v>46205</v>
      </c>
      <c r="C2038" s="5" t="n">
        <v>46205.95835648148</v>
      </c>
      <c r="D2038" t="inlineStr">
        <is>
          <t>BUY</t>
        </is>
      </c>
      <c r="E2038" t="inlineStr">
        <is>
          <t>No</t>
        </is>
      </c>
      <c r="F2038" s="2" t="n">
        <v>0.986</v>
      </c>
      <c r="G2038" s="6" t="n">
        <v>50</v>
      </c>
      <c r="H2038" s="6">
        <f>F2038*G2038</f>
        <v/>
      </c>
      <c r="I2038">
        <f>_xlfn.XLOOKUP(A2038,MktTitle,MktCat,"n/a")</f>
        <v/>
      </c>
      <c r="J2038" s="3">
        <f>_xlfn.XLOOKUP(A2038,MktTitle,MktTotVol,0)</f>
        <v/>
      </c>
      <c r="K2038">
        <f>IF(H2038&gt;WhaleThreshold,"WHALE","")</f>
        <v/>
      </c>
    </row>
    <row r="2039">
      <c r="A2039" t="inlineStr">
        <is>
          <t>Will Belgium win the 2026 FIFA World Cup?</t>
        </is>
      </c>
      <c r="B2039" s="4" t="n">
        <v>46205</v>
      </c>
      <c r="C2039" s="5" t="n">
        <v>46205.95834490741</v>
      </c>
      <c r="D2039" t="inlineStr">
        <is>
          <t>BUY</t>
        </is>
      </c>
      <c r="E2039" t="inlineStr">
        <is>
          <t>No</t>
        </is>
      </c>
      <c r="F2039" s="2" t="n">
        <v>0.986</v>
      </c>
      <c r="G2039" s="6" t="n">
        <v>65</v>
      </c>
      <c r="H2039" s="6">
        <f>F2039*G2039</f>
        <v/>
      </c>
      <c r="I2039">
        <f>_xlfn.XLOOKUP(A2039,MktTitle,MktCat,"n/a")</f>
        <v/>
      </c>
      <c r="J2039" s="3">
        <f>_xlfn.XLOOKUP(A2039,MktTitle,MktTotVol,0)</f>
        <v/>
      </c>
      <c r="K2039">
        <f>IF(H2039&gt;WhaleThreshold,"WHALE","")</f>
        <v/>
      </c>
    </row>
    <row r="2040">
      <c r="A2040" t="inlineStr">
        <is>
          <t>Will Belgium win the 2026 FIFA World Cup?</t>
        </is>
      </c>
      <c r="B2040" s="4" t="n">
        <v>46205</v>
      </c>
      <c r="C2040" s="5" t="n">
        <v>46205.95834490741</v>
      </c>
      <c r="D2040" t="inlineStr">
        <is>
          <t>BUY</t>
        </is>
      </c>
      <c r="E2040" t="inlineStr">
        <is>
          <t>No</t>
        </is>
      </c>
      <c r="F2040" s="2" t="n">
        <v>0.986</v>
      </c>
      <c r="G2040" s="6" t="n">
        <v>115</v>
      </c>
      <c r="H2040" s="6">
        <f>F2040*G2040</f>
        <v/>
      </c>
      <c r="I2040">
        <f>_xlfn.XLOOKUP(A2040,MktTitle,MktCat,"n/a")</f>
        <v/>
      </c>
      <c r="J2040" s="3">
        <f>_xlfn.XLOOKUP(A2040,MktTitle,MktTotVol,0)</f>
        <v/>
      </c>
      <c r="K2040">
        <f>IF(H2040&gt;WhaleThreshold,"WHALE","")</f>
        <v/>
      </c>
    </row>
    <row r="2041">
      <c r="A2041" t="inlineStr">
        <is>
          <t>Will Belgium win the 2026 FIFA World Cup?</t>
        </is>
      </c>
      <c r="B2041" s="4" t="n">
        <v>46205</v>
      </c>
      <c r="C2041" s="5" t="n">
        <v>46205.95834490741</v>
      </c>
      <c r="D2041" t="inlineStr">
        <is>
          <t>BUY</t>
        </is>
      </c>
      <c r="E2041" t="inlineStr">
        <is>
          <t>No</t>
        </is>
      </c>
      <c r="F2041" s="2" t="n">
        <v>0.986</v>
      </c>
      <c r="G2041" s="6" t="n">
        <v>73.59999999999999</v>
      </c>
      <c r="H2041" s="6">
        <f>F2041*G2041</f>
        <v/>
      </c>
      <c r="I2041">
        <f>_xlfn.XLOOKUP(A2041,MktTitle,MktCat,"n/a")</f>
        <v/>
      </c>
      <c r="J2041" s="3">
        <f>_xlfn.XLOOKUP(A2041,MktTitle,MktTotVol,0)</f>
        <v/>
      </c>
      <c r="K2041">
        <f>IF(H2041&gt;WhaleThreshold,"WHALE","")</f>
        <v/>
      </c>
    </row>
    <row r="2042">
      <c r="A2042" t="inlineStr">
        <is>
          <t>Will Belgium win the 2026 FIFA World Cup?</t>
        </is>
      </c>
      <c r="B2042" s="4" t="n">
        <v>46205</v>
      </c>
      <c r="C2042" s="5" t="n">
        <v>46205.95313657408</v>
      </c>
      <c r="D2042" t="inlineStr">
        <is>
          <t>BUY</t>
        </is>
      </c>
      <c r="E2042" t="inlineStr">
        <is>
          <t>No</t>
        </is>
      </c>
      <c r="F2042" s="2" t="n">
        <v>0.986</v>
      </c>
      <c r="G2042" s="6" t="n">
        <v>18.44</v>
      </c>
      <c r="H2042" s="6">
        <f>F2042*G2042</f>
        <v/>
      </c>
      <c r="I2042">
        <f>_xlfn.XLOOKUP(A2042,MktTitle,MktCat,"n/a")</f>
        <v/>
      </c>
      <c r="J2042" s="3">
        <f>_xlfn.XLOOKUP(A2042,MktTitle,MktTotVol,0)</f>
        <v/>
      </c>
      <c r="K2042">
        <f>IF(H2042&gt;WhaleThreshold,"WHALE","")</f>
        <v/>
      </c>
    </row>
    <row r="2043">
      <c r="A2043" t="inlineStr">
        <is>
          <t>Will Belgium win the 2026 FIFA World Cup?</t>
        </is>
      </c>
      <c r="B2043" s="4" t="n">
        <v>46205</v>
      </c>
      <c r="C2043" s="5" t="n">
        <v>46205.95185185185</v>
      </c>
      <c r="D2043" t="inlineStr">
        <is>
          <t>SELL</t>
        </is>
      </c>
      <c r="E2043" t="inlineStr">
        <is>
          <t>No</t>
        </is>
      </c>
      <c r="F2043" s="2" t="n">
        <v>0.985</v>
      </c>
      <c r="G2043" s="6" t="n">
        <v>57.41</v>
      </c>
      <c r="H2043" s="6">
        <f>F2043*G2043</f>
        <v/>
      </c>
      <c r="I2043">
        <f>_xlfn.XLOOKUP(A2043,MktTitle,MktCat,"n/a")</f>
        <v/>
      </c>
      <c r="J2043" s="3">
        <f>_xlfn.XLOOKUP(A2043,MktTitle,MktTotVol,0)</f>
        <v/>
      </c>
      <c r="K2043">
        <f>IF(H2043&gt;WhaleThreshold,"WHALE","")</f>
        <v/>
      </c>
    </row>
    <row r="2044">
      <c r="A2044" t="inlineStr">
        <is>
          <t>Will Belgium win the 2026 FIFA World Cup?</t>
        </is>
      </c>
      <c r="B2044" s="4" t="n">
        <v>46205</v>
      </c>
      <c r="C2044" s="5" t="n">
        <v>46205.95046296297</v>
      </c>
      <c r="D2044" t="inlineStr">
        <is>
          <t>BUY</t>
        </is>
      </c>
      <c r="E2044" t="inlineStr">
        <is>
          <t>Yes</t>
        </is>
      </c>
      <c r="F2044" s="2" t="n">
        <v>0.015</v>
      </c>
      <c r="G2044" s="6" t="n">
        <v>60</v>
      </c>
      <c r="H2044" s="6">
        <f>F2044*G2044</f>
        <v/>
      </c>
      <c r="I2044">
        <f>_xlfn.XLOOKUP(A2044,MktTitle,MktCat,"n/a")</f>
        <v/>
      </c>
      <c r="J2044" s="3">
        <f>_xlfn.XLOOKUP(A2044,MktTitle,MktTotVol,0)</f>
        <v/>
      </c>
      <c r="K2044">
        <f>IF(H2044&gt;WhaleThreshold,"WHALE","")</f>
        <v/>
      </c>
    </row>
    <row r="2045">
      <c r="A2045" t="inlineStr">
        <is>
          <t>Will Belgium win the 2026 FIFA World Cup?</t>
        </is>
      </c>
      <c r="B2045" s="4" t="n">
        <v>46205</v>
      </c>
      <c r="C2045" s="5" t="n">
        <v>46205.9482175926</v>
      </c>
      <c r="D2045" t="inlineStr">
        <is>
          <t>SELL</t>
        </is>
      </c>
      <c r="E2045" t="inlineStr">
        <is>
          <t>No</t>
        </is>
      </c>
      <c r="F2045" s="2" t="n">
        <v>0.985</v>
      </c>
      <c r="G2045" s="6" t="n">
        <v>42.34</v>
      </c>
      <c r="H2045" s="6">
        <f>F2045*G2045</f>
        <v/>
      </c>
      <c r="I2045">
        <f>_xlfn.XLOOKUP(A2045,MktTitle,MktCat,"n/a")</f>
        <v/>
      </c>
      <c r="J2045" s="3">
        <f>_xlfn.XLOOKUP(A2045,MktTitle,MktTotVol,0)</f>
        <v/>
      </c>
      <c r="K2045">
        <f>IF(H2045&gt;WhaleThreshold,"WHALE","")</f>
        <v/>
      </c>
    </row>
    <row r="2046">
      <c r="A2046" t="inlineStr">
        <is>
          <t>Will Belgium win the 2026 FIFA World Cup?</t>
        </is>
      </c>
      <c r="B2046" s="4" t="n">
        <v>46205</v>
      </c>
      <c r="C2046" s="5" t="n">
        <v>46205.94787037037</v>
      </c>
      <c r="D2046" t="inlineStr">
        <is>
          <t>SELL</t>
        </is>
      </c>
      <c r="E2046" t="inlineStr">
        <is>
          <t>Yes</t>
        </is>
      </c>
      <c r="F2046" s="2" t="n">
        <v>0.014</v>
      </c>
      <c r="G2046" s="6" t="n">
        <v>3000</v>
      </c>
      <c r="H2046" s="6">
        <f>F2046*G2046</f>
        <v/>
      </c>
      <c r="I2046">
        <f>_xlfn.XLOOKUP(A2046,MktTitle,MktCat,"n/a")</f>
        <v/>
      </c>
      <c r="J2046" s="3">
        <f>_xlfn.XLOOKUP(A2046,MktTitle,MktTotVol,0)</f>
        <v/>
      </c>
      <c r="K2046">
        <f>IF(H2046&gt;WhaleThreshold,"WHALE","")</f>
        <v/>
      </c>
    </row>
    <row r="2047">
      <c r="A2047" t="inlineStr">
        <is>
          <t>Will Belgium win the 2026 FIFA World Cup?</t>
        </is>
      </c>
      <c r="B2047" s="4" t="n">
        <v>46205</v>
      </c>
      <c r="C2047" s="5" t="n">
        <v>46205.94679398148</v>
      </c>
      <c r="D2047" t="inlineStr">
        <is>
          <t>SELL</t>
        </is>
      </c>
      <c r="E2047" t="inlineStr">
        <is>
          <t>No</t>
        </is>
      </c>
      <c r="F2047" s="2" t="n">
        <v>0.985</v>
      </c>
      <c r="G2047" s="6" t="n">
        <v>11.13</v>
      </c>
      <c r="H2047" s="6">
        <f>F2047*G2047</f>
        <v/>
      </c>
      <c r="I2047">
        <f>_xlfn.XLOOKUP(A2047,MktTitle,MktCat,"n/a")</f>
        <v/>
      </c>
      <c r="J2047" s="3">
        <f>_xlfn.XLOOKUP(A2047,MktTitle,MktTotVol,0)</f>
        <v/>
      </c>
      <c r="K2047">
        <f>IF(H2047&gt;WhaleThreshold,"WHALE","")</f>
        <v/>
      </c>
    </row>
    <row r="2048">
      <c r="A2048" t="inlineStr">
        <is>
          <t>Will Belgium win the 2026 FIFA World Cup?</t>
        </is>
      </c>
      <c r="B2048" s="4" t="n">
        <v>46205</v>
      </c>
      <c r="C2048" s="5" t="n">
        <v>46205.94655092592</v>
      </c>
      <c r="D2048" t="inlineStr">
        <is>
          <t>BUY</t>
        </is>
      </c>
      <c r="E2048" t="inlineStr">
        <is>
          <t>No</t>
        </is>
      </c>
      <c r="F2048" s="2" t="n">
        <v>0.986</v>
      </c>
      <c r="G2048" s="6" t="n">
        <v>11.13</v>
      </c>
      <c r="H2048" s="6">
        <f>F2048*G2048</f>
        <v/>
      </c>
      <c r="I2048">
        <f>_xlfn.XLOOKUP(A2048,MktTitle,MktCat,"n/a")</f>
        <v/>
      </c>
      <c r="J2048" s="3">
        <f>_xlfn.XLOOKUP(A2048,MktTitle,MktTotVol,0)</f>
        <v/>
      </c>
      <c r="K2048">
        <f>IF(H2048&gt;WhaleThreshold,"WHALE","")</f>
        <v/>
      </c>
    </row>
    <row r="2049">
      <c r="A2049" t="inlineStr">
        <is>
          <t>Will Belgium win the 2026 FIFA World Cup?</t>
        </is>
      </c>
      <c r="B2049" s="4" t="n">
        <v>46205</v>
      </c>
      <c r="C2049" s="5" t="n">
        <v>46205.94490740741</v>
      </c>
      <c r="D2049" t="inlineStr">
        <is>
          <t>SELL</t>
        </is>
      </c>
      <c r="E2049" t="inlineStr">
        <is>
          <t>Yes</t>
        </is>
      </c>
      <c r="F2049" s="2" t="n">
        <v>0.014</v>
      </c>
      <c r="G2049" s="6" t="n">
        <v>50000</v>
      </c>
      <c r="H2049" s="6">
        <f>F2049*G2049</f>
        <v/>
      </c>
      <c r="I2049">
        <f>_xlfn.XLOOKUP(A2049,MktTitle,MktCat,"n/a")</f>
        <v/>
      </c>
      <c r="J2049" s="3">
        <f>_xlfn.XLOOKUP(A2049,MktTitle,MktTotVol,0)</f>
        <v/>
      </c>
      <c r="K2049">
        <f>IF(H2049&gt;WhaleThreshold,"WHALE","")</f>
        <v/>
      </c>
    </row>
    <row r="2050">
      <c r="A2050" t="inlineStr">
        <is>
          <t>Will Belgium win the 2026 FIFA World Cup?</t>
        </is>
      </c>
      <c r="B2050" s="4" t="n">
        <v>46205</v>
      </c>
      <c r="C2050" s="5" t="n">
        <v>46205.94106481481</v>
      </c>
      <c r="D2050" t="inlineStr">
        <is>
          <t>SELL</t>
        </is>
      </c>
      <c r="E2050" t="inlineStr">
        <is>
          <t>Yes</t>
        </is>
      </c>
      <c r="F2050" s="2" t="n">
        <v>0.014</v>
      </c>
      <c r="G2050" s="6" t="n">
        <v>50</v>
      </c>
      <c r="H2050" s="6">
        <f>F2050*G2050</f>
        <v/>
      </c>
      <c r="I2050">
        <f>_xlfn.XLOOKUP(A2050,MktTitle,MktCat,"n/a")</f>
        <v/>
      </c>
      <c r="J2050" s="3">
        <f>_xlfn.XLOOKUP(A2050,MktTitle,MktTotVol,0)</f>
        <v/>
      </c>
      <c r="K2050">
        <f>IF(H2050&gt;WhaleThreshold,"WHALE","")</f>
        <v/>
      </c>
    </row>
    <row r="2051">
      <c r="A2051" t="inlineStr">
        <is>
          <t>Will Belgium win the 2026 FIFA World Cup?</t>
        </is>
      </c>
      <c r="B2051" s="4" t="n">
        <v>46205</v>
      </c>
      <c r="C2051" s="5" t="n">
        <v>46205.9403587963</v>
      </c>
      <c r="D2051" t="inlineStr">
        <is>
          <t>SELL</t>
        </is>
      </c>
      <c r="E2051" t="inlineStr">
        <is>
          <t>Yes</t>
        </is>
      </c>
      <c r="F2051" s="2" t="n">
        <v>0.014</v>
      </c>
      <c r="G2051" s="6" t="n">
        <v>43.47</v>
      </c>
      <c r="H2051" s="6">
        <f>F2051*G2051</f>
        <v/>
      </c>
      <c r="I2051">
        <f>_xlfn.XLOOKUP(A2051,MktTitle,MktCat,"n/a")</f>
        <v/>
      </c>
      <c r="J2051" s="3">
        <f>_xlfn.XLOOKUP(A2051,MktTitle,MktTotVol,0)</f>
        <v/>
      </c>
      <c r="K2051">
        <f>IF(H2051&gt;WhaleThreshold,"WHALE","")</f>
        <v/>
      </c>
    </row>
    <row r="2052">
      <c r="A2052" t="inlineStr">
        <is>
          <t>Will Belgium win the 2026 FIFA World Cup?</t>
        </is>
      </c>
      <c r="B2052" s="4" t="n">
        <v>46205</v>
      </c>
      <c r="C2052" s="5" t="n">
        <v>46205.94012731482</v>
      </c>
      <c r="D2052" t="inlineStr">
        <is>
          <t>SELL</t>
        </is>
      </c>
      <c r="E2052" t="inlineStr">
        <is>
          <t>No</t>
        </is>
      </c>
      <c r="F2052" s="2" t="n">
        <v>0.985</v>
      </c>
      <c r="G2052" s="6" t="n">
        <v>55.42</v>
      </c>
      <c r="H2052" s="6">
        <f>F2052*G2052</f>
        <v/>
      </c>
      <c r="I2052">
        <f>_xlfn.XLOOKUP(A2052,MktTitle,MktCat,"n/a")</f>
        <v/>
      </c>
      <c r="J2052" s="3">
        <f>_xlfn.XLOOKUP(A2052,MktTitle,MktTotVol,0)</f>
        <v/>
      </c>
      <c r="K2052">
        <f>IF(H2052&gt;WhaleThreshold,"WHALE","")</f>
        <v/>
      </c>
    </row>
    <row r="2053">
      <c r="A2053" t="inlineStr">
        <is>
          <t>Will Belgium win the 2026 FIFA World Cup?</t>
        </is>
      </c>
      <c r="B2053" s="4" t="n">
        <v>46205</v>
      </c>
      <c r="C2053" s="5" t="n">
        <v>46205.93609953704</v>
      </c>
      <c r="D2053" t="inlineStr">
        <is>
          <t>BUY</t>
        </is>
      </c>
      <c r="E2053" t="inlineStr">
        <is>
          <t>Yes</t>
        </is>
      </c>
      <c r="F2053" s="2" t="n">
        <v>0.015</v>
      </c>
      <c r="G2053" s="6" t="n">
        <v>66.66670000000001</v>
      </c>
      <c r="H2053" s="6">
        <f>F2053*G2053</f>
        <v/>
      </c>
      <c r="I2053">
        <f>_xlfn.XLOOKUP(A2053,MktTitle,MktCat,"n/a")</f>
        <v/>
      </c>
      <c r="J2053" s="3">
        <f>_xlfn.XLOOKUP(A2053,MktTitle,MktTotVol,0)</f>
        <v/>
      </c>
      <c r="K2053">
        <f>IF(H2053&gt;WhaleThreshold,"WHALE","")</f>
        <v/>
      </c>
    </row>
    <row r="2054">
      <c r="A2054" t="inlineStr">
        <is>
          <t>Will Belgium win the 2026 FIFA World Cup?</t>
        </is>
      </c>
      <c r="B2054" s="4" t="n">
        <v>46205</v>
      </c>
      <c r="C2054" s="5" t="n">
        <v>46205.92133101852</v>
      </c>
      <c r="D2054" t="inlineStr">
        <is>
          <t>BUY</t>
        </is>
      </c>
      <c r="E2054" t="inlineStr">
        <is>
          <t>Yes</t>
        </is>
      </c>
      <c r="F2054" s="2" t="n">
        <v>0.015</v>
      </c>
      <c r="G2054" s="6" t="n">
        <v>66.66670000000001</v>
      </c>
      <c r="H2054" s="6">
        <f>F2054*G2054</f>
        <v/>
      </c>
      <c r="I2054">
        <f>_xlfn.XLOOKUP(A2054,MktTitle,MktCat,"n/a")</f>
        <v/>
      </c>
      <c r="J2054" s="3">
        <f>_xlfn.XLOOKUP(A2054,MktTitle,MktTotVol,0)</f>
        <v/>
      </c>
      <c r="K2054">
        <f>IF(H2054&gt;WhaleThreshold,"WHALE","")</f>
        <v/>
      </c>
    </row>
    <row r="2055">
      <c r="A2055" t="inlineStr">
        <is>
          <t>Will Belgium win the 2026 FIFA World Cup?</t>
        </is>
      </c>
      <c r="B2055" s="4" t="n">
        <v>46205</v>
      </c>
      <c r="C2055" s="5" t="n">
        <v>46205.91255787037</v>
      </c>
      <c r="D2055" t="inlineStr">
        <is>
          <t>BUY</t>
        </is>
      </c>
      <c r="E2055" t="inlineStr">
        <is>
          <t>Yes</t>
        </is>
      </c>
      <c r="F2055" s="2" t="n">
        <v>0.015</v>
      </c>
      <c r="G2055" s="6" t="n">
        <v>666.6667</v>
      </c>
      <c r="H2055" s="6">
        <f>F2055*G2055</f>
        <v/>
      </c>
      <c r="I2055">
        <f>_xlfn.XLOOKUP(A2055,MktTitle,MktCat,"n/a")</f>
        <v/>
      </c>
      <c r="J2055" s="3">
        <f>_xlfn.XLOOKUP(A2055,MktTitle,MktTotVol,0)</f>
        <v/>
      </c>
      <c r="K2055">
        <f>IF(H2055&gt;WhaleThreshold,"WHALE","")</f>
        <v/>
      </c>
    </row>
    <row r="2056">
      <c r="A2056" t="inlineStr">
        <is>
          <t>Will Belgium win the 2026 FIFA World Cup?</t>
        </is>
      </c>
      <c r="B2056" s="4" t="n">
        <v>46205</v>
      </c>
      <c r="C2056" s="5" t="n">
        <v>46205.91123842593</v>
      </c>
      <c r="D2056" t="inlineStr">
        <is>
          <t>BUY</t>
        </is>
      </c>
      <c r="E2056" t="inlineStr">
        <is>
          <t>No</t>
        </is>
      </c>
      <c r="F2056" s="2" t="n">
        <v>0.986</v>
      </c>
      <c r="G2056" s="6" t="n">
        <v>40.7809</v>
      </c>
      <c r="H2056" s="6">
        <f>F2056*G2056</f>
        <v/>
      </c>
      <c r="I2056">
        <f>_xlfn.XLOOKUP(A2056,MktTitle,MktCat,"n/a")</f>
        <v/>
      </c>
      <c r="J2056" s="3">
        <f>_xlfn.XLOOKUP(A2056,MktTitle,MktTotVol,0)</f>
        <v/>
      </c>
      <c r="K2056">
        <f>IF(H2056&gt;WhaleThreshold,"WHALE","")</f>
        <v/>
      </c>
    </row>
    <row r="2057">
      <c r="A2057" t="inlineStr">
        <is>
          <t>Will Belgium win the 2026 FIFA World Cup?</t>
        </is>
      </c>
      <c r="B2057" s="4" t="n">
        <v>46205</v>
      </c>
      <c r="C2057" s="5" t="n">
        <v>46205.91054398148</v>
      </c>
      <c r="D2057" t="inlineStr">
        <is>
          <t>BUY</t>
        </is>
      </c>
      <c r="E2057" t="inlineStr">
        <is>
          <t>Yes</t>
        </is>
      </c>
      <c r="F2057" s="2" t="n">
        <v>0.015</v>
      </c>
      <c r="G2057" s="6" t="n">
        <v>646.6667</v>
      </c>
      <c r="H2057" s="6">
        <f>F2057*G2057</f>
        <v/>
      </c>
      <c r="I2057">
        <f>_xlfn.XLOOKUP(A2057,MktTitle,MktCat,"n/a")</f>
        <v/>
      </c>
      <c r="J2057" s="3">
        <f>_xlfn.XLOOKUP(A2057,MktTitle,MktTotVol,0)</f>
        <v/>
      </c>
      <c r="K2057">
        <f>IF(H2057&gt;WhaleThreshold,"WHALE","")</f>
        <v/>
      </c>
    </row>
    <row r="2058">
      <c r="A2058" t="inlineStr">
        <is>
          <t>Will Belgium win the 2026 FIFA World Cup?</t>
        </is>
      </c>
      <c r="B2058" s="4" t="n">
        <v>46205</v>
      </c>
      <c r="C2058" s="5" t="n">
        <v>46205.90015046296</v>
      </c>
      <c r="D2058" t="inlineStr">
        <is>
          <t>BUY</t>
        </is>
      </c>
      <c r="E2058" t="inlineStr">
        <is>
          <t>Yes</t>
        </is>
      </c>
      <c r="F2058" s="2" t="n">
        <v>0.015</v>
      </c>
      <c r="G2058" s="6" t="n">
        <v>66.66670000000001</v>
      </c>
      <c r="H2058" s="6">
        <f>F2058*G2058</f>
        <v/>
      </c>
      <c r="I2058">
        <f>_xlfn.XLOOKUP(A2058,MktTitle,MktCat,"n/a")</f>
        <v/>
      </c>
      <c r="J2058" s="3">
        <f>_xlfn.XLOOKUP(A2058,MktTitle,MktTotVol,0)</f>
        <v/>
      </c>
      <c r="K2058">
        <f>IF(H2058&gt;WhaleThreshold,"WHALE","")</f>
        <v/>
      </c>
    </row>
    <row r="2059">
      <c r="A2059" t="inlineStr">
        <is>
          <t>Will Belgium win the 2026 FIFA World Cup?</t>
        </is>
      </c>
      <c r="B2059" s="4" t="n">
        <v>46205</v>
      </c>
      <c r="C2059" s="5" t="n">
        <v>46205.89813657408</v>
      </c>
      <c r="D2059" t="inlineStr">
        <is>
          <t>BUY</t>
        </is>
      </c>
      <c r="E2059" t="inlineStr">
        <is>
          <t>Yes</t>
        </is>
      </c>
      <c r="F2059" s="2" t="n">
        <v>0.015</v>
      </c>
      <c r="G2059" s="6" t="n">
        <v>5785.3333</v>
      </c>
      <c r="H2059" s="6">
        <f>F2059*G2059</f>
        <v/>
      </c>
      <c r="I2059">
        <f>_xlfn.XLOOKUP(A2059,MktTitle,MktCat,"n/a")</f>
        <v/>
      </c>
      <c r="J2059" s="3">
        <f>_xlfn.XLOOKUP(A2059,MktTitle,MktTotVol,0)</f>
        <v/>
      </c>
      <c r="K2059">
        <f>IF(H2059&gt;WhaleThreshold,"WHALE","")</f>
        <v/>
      </c>
    </row>
    <row r="2060">
      <c r="A2060" t="inlineStr">
        <is>
          <t>Will Belgium win the 2026 FIFA World Cup?</t>
        </is>
      </c>
      <c r="B2060" s="4" t="n">
        <v>46205</v>
      </c>
      <c r="C2060" s="5" t="n">
        <v>46205.89748842592</v>
      </c>
      <c r="D2060" t="inlineStr">
        <is>
          <t>BUY</t>
        </is>
      </c>
      <c r="E2060" t="inlineStr">
        <is>
          <t>No</t>
        </is>
      </c>
      <c r="F2060" s="2" t="n">
        <v>0.986</v>
      </c>
      <c r="G2060" s="6" t="n">
        <v>57.4036</v>
      </c>
      <c r="H2060" s="6">
        <f>F2060*G2060</f>
        <v/>
      </c>
      <c r="I2060">
        <f>_xlfn.XLOOKUP(A2060,MktTitle,MktCat,"n/a")</f>
        <v/>
      </c>
      <c r="J2060" s="3">
        <f>_xlfn.XLOOKUP(A2060,MktTitle,MktTotVol,0)</f>
        <v/>
      </c>
      <c r="K2060">
        <f>IF(H2060&gt;WhaleThreshold,"WHALE","")</f>
        <v/>
      </c>
    </row>
    <row r="2061">
      <c r="A2061" t="inlineStr">
        <is>
          <t>Will Belgium win the 2026 FIFA World Cup?</t>
        </is>
      </c>
      <c r="B2061" s="4" t="n">
        <v>46205</v>
      </c>
      <c r="C2061" s="5" t="n">
        <v>46205.89387731482</v>
      </c>
      <c r="D2061" t="inlineStr">
        <is>
          <t>BUY</t>
        </is>
      </c>
      <c r="E2061" t="inlineStr">
        <is>
          <t>Yes</t>
        </is>
      </c>
      <c r="F2061" s="2" t="n">
        <v>0.015</v>
      </c>
      <c r="G2061" s="6" t="n">
        <v>6472</v>
      </c>
      <c r="H2061" s="6">
        <f>F2061*G2061</f>
        <v/>
      </c>
      <c r="I2061">
        <f>_xlfn.XLOOKUP(A2061,MktTitle,MktCat,"n/a")</f>
        <v/>
      </c>
      <c r="J2061" s="3">
        <f>_xlfn.XLOOKUP(A2061,MktTitle,MktTotVol,0)</f>
        <v/>
      </c>
      <c r="K2061">
        <f>IF(H2061&gt;WhaleThreshold,"WHALE","")</f>
        <v/>
      </c>
    </row>
    <row r="2062">
      <c r="A2062" t="inlineStr">
        <is>
          <t>Will Belgium win the 2026 FIFA World Cup?</t>
        </is>
      </c>
      <c r="B2062" s="4" t="n">
        <v>46205</v>
      </c>
      <c r="C2062" s="5" t="n">
        <v>46205.89179398148</v>
      </c>
      <c r="D2062" t="inlineStr">
        <is>
          <t>BUY</t>
        </is>
      </c>
      <c r="E2062" t="inlineStr">
        <is>
          <t>Yes</t>
        </is>
      </c>
      <c r="F2062" s="2" t="n">
        <v>0.015</v>
      </c>
      <c r="G2062" s="6" t="n">
        <v>6472</v>
      </c>
      <c r="H2062" s="6">
        <f>F2062*G2062</f>
        <v/>
      </c>
      <c r="I2062">
        <f>_xlfn.XLOOKUP(A2062,MktTitle,MktCat,"n/a")</f>
        <v/>
      </c>
      <c r="J2062" s="3">
        <f>_xlfn.XLOOKUP(A2062,MktTitle,MktTotVol,0)</f>
        <v/>
      </c>
      <c r="K2062">
        <f>IF(H2062&gt;WhaleThreshold,"WHALE","")</f>
        <v/>
      </c>
    </row>
    <row r="2063">
      <c r="A2063" t="inlineStr">
        <is>
          <t>Will Belgium win the 2026 FIFA World Cup?</t>
        </is>
      </c>
      <c r="B2063" s="4" t="n">
        <v>46205</v>
      </c>
      <c r="C2063" s="5" t="n">
        <v>46205.89087962963</v>
      </c>
      <c r="D2063" t="inlineStr">
        <is>
          <t>BUY</t>
        </is>
      </c>
      <c r="E2063" t="inlineStr">
        <is>
          <t>Yes</t>
        </is>
      </c>
      <c r="F2063" s="2" t="n">
        <v>0.015</v>
      </c>
      <c r="G2063" s="6" t="n">
        <v>1000</v>
      </c>
      <c r="H2063" s="6">
        <f>F2063*G2063</f>
        <v/>
      </c>
      <c r="I2063">
        <f>_xlfn.XLOOKUP(A2063,MktTitle,MktCat,"n/a")</f>
        <v/>
      </c>
      <c r="J2063" s="3">
        <f>_xlfn.XLOOKUP(A2063,MktTitle,MktTotVol,0)</f>
        <v/>
      </c>
      <c r="K2063">
        <f>IF(H2063&gt;WhaleThreshold,"WHALE","")</f>
        <v/>
      </c>
    </row>
    <row r="2064">
      <c r="A2064" t="inlineStr">
        <is>
          <t>Will Belgium win the 2026 FIFA World Cup?</t>
        </is>
      </c>
      <c r="B2064" s="4" t="n">
        <v>46205</v>
      </c>
      <c r="C2064" s="5" t="n">
        <v>46205.88865740741</v>
      </c>
      <c r="D2064" t="inlineStr">
        <is>
          <t>BUY</t>
        </is>
      </c>
      <c r="E2064" t="inlineStr">
        <is>
          <t>No</t>
        </is>
      </c>
      <c r="F2064" s="2" t="n">
        <v>0.986</v>
      </c>
      <c r="G2064" s="6" t="n">
        <v>42.3428</v>
      </c>
      <c r="H2064" s="6">
        <f>F2064*G2064</f>
        <v/>
      </c>
      <c r="I2064">
        <f>_xlfn.XLOOKUP(A2064,MktTitle,MktCat,"n/a")</f>
        <v/>
      </c>
      <c r="J2064" s="3">
        <f>_xlfn.XLOOKUP(A2064,MktTitle,MktTotVol,0)</f>
        <v/>
      </c>
      <c r="K2064">
        <f>IF(H2064&gt;WhaleThreshold,"WHALE","")</f>
        <v/>
      </c>
    </row>
    <row r="2065">
      <c r="A2065" t="inlineStr">
        <is>
          <t>Will Belgium win the 2026 FIFA World Cup?</t>
        </is>
      </c>
      <c r="B2065" s="4" t="n">
        <v>46205</v>
      </c>
      <c r="C2065" s="5" t="n">
        <v>46205.88379629629</v>
      </c>
      <c r="D2065" t="inlineStr">
        <is>
          <t>SELL</t>
        </is>
      </c>
      <c r="E2065" t="inlineStr">
        <is>
          <t>Yes</t>
        </is>
      </c>
      <c r="F2065" s="2" t="n">
        <v>0.014</v>
      </c>
      <c r="G2065" s="6" t="n">
        <v>490</v>
      </c>
      <c r="H2065" s="6">
        <f>F2065*G2065</f>
        <v/>
      </c>
      <c r="I2065">
        <f>_xlfn.XLOOKUP(A2065,MktTitle,MktCat,"n/a")</f>
        <v/>
      </c>
      <c r="J2065" s="3">
        <f>_xlfn.XLOOKUP(A2065,MktTitle,MktTotVol,0)</f>
        <v/>
      </c>
      <c r="K2065">
        <f>IF(H2065&gt;WhaleThreshold,"WHALE","")</f>
        <v/>
      </c>
    </row>
    <row r="2066">
      <c r="A2066" t="inlineStr">
        <is>
          <t>Will Belgium win the 2026 FIFA World Cup?</t>
        </is>
      </c>
      <c r="B2066" s="4" t="n">
        <v>46205</v>
      </c>
      <c r="C2066" s="5" t="n">
        <v>46205.88047453704</v>
      </c>
      <c r="D2066" t="inlineStr">
        <is>
          <t>SELL</t>
        </is>
      </c>
      <c r="E2066" t="inlineStr">
        <is>
          <t>Yes</t>
        </is>
      </c>
      <c r="F2066" s="2" t="n">
        <v>0.014</v>
      </c>
      <c r="G2066" s="6" t="n">
        <v>666.66</v>
      </c>
      <c r="H2066" s="6">
        <f>F2066*G2066</f>
        <v/>
      </c>
      <c r="I2066">
        <f>_xlfn.XLOOKUP(A2066,MktTitle,MktCat,"n/a")</f>
        <v/>
      </c>
      <c r="J2066" s="3">
        <f>_xlfn.XLOOKUP(A2066,MktTitle,MktTotVol,0)</f>
        <v/>
      </c>
      <c r="K2066">
        <f>IF(H2066&gt;WhaleThreshold,"WHALE","")</f>
        <v/>
      </c>
    </row>
    <row r="2067">
      <c r="A2067" t="inlineStr">
        <is>
          <t>Will Belgium win the 2026 FIFA World Cup?</t>
        </is>
      </c>
      <c r="B2067" s="4" t="n">
        <v>46205</v>
      </c>
      <c r="C2067" s="5" t="n">
        <v>46205.87304398148</v>
      </c>
      <c r="D2067" t="inlineStr">
        <is>
          <t>SELL</t>
        </is>
      </c>
      <c r="E2067" t="inlineStr">
        <is>
          <t>Yes</t>
        </is>
      </c>
      <c r="F2067" s="2" t="n">
        <v>0.014</v>
      </c>
      <c r="G2067" s="6" t="n">
        <v>30989.13</v>
      </c>
      <c r="H2067" s="6">
        <f>F2067*G2067</f>
        <v/>
      </c>
      <c r="I2067">
        <f>_xlfn.XLOOKUP(A2067,MktTitle,MktCat,"n/a")</f>
        <v/>
      </c>
      <c r="J2067" s="3">
        <f>_xlfn.XLOOKUP(A2067,MktTitle,MktTotVol,0)</f>
        <v/>
      </c>
      <c r="K2067">
        <f>IF(H2067&gt;WhaleThreshold,"WHALE","")</f>
        <v/>
      </c>
    </row>
    <row r="2068">
      <c r="A2068" t="inlineStr">
        <is>
          <t>Will Belgium win the 2026 FIFA World Cup?</t>
        </is>
      </c>
      <c r="B2068" s="4" t="n">
        <v>46205</v>
      </c>
      <c r="C2068" s="5" t="n">
        <v>46205.87268518518</v>
      </c>
      <c r="D2068" t="inlineStr">
        <is>
          <t>BUY</t>
        </is>
      </c>
      <c r="E2068" t="inlineStr">
        <is>
          <t>No</t>
        </is>
      </c>
      <c r="F2068" s="2" t="n">
        <v>0.986</v>
      </c>
      <c r="G2068" s="6" t="n">
        <v>55.4158</v>
      </c>
      <c r="H2068" s="6">
        <f>F2068*G2068</f>
        <v/>
      </c>
      <c r="I2068">
        <f>_xlfn.XLOOKUP(A2068,MktTitle,MktCat,"n/a")</f>
        <v/>
      </c>
      <c r="J2068" s="3">
        <f>_xlfn.XLOOKUP(A2068,MktTitle,MktTotVol,0)</f>
        <v/>
      </c>
      <c r="K2068">
        <f>IF(H2068&gt;WhaleThreshold,"WHALE","")</f>
        <v/>
      </c>
    </row>
    <row r="2069">
      <c r="A2069" t="inlineStr">
        <is>
          <t>Will Belgium win the 2026 FIFA World Cup?</t>
        </is>
      </c>
      <c r="B2069" s="4" t="n">
        <v>46205</v>
      </c>
      <c r="C2069" s="5" t="n">
        <v>46205.86981481482</v>
      </c>
      <c r="D2069" t="inlineStr">
        <is>
          <t>BUY</t>
        </is>
      </c>
      <c r="E2069" t="inlineStr">
        <is>
          <t>Yes</t>
        </is>
      </c>
      <c r="F2069" s="2" t="n">
        <v>0.015</v>
      </c>
      <c r="G2069" s="6" t="n">
        <v>666.6667</v>
      </c>
      <c r="H2069" s="6">
        <f>F2069*G2069</f>
        <v/>
      </c>
      <c r="I2069">
        <f>_xlfn.XLOOKUP(A2069,MktTitle,MktCat,"n/a")</f>
        <v/>
      </c>
      <c r="J2069" s="3">
        <f>_xlfn.XLOOKUP(A2069,MktTitle,MktTotVol,0)</f>
        <v/>
      </c>
      <c r="K2069">
        <f>IF(H2069&gt;WhaleThreshold,"WHALE","")</f>
        <v/>
      </c>
    </row>
    <row r="2070">
      <c r="A2070" t="inlineStr">
        <is>
          <t>Will Belgium win the 2026 FIFA World Cup?</t>
        </is>
      </c>
      <c r="B2070" s="4" t="n">
        <v>46205</v>
      </c>
      <c r="C2070" s="5" t="n">
        <v>46205.86915509259</v>
      </c>
      <c r="D2070" t="inlineStr">
        <is>
          <t>BUY</t>
        </is>
      </c>
      <c r="E2070" t="inlineStr">
        <is>
          <t>Yes</t>
        </is>
      </c>
      <c r="F2070" s="2" t="n">
        <v>0.015</v>
      </c>
      <c r="G2070" s="6" t="n">
        <v>66.66670000000001</v>
      </c>
      <c r="H2070" s="6">
        <f>F2070*G2070</f>
        <v/>
      </c>
      <c r="I2070">
        <f>_xlfn.XLOOKUP(A2070,MktTitle,MktCat,"n/a")</f>
        <v/>
      </c>
      <c r="J2070" s="3">
        <f>_xlfn.XLOOKUP(A2070,MktTitle,MktTotVol,0)</f>
        <v/>
      </c>
      <c r="K2070">
        <f>IF(H2070&gt;WhaleThreshold,"WHALE","")</f>
        <v/>
      </c>
    </row>
    <row r="2071">
      <c r="A2071" t="inlineStr">
        <is>
          <t>Will Belgium win the 2026 FIFA World Cup?</t>
        </is>
      </c>
      <c r="B2071" s="4" t="n">
        <v>46205</v>
      </c>
      <c r="C2071" s="5" t="n">
        <v>46205.86910879629</v>
      </c>
      <c r="D2071" t="inlineStr">
        <is>
          <t>SELL</t>
        </is>
      </c>
      <c r="E2071" t="inlineStr">
        <is>
          <t>Yes</t>
        </is>
      </c>
      <c r="F2071" s="2" t="n">
        <v>0.014</v>
      </c>
      <c r="G2071" s="6" t="n">
        <v>4444.44</v>
      </c>
      <c r="H2071" s="6">
        <f>F2071*G2071</f>
        <v/>
      </c>
      <c r="I2071">
        <f>_xlfn.XLOOKUP(A2071,MktTitle,MktCat,"n/a")</f>
        <v/>
      </c>
      <c r="J2071" s="3">
        <f>_xlfn.XLOOKUP(A2071,MktTitle,MktTotVol,0)</f>
        <v/>
      </c>
      <c r="K2071">
        <f>IF(H2071&gt;WhaleThreshold,"WHALE","")</f>
        <v/>
      </c>
    </row>
    <row r="2072">
      <c r="A2072" t="inlineStr">
        <is>
          <t>Will Belgium win the 2026 FIFA World Cup?</t>
        </is>
      </c>
      <c r="B2072" s="4" t="n">
        <v>46205</v>
      </c>
      <c r="C2072" s="5" t="n">
        <v>46205.86817129629</v>
      </c>
      <c r="D2072" t="inlineStr">
        <is>
          <t>SELL</t>
        </is>
      </c>
      <c r="E2072" t="inlineStr">
        <is>
          <t>Yes</t>
        </is>
      </c>
      <c r="F2072" s="2" t="n">
        <v>0.014</v>
      </c>
      <c r="G2072" s="6" t="n">
        <v>5000</v>
      </c>
      <c r="H2072" s="6">
        <f>F2072*G2072</f>
        <v/>
      </c>
      <c r="I2072">
        <f>_xlfn.XLOOKUP(A2072,MktTitle,MktCat,"n/a")</f>
        <v/>
      </c>
      <c r="J2072" s="3">
        <f>_xlfn.XLOOKUP(A2072,MktTitle,MktTotVol,0)</f>
        <v/>
      </c>
      <c r="K2072">
        <f>IF(H2072&gt;WhaleThreshold,"WHALE","")</f>
        <v/>
      </c>
    </row>
    <row r="2073">
      <c r="A2073" t="inlineStr">
        <is>
          <t>Will Belgium win the 2026 FIFA World Cup?</t>
        </is>
      </c>
      <c r="B2073" s="4" t="n">
        <v>46205</v>
      </c>
      <c r="C2073" s="5" t="n">
        <v>46205.86696759259</v>
      </c>
      <c r="D2073" t="inlineStr">
        <is>
          <t>BUY</t>
        </is>
      </c>
      <c r="E2073" t="inlineStr">
        <is>
          <t>Yes</t>
        </is>
      </c>
      <c r="F2073" s="2" t="n">
        <v>0.015</v>
      </c>
      <c r="G2073" s="6" t="n">
        <v>66.66670000000001</v>
      </c>
      <c r="H2073" s="6">
        <f>F2073*G2073</f>
        <v/>
      </c>
      <c r="I2073">
        <f>_xlfn.XLOOKUP(A2073,MktTitle,MktCat,"n/a")</f>
        <v/>
      </c>
      <c r="J2073" s="3">
        <f>_xlfn.XLOOKUP(A2073,MktTitle,MktTotVol,0)</f>
        <v/>
      </c>
      <c r="K2073">
        <f>IF(H2073&gt;WhaleThreshold,"WHALE","")</f>
        <v/>
      </c>
    </row>
    <row r="2074">
      <c r="A2074" t="inlineStr">
        <is>
          <t>Will Belgium win the 2026 FIFA World Cup?</t>
        </is>
      </c>
      <c r="B2074" s="4" t="n">
        <v>46205</v>
      </c>
      <c r="C2074" s="5" t="n">
        <v>46205.8659837963</v>
      </c>
      <c r="D2074" t="inlineStr">
        <is>
          <t>SELL</t>
        </is>
      </c>
      <c r="E2074" t="inlineStr">
        <is>
          <t>Yes</t>
        </is>
      </c>
      <c r="F2074" s="2" t="n">
        <v>0.014</v>
      </c>
      <c r="G2074" s="6" t="n">
        <v>311.11</v>
      </c>
      <c r="H2074" s="6">
        <f>F2074*G2074</f>
        <v/>
      </c>
      <c r="I2074">
        <f>_xlfn.XLOOKUP(A2074,MktTitle,MktCat,"n/a")</f>
        <v/>
      </c>
      <c r="J2074" s="3">
        <f>_xlfn.XLOOKUP(A2074,MktTitle,MktTotVol,0)</f>
        <v/>
      </c>
      <c r="K2074">
        <f>IF(H2074&gt;WhaleThreshold,"WHALE","")</f>
        <v/>
      </c>
    </row>
    <row r="2075">
      <c r="A2075" t="inlineStr">
        <is>
          <t>Will Belgium win the 2026 FIFA World Cup?</t>
        </is>
      </c>
      <c r="B2075" s="4" t="n">
        <v>46205</v>
      </c>
      <c r="C2075" s="5" t="n">
        <v>46205.85554398148</v>
      </c>
      <c r="D2075" t="inlineStr">
        <is>
          <t>SELL</t>
        </is>
      </c>
      <c r="E2075" t="inlineStr">
        <is>
          <t>No</t>
        </is>
      </c>
      <c r="F2075" s="2" t="n">
        <v>0.985</v>
      </c>
      <c r="G2075" s="6" t="n">
        <v>11.46</v>
      </c>
      <c r="H2075" s="6">
        <f>F2075*G2075</f>
        <v/>
      </c>
      <c r="I2075">
        <f>_xlfn.XLOOKUP(A2075,MktTitle,MktCat,"n/a")</f>
        <v/>
      </c>
      <c r="J2075" s="3">
        <f>_xlfn.XLOOKUP(A2075,MktTitle,MktTotVol,0)</f>
        <v/>
      </c>
      <c r="K2075">
        <f>IF(H2075&gt;WhaleThreshold,"WHALE","")</f>
        <v/>
      </c>
    </row>
    <row r="2076">
      <c r="A2076" t="inlineStr">
        <is>
          <t>Will Belgium win the 2026 FIFA World Cup?</t>
        </is>
      </c>
      <c r="B2076" s="4" t="n">
        <v>46205</v>
      </c>
      <c r="C2076" s="5" t="n">
        <v>46205.85528935185</v>
      </c>
      <c r="D2076" t="inlineStr">
        <is>
          <t>BUY</t>
        </is>
      </c>
      <c r="E2076" t="inlineStr">
        <is>
          <t>No</t>
        </is>
      </c>
      <c r="F2076" s="2" t="n">
        <v>0.986</v>
      </c>
      <c r="G2076" s="6" t="n">
        <v>11.46</v>
      </c>
      <c r="H2076" s="6">
        <f>F2076*G2076</f>
        <v/>
      </c>
      <c r="I2076">
        <f>_xlfn.XLOOKUP(A2076,MktTitle,MktCat,"n/a")</f>
        <v/>
      </c>
      <c r="J2076" s="3">
        <f>_xlfn.XLOOKUP(A2076,MktTitle,MktTotVol,0)</f>
        <v/>
      </c>
      <c r="K2076">
        <f>IF(H2076&gt;WhaleThreshold,"WHALE","")</f>
        <v/>
      </c>
    </row>
    <row r="2077">
      <c r="A2077" t="inlineStr">
        <is>
          <t>Will Belgium win the 2026 FIFA World Cup?</t>
        </is>
      </c>
      <c r="B2077" s="4" t="n">
        <v>46205</v>
      </c>
      <c r="C2077" s="5" t="n">
        <v>46205.84349537037</v>
      </c>
      <c r="D2077" t="inlineStr">
        <is>
          <t>BUY</t>
        </is>
      </c>
      <c r="E2077" t="inlineStr">
        <is>
          <t>Yes</t>
        </is>
      </c>
      <c r="F2077" s="2" t="n">
        <v>0.015</v>
      </c>
      <c r="G2077" s="6" t="n">
        <v>200</v>
      </c>
      <c r="H2077" s="6">
        <f>F2077*G2077</f>
        <v/>
      </c>
      <c r="I2077">
        <f>_xlfn.XLOOKUP(A2077,MktTitle,MktCat,"n/a")</f>
        <v/>
      </c>
      <c r="J2077" s="3">
        <f>_xlfn.XLOOKUP(A2077,MktTitle,MktTotVol,0)</f>
        <v/>
      </c>
      <c r="K2077">
        <f>IF(H2077&gt;WhaleThreshold,"WHALE","")</f>
        <v/>
      </c>
    </row>
    <row r="2078">
      <c r="A2078" t="inlineStr">
        <is>
          <t>Will Belgium win the 2026 FIFA World Cup?</t>
        </is>
      </c>
      <c r="B2078" s="4" t="n">
        <v>46205</v>
      </c>
      <c r="C2078" s="5" t="n">
        <v>46205.84134259259</v>
      </c>
      <c r="D2078" t="inlineStr">
        <is>
          <t>BUY</t>
        </is>
      </c>
      <c r="E2078" t="inlineStr">
        <is>
          <t>Yes</t>
        </is>
      </c>
      <c r="F2078" s="2" t="n">
        <v>0.015</v>
      </c>
      <c r="G2078" s="6" t="n">
        <v>66.66670000000001</v>
      </c>
      <c r="H2078" s="6">
        <f>F2078*G2078</f>
        <v/>
      </c>
      <c r="I2078">
        <f>_xlfn.XLOOKUP(A2078,MktTitle,MktCat,"n/a")</f>
        <v/>
      </c>
      <c r="J2078" s="3">
        <f>_xlfn.XLOOKUP(A2078,MktTitle,MktTotVol,0)</f>
        <v/>
      </c>
      <c r="K2078">
        <f>IF(H2078&gt;WhaleThreshold,"WHALE","")</f>
        <v/>
      </c>
    </row>
    <row r="2079">
      <c r="A2079" t="inlineStr">
        <is>
          <t>Will Belgium win the 2026 FIFA World Cup?</t>
        </is>
      </c>
      <c r="B2079" s="4" t="n">
        <v>46205</v>
      </c>
      <c r="C2079" s="5" t="n">
        <v>46205.83810185185</v>
      </c>
      <c r="D2079" t="inlineStr">
        <is>
          <t>SELL</t>
        </is>
      </c>
      <c r="E2079" t="inlineStr">
        <is>
          <t>Yes</t>
        </is>
      </c>
      <c r="F2079" s="2" t="n">
        <v>0.014</v>
      </c>
      <c r="G2079" s="6" t="n">
        <v>62.5</v>
      </c>
      <c r="H2079" s="6">
        <f>F2079*G2079</f>
        <v/>
      </c>
      <c r="I2079">
        <f>_xlfn.XLOOKUP(A2079,MktTitle,MktCat,"n/a")</f>
        <v/>
      </c>
      <c r="J2079" s="3">
        <f>_xlfn.XLOOKUP(A2079,MktTitle,MktTotVol,0)</f>
        <v/>
      </c>
      <c r="K2079">
        <f>IF(H2079&gt;WhaleThreshold,"WHALE","")</f>
        <v/>
      </c>
    </row>
    <row r="2080">
      <c r="A2080" t="inlineStr">
        <is>
          <t>Will Belgium win the 2026 FIFA World Cup?</t>
        </is>
      </c>
      <c r="B2080" s="4" t="n">
        <v>46205</v>
      </c>
      <c r="C2080" s="5" t="n">
        <v>46205.83383101852</v>
      </c>
      <c r="D2080" t="inlineStr">
        <is>
          <t>SELL</t>
        </is>
      </c>
      <c r="E2080" t="inlineStr">
        <is>
          <t>Yes</t>
        </is>
      </c>
      <c r="F2080" s="2" t="n">
        <v>0.014</v>
      </c>
      <c r="G2080" s="6" t="n">
        <v>506.05</v>
      </c>
      <c r="H2080" s="6">
        <f>F2080*G2080</f>
        <v/>
      </c>
      <c r="I2080">
        <f>_xlfn.XLOOKUP(A2080,MktTitle,MktCat,"n/a")</f>
        <v/>
      </c>
      <c r="J2080" s="3">
        <f>_xlfn.XLOOKUP(A2080,MktTitle,MktTotVol,0)</f>
        <v/>
      </c>
      <c r="K2080">
        <f>IF(H2080&gt;WhaleThreshold,"WHALE","")</f>
        <v/>
      </c>
    </row>
    <row r="2081">
      <c r="A2081" t="inlineStr">
        <is>
          <t>Will Belgium win the 2026 FIFA World Cup?</t>
        </is>
      </c>
      <c r="B2081" s="4" t="n">
        <v>46205</v>
      </c>
      <c r="C2081" s="5" t="n">
        <v>46205.83353009259</v>
      </c>
      <c r="D2081" t="inlineStr">
        <is>
          <t>BUY</t>
        </is>
      </c>
      <c r="E2081" t="inlineStr">
        <is>
          <t>Yes</t>
        </is>
      </c>
      <c r="F2081" s="2" t="n">
        <v>0.015</v>
      </c>
      <c r="G2081" s="6" t="n">
        <v>66.66670000000001</v>
      </c>
      <c r="H2081" s="6">
        <f>F2081*G2081</f>
        <v/>
      </c>
      <c r="I2081">
        <f>_xlfn.XLOOKUP(A2081,MktTitle,MktCat,"n/a")</f>
        <v/>
      </c>
      <c r="J2081" s="3">
        <f>_xlfn.XLOOKUP(A2081,MktTitle,MktTotVol,0)</f>
        <v/>
      </c>
      <c r="K2081">
        <f>IF(H2081&gt;WhaleThreshold,"WHALE","")</f>
        <v/>
      </c>
    </row>
    <row r="2082">
      <c r="A2082" t="inlineStr">
        <is>
          <t>Will Belgium win the 2026 FIFA World Cup?</t>
        </is>
      </c>
      <c r="B2082" s="4" t="n">
        <v>46205</v>
      </c>
      <c r="C2082" s="5" t="n">
        <v>46205.83346064815</v>
      </c>
      <c r="D2082" t="inlineStr">
        <is>
          <t>SELL</t>
        </is>
      </c>
      <c r="E2082" t="inlineStr">
        <is>
          <t>Yes</t>
        </is>
      </c>
      <c r="F2082" s="2" t="n">
        <v>0.014</v>
      </c>
      <c r="G2082" s="6" t="n">
        <v>50000</v>
      </c>
      <c r="H2082" s="6">
        <f>F2082*G2082</f>
        <v/>
      </c>
      <c r="I2082">
        <f>_xlfn.XLOOKUP(A2082,MktTitle,MktCat,"n/a")</f>
        <v/>
      </c>
      <c r="J2082" s="3">
        <f>_xlfn.XLOOKUP(A2082,MktTitle,MktTotVol,0)</f>
        <v/>
      </c>
      <c r="K2082">
        <f>IF(H2082&gt;WhaleThreshold,"WHALE","")</f>
        <v/>
      </c>
    </row>
    <row r="2083">
      <c r="A2083" t="inlineStr">
        <is>
          <t>Will Belgium win the 2026 FIFA World Cup?</t>
        </is>
      </c>
      <c r="B2083" s="4" t="n">
        <v>46205</v>
      </c>
      <c r="C2083" s="5" t="n">
        <v>46205.8316550926</v>
      </c>
      <c r="D2083" t="inlineStr">
        <is>
          <t>SELL</t>
        </is>
      </c>
      <c r="E2083" t="inlineStr">
        <is>
          <t>Yes</t>
        </is>
      </c>
      <c r="F2083" s="2" t="n">
        <v>0.014</v>
      </c>
      <c r="G2083" s="6" t="n">
        <v>3193.67</v>
      </c>
      <c r="H2083" s="6">
        <f>F2083*G2083</f>
        <v/>
      </c>
      <c r="I2083">
        <f>_xlfn.XLOOKUP(A2083,MktTitle,MktCat,"n/a")</f>
        <v/>
      </c>
      <c r="J2083" s="3">
        <f>_xlfn.XLOOKUP(A2083,MktTitle,MktTotVol,0)</f>
        <v/>
      </c>
      <c r="K2083">
        <f>IF(H2083&gt;WhaleThreshold,"WHALE","")</f>
        <v/>
      </c>
    </row>
    <row r="2084">
      <c r="A2084" t="inlineStr">
        <is>
          <t>Will Belgium win the 2026 FIFA World Cup?</t>
        </is>
      </c>
      <c r="B2084" s="4" t="n">
        <v>46205</v>
      </c>
      <c r="C2084" s="5" t="n">
        <v>46205.83064814815</v>
      </c>
      <c r="D2084" t="inlineStr">
        <is>
          <t>BUY</t>
        </is>
      </c>
      <c r="E2084" t="inlineStr">
        <is>
          <t>Yes</t>
        </is>
      </c>
      <c r="F2084" s="2" t="n">
        <v>0.015</v>
      </c>
      <c r="G2084" s="6" t="n">
        <v>833.3200000000001</v>
      </c>
      <c r="H2084" s="6">
        <f>F2084*G2084</f>
        <v/>
      </c>
      <c r="I2084">
        <f>_xlfn.XLOOKUP(A2084,MktTitle,MktCat,"n/a")</f>
        <v/>
      </c>
      <c r="J2084" s="3">
        <f>_xlfn.XLOOKUP(A2084,MktTitle,MktTotVol,0)</f>
        <v/>
      </c>
      <c r="K2084">
        <f>IF(H2084&gt;WhaleThreshold,"WHALE","")</f>
        <v/>
      </c>
    </row>
    <row r="2085">
      <c r="A2085" t="inlineStr">
        <is>
          <t>Will Belgium win the 2026 FIFA World Cup?</t>
        </is>
      </c>
      <c r="B2085" s="4" t="n">
        <v>46205</v>
      </c>
      <c r="C2085" s="5" t="n">
        <v>46205.83043981482</v>
      </c>
      <c r="D2085" t="inlineStr">
        <is>
          <t>BUY</t>
        </is>
      </c>
      <c r="E2085" t="inlineStr">
        <is>
          <t>Yes</t>
        </is>
      </c>
      <c r="F2085" s="2" t="n">
        <v>0.015</v>
      </c>
      <c r="G2085" s="6" t="n">
        <v>666.6667</v>
      </c>
      <c r="H2085" s="6">
        <f>F2085*G2085</f>
        <v/>
      </c>
      <c r="I2085">
        <f>_xlfn.XLOOKUP(A2085,MktTitle,MktCat,"n/a")</f>
        <v/>
      </c>
      <c r="J2085" s="3">
        <f>_xlfn.XLOOKUP(A2085,MktTitle,MktTotVol,0)</f>
        <v/>
      </c>
      <c r="K2085">
        <f>IF(H2085&gt;WhaleThreshold,"WHALE","")</f>
        <v/>
      </c>
    </row>
    <row r="2086">
      <c r="A2086" t="inlineStr">
        <is>
          <t>Will Belgium win the 2026 FIFA World Cup?</t>
        </is>
      </c>
      <c r="B2086" s="4" t="n">
        <v>46205</v>
      </c>
      <c r="C2086" s="5" t="n">
        <v>46205.83042824074</v>
      </c>
      <c r="D2086" t="inlineStr">
        <is>
          <t>SELL</t>
        </is>
      </c>
      <c r="E2086" t="inlineStr">
        <is>
          <t>Yes</t>
        </is>
      </c>
      <c r="F2086" s="2" t="n">
        <v>0.014</v>
      </c>
      <c r="G2086" s="6" t="n">
        <v>111121.33</v>
      </c>
      <c r="H2086" s="6">
        <f>F2086*G2086</f>
        <v/>
      </c>
      <c r="I2086">
        <f>_xlfn.XLOOKUP(A2086,MktTitle,MktCat,"n/a")</f>
        <v/>
      </c>
      <c r="J2086" s="3">
        <f>_xlfn.XLOOKUP(A2086,MktTitle,MktTotVol,0)</f>
        <v/>
      </c>
      <c r="K2086">
        <f>IF(H2086&gt;WhaleThreshold,"WHALE","")</f>
        <v/>
      </c>
    </row>
    <row r="2087">
      <c r="A2087" t="inlineStr">
        <is>
          <t>Will Belgium win the 2026 FIFA World Cup?</t>
        </is>
      </c>
      <c r="B2087" s="4" t="n">
        <v>46205</v>
      </c>
      <c r="C2087" s="5" t="n">
        <v>46205.82998842592</v>
      </c>
      <c r="D2087" t="inlineStr">
        <is>
          <t>SELL</t>
        </is>
      </c>
      <c r="E2087" t="inlineStr">
        <is>
          <t>Yes</t>
        </is>
      </c>
      <c r="F2087" s="2" t="n">
        <v>0.015</v>
      </c>
      <c r="G2087" s="6" t="n">
        <v>70959.17</v>
      </c>
      <c r="H2087" s="6">
        <f>F2087*G2087</f>
        <v/>
      </c>
      <c r="I2087">
        <f>_xlfn.XLOOKUP(A2087,MktTitle,MktCat,"n/a")</f>
        <v/>
      </c>
      <c r="J2087" s="3">
        <f>_xlfn.XLOOKUP(A2087,MktTitle,MktTotVol,0)</f>
        <v/>
      </c>
      <c r="K2087">
        <f>IF(H2087&gt;WhaleThreshold,"WHALE","")</f>
        <v/>
      </c>
    </row>
    <row r="2088">
      <c r="A2088" t="inlineStr">
        <is>
          <t>Will Belgium win the 2026 FIFA World Cup?</t>
        </is>
      </c>
      <c r="B2088" s="4" t="n">
        <v>46205</v>
      </c>
      <c r="C2088" s="5" t="n">
        <v>46205.82842592592</v>
      </c>
      <c r="D2088" t="inlineStr">
        <is>
          <t>SELL</t>
        </is>
      </c>
      <c r="E2088" t="inlineStr">
        <is>
          <t>Yes</t>
        </is>
      </c>
      <c r="F2088" s="2" t="n">
        <v>0.015</v>
      </c>
      <c r="G2088" s="6" t="n">
        <v>4761.9</v>
      </c>
      <c r="H2088" s="6">
        <f>F2088*G2088</f>
        <v/>
      </c>
      <c r="I2088">
        <f>_xlfn.XLOOKUP(A2088,MktTitle,MktCat,"n/a")</f>
        <v/>
      </c>
      <c r="J2088" s="3">
        <f>_xlfn.XLOOKUP(A2088,MktTitle,MktTotVol,0)</f>
        <v/>
      </c>
      <c r="K2088">
        <f>IF(H2088&gt;WhaleThreshold,"WHALE","")</f>
        <v/>
      </c>
    </row>
    <row r="2089">
      <c r="A2089" t="inlineStr">
        <is>
          <t>Will Belgium win the 2026 FIFA World Cup?</t>
        </is>
      </c>
      <c r="B2089" s="4" t="n">
        <v>46205</v>
      </c>
      <c r="C2089" s="5" t="n">
        <v>46205.82796296296</v>
      </c>
      <c r="D2089" t="inlineStr">
        <is>
          <t>SELL</t>
        </is>
      </c>
      <c r="E2089" t="inlineStr">
        <is>
          <t>Yes</t>
        </is>
      </c>
      <c r="F2089" s="2" t="n">
        <v>0.015</v>
      </c>
      <c r="G2089" s="6" t="n">
        <v>233333.35</v>
      </c>
      <c r="H2089" s="6">
        <f>F2089*G2089</f>
        <v/>
      </c>
      <c r="I2089">
        <f>_xlfn.XLOOKUP(A2089,MktTitle,MktCat,"n/a")</f>
        <v/>
      </c>
      <c r="J2089" s="3">
        <f>_xlfn.XLOOKUP(A2089,MktTitle,MktTotVol,0)</f>
        <v/>
      </c>
      <c r="K2089">
        <f>IF(H2089&gt;WhaleThreshold,"WHALE","")</f>
        <v/>
      </c>
    </row>
    <row r="2090">
      <c r="A2090" t="inlineStr">
        <is>
          <t>Will Belgium win the 2026 FIFA World Cup?</t>
        </is>
      </c>
      <c r="B2090" s="4" t="n">
        <v>46205</v>
      </c>
      <c r="C2090" s="5" t="n">
        <v>46205.82782407408</v>
      </c>
      <c r="D2090" t="inlineStr">
        <is>
          <t>SELL</t>
        </is>
      </c>
      <c r="E2090" t="inlineStr">
        <is>
          <t>No</t>
        </is>
      </c>
      <c r="F2090" s="2" t="n">
        <v>0.984</v>
      </c>
      <c r="G2090" s="6" t="n">
        <v>41.44</v>
      </c>
      <c r="H2090" s="6">
        <f>F2090*G2090</f>
        <v/>
      </c>
      <c r="I2090">
        <f>_xlfn.XLOOKUP(A2090,MktTitle,MktCat,"n/a")</f>
        <v/>
      </c>
      <c r="J2090" s="3">
        <f>_xlfn.XLOOKUP(A2090,MktTitle,MktTotVol,0)</f>
        <v/>
      </c>
      <c r="K2090">
        <f>IF(H2090&gt;WhaleThreshold,"WHALE","")</f>
        <v/>
      </c>
    </row>
    <row r="2091">
      <c r="A2091" t="inlineStr">
        <is>
          <t>Will Belgium win the 2026 FIFA World Cup?</t>
        </is>
      </c>
      <c r="B2091" s="4" t="n">
        <v>46205</v>
      </c>
      <c r="C2091" s="5" t="n">
        <v>46205.8250462963</v>
      </c>
      <c r="D2091" t="inlineStr">
        <is>
          <t>SELL</t>
        </is>
      </c>
      <c r="E2091" t="inlineStr">
        <is>
          <t>No</t>
        </is>
      </c>
      <c r="F2091" s="2" t="n">
        <v>0.984</v>
      </c>
      <c r="G2091" s="6" t="n">
        <v>62.05</v>
      </c>
      <c r="H2091" s="6">
        <f>F2091*G2091</f>
        <v/>
      </c>
      <c r="I2091">
        <f>_xlfn.XLOOKUP(A2091,MktTitle,MktCat,"n/a")</f>
        <v/>
      </c>
      <c r="J2091" s="3">
        <f>_xlfn.XLOOKUP(A2091,MktTitle,MktTotVol,0)</f>
        <v/>
      </c>
      <c r="K2091">
        <f>IF(H2091&gt;WhaleThreshold,"WHALE","")</f>
        <v/>
      </c>
    </row>
    <row r="2092">
      <c r="A2092" t="inlineStr">
        <is>
          <t>Will Belgium win the 2026 FIFA World Cup?</t>
        </is>
      </c>
      <c r="B2092" s="4" t="n">
        <v>46205</v>
      </c>
      <c r="C2092" s="5" t="n">
        <v>46205.82127314815</v>
      </c>
      <c r="D2092" t="inlineStr">
        <is>
          <t>SELL</t>
        </is>
      </c>
      <c r="E2092" t="inlineStr">
        <is>
          <t>No</t>
        </is>
      </c>
      <c r="F2092" s="2" t="n">
        <v>0.984</v>
      </c>
      <c r="G2092" s="6" t="n">
        <v>68.17</v>
      </c>
      <c r="H2092" s="6">
        <f>F2092*G2092</f>
        <v/>
      </c>
      <c r="I2092">
        <f>_xlfn.XLOOKUP(A2092,MktTitle,MktCat,"n/a")</f>
        <v/>
      </c>
      <c r="J2092" s="3">
        <f>_xlfn.XLOOKUP(A2092,MktTitle,MktTotVol,0)</f>
        <v/>
      </c>
      <c r="K2092">
        <f>IF(H2092&gt;WhaleThreshold,"WHALE","")</f>
        <v/>
      </c>
    </row>
    <row r="2093">
      <c r="A2093" t="inlineStr">
        <is>
          <t>Will Belgium win the 2026 FIFA World Cup?</t>
        </is>
      </c>
      <c r="B2093" s="4" t="n">
        <v>46205</v>
      </c>
      <c r="C2093" s="5" t="n">
        <v>46205.81967592592</v>
      </c>
      <c r="D2093" t="inlineStr">
        <is>
          <t>SELL</t>
        </is>
      </c>
      <c r="E2093" t="inlineStr">
        <is>
          <t>Yes</t>
        </is>
      </c>
      <c r="F2093" s="2" t="n">
        <v>0.015</v>
      </c>
      <c r="G2093" s="6" t="n">
        <v>1428.57</v>
      </c>
      <c r="H2093" s="6">
        <f>F2093*G2093</f>
        <v/>
      </c>
      <c r="I2093">
        <f>_xlfn.XLOOKUP(A2093,MktTitle,MktCat,"n/a")</f>
        <v/>
      </c>
      <c r="J2093" s="3">
        <f>_xlfn.XLOOKUP(A2093,MktTitle,MktTotVol,0)</f>
        <v/>
      </c>
      <c r="K2093">
        <f>IF(H2093&gt;WhaleThreshold,"WHALE","")</f>
        <v/>
      </c>
    </row>
    <row r="2094">
      <c r="A2094" t="inlineStr">
        <is>
          <t>Will Belgium win the 2026 FIFA World Cup?</t>
        </is>
      </c>
      <c r="B2094" s="4" t="n">
        <v>46205</v>
      </c>
      <c r="C2094" s="5" t="n">
        <v>46205.81807870371</v>
      </c>
      <c r="D2094" t="inlineStr">
        <is>
          <t>BUY</t>
        </is>
      </c>
      <c r="E2094" t="inlineStr">
        <is>
          <t>Yes</t>
        </is>
      </c>
      <c r="F2094" s="2" t="n">
        <v>0.016</v>
      </c>
      <c r="G2094" s="6" t="n">
        <v>125</v>
      </c>
      <c r="H2094" s="6">
        <f>F2094*G2094</f>
        <v/>
      </c>
      <c r="I2094">
        <f>_xlfn.XLOOKUP(A2094,MktTitle,MktCat,"n/a")</f>
        <v/>
      </c>
      <c r="J2094" s="3">
        <f>_xlfn.XLOOKUP(A2094,MktTitle,MktTotVol,0)</f>
        <v/>
      </c>
      <c r="K2094">
        <f>IF(H2094&gt;WhaleThreshold,"WHALE","")</f>
        <v/>
      </c>
    </row>
    <row r="2095">
      <c r="A2095" t="inlineStr">
        <is>
          <t>Will Belgium win the 2026 FIFA World Cup?</t>
        </is>
      </c>
      <c r="B2095" s="4" t="n">
        <v>46205</v>
      </c>
      <c r="C2095" s="5" t="n">
        <v>46205.8152662037</v>
      </c>
      <c r="D2095" t="inlineStr">
        <is>
          <t>SELL</t>
        </is>
      </c>
      <c r="E2095" t="inlineStr">
        <is>
          <t>Yes</t>
        </is>
      </c>
      <c r="F2095" s="2" t="n">
        <v>0.015</v>
      </c>
      <c r="G2095" s="6" t="n">
        <v>63</v>
      </c>
      <c r="H2095" s="6">
        <f>F2095*G2095</f>
        <v/>
      </c>
      <c r="I2095">
        <f>_xlfn.XLOOKUP(A2095,MktTitle,MktCat,"n/a")</f>
        <v/>
      </c>
      <c r="J2095" s="3">
        <f>_xlfn.XLOOKUP(A2095,MktTitle,MktTotVol,0)</f>
        <v/>
      </c>
      <c r="K2095">
        <f>IF(H2095&gt;WhaleThreshold,"WHALE","")</f>
        <v/>
      </c>
    </row>
    <row r="2096">
      <c r="A2096" t="inlineStr">
        <is>
          <t>Will Belgium win the 2026 FIFA World Cup?</t>
        </is>
      </c>
      <c r="B2096" s="4" t="n">
        <v>46205</v>
      </c>
      <c r="C2096" s="5" t="n">
        <v>46205.81480324074</v>
      </c>
      <c r="D2096" t="inlineStr">
        <is>
          <t>BUY</t>
        </is>
      </c>
      <c r="E2096" t="inlineStr">
        <is>
          <t>Yes</t>
        </is>
      </c>
      <c r="F2096" s="2" t="n">
        <v>0.016</v>
      </c>
      <c r="G2096" s="6" t="n">
        <v>63</v>
      </c>
      <c r="H2096" s="6">
        <f>F2096*G2096</f>
        <v/>
      </c>
      <c r="I2096">
        <f>_xlfn.XLOOKUP(A2096,MktTitle,MktCat,"n/a")</f>
        <v/>
      </c>
      <c r="J2096" s="3">
        <f>_xlfn.XLOOKUP(A2096,MktTitle,MktTotVol,0)</f>
        <v/>
      </c>
      <c r="K2096">
        <f>IF(H2096&gt;WhaleThreshold,"WHALE","")</f>
        <v/>
      </c>
    </row>
    <row r="2097">
      <c r="A2097" t="inlineStr">
        <is>
          <t>Will Belgium win the 2026 FIFA World Cup?</t>
        </is>
      </c>
      <c r="B2097" s="4" t="n">
        <v>46205</v>
      </c>
      <c r="C2097" s="5" t="n">
        <v>46205.8146412037</v>
      </c>
      <c r="D2097" t="inlineStr">
        <is>
          <t>BUY</t>
        </is>
      </c>
      <c r="E2097" t="inlineStr">
        <is>
          <t>Yes</t>
        </is>
      </c>
      <c r="F2097" s="2" t="n">
        <v>0.016</v>
      </c>
      <c r="G2097" s="6" t="n">
        <v>6193.4</v>
      </c>
      <c r="H2097" s="6">
        <f>F2097*G2097</f>
        <v/>
      </c>
      <c r="I2097">
        <f>_xlfn.XLOOKUP(A2097,MktTitle,MktCat,"n/a")</f>
        <v/>
      </c>
      <c r="J2097" s="3">
        <f>_xlfn.XLOOKUP(A2097,MktTitle,MktTotVol,0)</f>
        <v/>
      </c>
      <c r="K2097">
        <f>IF(H2097&gt;WhaleThreshold,"WHALE","")</f>
        <v/>
      </c>
    </row>
    <row r="2098">
      <c r="A2098" t="inlineStr">
        <is>
          <t>Will Belgium win the 2026 FIFA World Cup?</t>
        </is>
      </c>
      <c r="B2098" s="4" t="n">
        <v>46205</v>
      </c>
      <c r="C2098" s="5" t="n">
        <v>46205.81337962963</v>
      </c>
      <c r="D2098" t="inlineStr">
        <is>
          <t>BUY</t>
        </is>
      </c>
      <c r="E2098" t="inlineStr">
        <is>
          <t>Yes</t>
        </is>
      </c>
      <c r="F2098" s="2" t="n">
        <v>0.016</v>
      </c>
      <c r="G2098" s="6" t="n">
        <v>62.5</v>
      </c>
      <c r="H2098" s="6">
        <f>F2098*G2098</f>
        <v/>
      </c>
      <c r="I2098">
        <f>_xlfn.XLOOKUP(A2098,MktTitle,MktCat,"n/a")</f>
        <v/>
      </c>
      <c r="J2098" s="3">
        <f>_xlfn.XLOOKUP(A2098,MktTitle,MktTotVol,0)</f>
        <v/>
      </c>
      <c r="K2098">
        <f>IF(H2098&gt;WhaleThreshold,"WHALE","")</f>
        <v/>
      </c>
    </row>
    <row r="2099">
      <c r="A2099" t="inlineStr">
        <is>
          <t>Will Belgium win the 2026 FIFA World Cup?</t>
        </is>
      </c>
      <c r="B2099" s="4" t="n">
        <v>46205</v>
      </c>
      <c r="C2099" s="5" t="n">
        <v>46205.81224537037</v>
      </c>
      <c r="D2099" t="inlineStr">
        <is>
          <t>BUY</t>
        </is>
      </c>
      <c r="E2099" t="inlineStr">
        <is>
          <t>Yes</t>
        </is>
      </c>
      <c r="F2099" s="2" t="n">
        <v>0.016</v>
      </c>
      <c r="G2099" s="6" t="n">
        <v>187.5</v>
      </c>
      <c r="H2099" s="6">
        <f>F2099*G2099</f>
        <v/>
      </c>
      <c r="I2099">
        <f>_xlfn.XLOOKUP(A2099,MktTitle,MktCat,"n/a")</f>
        <v/>
      </c>
      <c r="J2099" s="3">
        <f>_xlfn.XLOOKUP(A2099,MktTitle,MktTotVol,0)</f>
        <v/>
      </c>
      <c r="K2099">
        <f>IF(H2099&gt;WhaleThreshold,"WHALE","")</f>
        <v/>
      </c>
    </row>
    <row r="2100">
      <c r="A2100" t="inlineStr">
        <is>
          <t>Will Belgium win the 2026 FIFA World Cup?</t>
        </is>
      </c>
      <c r="B2100" s="4" t="n">
        <v>46205</v>
      </c>
      <c r="C2100" s="5" t="n">
        <v>46205.79771990741</v>
      </c>
      <c r="D2100" t="inlineStr">
        <is>
          <t>SELL</t>
        </is>
      </c>
      <c r="E2100" t="inlineStr">
        <is>
          <t>Yes</t>
        </is>
      </c>
      <c r="F2100" s="2" t="n">
        <v>0.015</v>
      </c>
      <c r="G2100" s="6" t="n">
        <v>71.42</v>
      </c>
      <c r="H2100" s="6">
        <f>F2100*G2100</f>
        <v/>
      </c>
      <c r="I2100">
        <f>_xlfn.XLOOKUP(A2100,MktTitle,MktCat,"n/a")</f>
        <v/>
      </c>
      <c r="J2100" s="3">
        <f>_xlfn.XLOOKUP(A2100,MktTitle,MktTotVol,0)</f>
        <v/>
      </c>
      <c r="K2100">
        <f>IF(H2100&gt;WhaleThreshold,"WHALE","")</f>
        <v/>
      </c>
    </row>
    <row r="2101">
      <c r="A2101" t="inlineStr">
        <is>
          <t>Will Belgium win the 2026 FIFA World Cup?</t>
        </is>
      </c>
      <c r="B2101" s="4" t="n">
        <v>46205</v>
      </c>
      <c r="C2101" s="5" t="n">
        <v>46205.79012731482</v>
      </c>
      <c r="D2101" t="inlineStr">
        <is>
          <t>BUY</t>
        </is>
      </c>
      <c r="E2101" t="inlineStr">
        <is>
          <t>Yes</t>
        </is>
      </c>
      <c r="F2101" s="2" t="n">
        <v>0.016</v>
      </c>
      <c r="G2101" s="6" t="n">
        <v>12.57</v>
      </c>
      <c r="H2101" s="6">
        <f>F2101*G2101</f>
        <v/>
      </c>
      <c r="I2101">
        <f>_xlfn.XLOOKUP(A2101,MktTitle,MktCat,"n/a")</f>
        <v/>
      </c>
      <c r="J2101" s="3">
        <f>_xlfn.XLOOKUP(A2101,MktTitle,MktTotVol,0)</f>
        <v/>
      </c>
      <c r="K2101">
        <f>IF(H2101&gt;WhaleThreshold,"WHALE","")</f>
        <v/>
      </c>
    </row>
    <row r="2102">
      <c r="A2102" t="inlineStr">
        <is>
          <t>Will Cape Verde win the 2026 FIFA World Cup?</t>
        </is>
      </c>
      <c r="B2102" s="4" t="n">
        <v>46206</v>
      </c>
      <c r="C2102" s="5" t="n">
        <v>46206.08744212963</v>
      </c>
      <c r="D2102" t="inlineStr">
        <is>
          <t>BUY</t>
        </is>
      </c>
      <c r="E2102" t="inlineStr">
        <is>
          <t>Yes</t>
        </is>
      </c>
      <c r="F2102" s="2" t="n">
        <v>0.001</v>
      </c>
      <c r="G2102" s="6" t="n">
        <v>1000</v>
      </c>
      <c r="H2102" s="6">
        <f>F2102*G2102</f>
        <v/>
      </c>
      <c r="I2102">
        <f>_xlfn.XLOOKUP(A2102,MktTitle,MktCat,"n/a")</f>
        <v/>
      </c>
      <c r="J2102" s="3">
        <f>_xlfn.XLOOKUP(A2102,MktTitle,MktTotVol,0)</f>
        <v/>
      </c>
      <c r="K2102">
        <f>IF(H2102&gt;WhaleThreshold,"WHALE","")</f>
        <v/>
      </c>
    </row>
    <row r="2103">
      <c r="A2103" t="inlineStr">
        <is>
          <t>Will Cape Verde win the 2026 FIFA World Cup?</t>
        </is>
      </c>
      <c r="B2103" s="4" t="n">
        <v>46206</v>
      </c>
      <c r="C2103" s="5" t="n">
        <v>46206.08641203704</v>
      </c>
      <c r="D2103" t="inlineStr">
        <is>
          <t>BUY</t>
        </is>
      </c>
      <c r="E2103" t="inlineStr">
        <is>
          <t>Yes</t>
        </is>
      </c>
      <c r="F2103" s="2" t="n">
        <v>0.001</v>
      </c>
      <c r="G2103" s="6" t="n">
        <v>1000</v>
      </c>
      <c r="H2103" s="6">
        <f>F2103*G2103</f>
        <v/>
      </c>
      <c r="I2103">
        <f>_xlfn.XLOOKUP(A2103,MktTitle,MktCat,"n/a")</f>
        <v/>
      </c>
      <c r="J2103" s="3">
        <f>_xlfn.XLOOKUP(A2103,MktTitle,MktTotVol,0)</f>
        <v/>
      </c>
      <c r="K2103">
        <f>IF(H2103&gt;WhaleThreshold,"WHALE","")</f>
        <v/>
      </c>
    </row>
    <row r="2104">
      <c r="A2104" t="inlineStr">
        <is>
          <t>Will Cape Verde win the 2026 FIFA World Cup?</t>
        </is>
      </c>
      <c r="B2104" s="4" t="n">
        <v>46206</v>
      </c>
      <c r="C2104" s="5" t="n">
        <v>46206.08599537037</v>
      </c>
      <c r="D2104" t="inlineStr">
        <is>
          <t>BUY</t>
        </is>
      </c>
      <c r="E2104" t="inlineStr">
        <is>
          <t>Yes</t>
        </is>
      </c>
      <c r="F2104" s="2" t="n">
        <v>0.001</v>
      </c>
      <c r="G2104" s="6" t="n">
        <v>15000</v>
      </c>
      <c r="H2104" s="6">
        <f>F2104*G2104</f>
        <v/>
      </c>
      <c r="I2104">
        <f>_xlfn.XLOOKUP(A2104,MktTitle,MktCat,"n/a")</f>
        <v/>
      </c>
      <c r="J2104" s="3">
        <f>_xlfn.XLOOKUP(A2104,MktTitle,MktTotVol,0)</f>
        <v/>
      </c>
      <c r="K2104">
        <f>IF(H2104&gt;WhaleThreshold,"WHALE","")</f>
        <v/>
      </c>
    </row>
    <row r="2105">
      <c r="A2105" t="inlineStr">
        <is>
          <t>Will Cape Verde win the 2026 FIFA World Cup?</t>
        </is>
      </c>
      <c r="B2105" s="4" t="n">
        <v>46206</v>
      </c>
      <c r="C2105" s="5" t="n">
        <v>46206.08490740741</v>
      </c>
      <c r="D2105" t="inlineStr">
        <is>
          <t>BUY</t>
        </is>
      </c>
      <c r="E2105" t="inlineStr">
        <is>
          <t>Yes</t>
        </is>
      </c>
      <c r="F2105" s="2" t="n">
        <v>0.001</v>
      </c>
      <c r="G2105" s="6" t="n">
        <v>1450</v>
      </c>
      <c r="H2105" s="6">
        <f>F2105*G2105</f>
        <v/>
      </c>
      <c r="I2105">
        <f>_xlfn.XLOOKUP(A2105,MktTitle,MktCat,"n/a")</f>
        <v/>
      </c>
      <c r="J2105" s="3">
        <f>_xlfn.XLOOKUP(A2105,MktTitle,MktTotVol,0)</f>
        <v/>
      </c>
      <c r="K2105">
        <f>IF(H2105&gt;WhaleThreshold,"WHALE","")</f>
        <v/>
      </c>
    </row>
    <row r="2106">
      <c r="A2106" t="inlineStr">
        <is>
          <t>Will Cape Verde win the 2026 FIFA World Cup?</t>
        </is>
      </c>
      <c r="B2106" s="4" t="n">
        <v>46206</v>
      </c>
      <c r="C2106" s="5" t="n">
        <v>46206.08380787037</v>
      </c>
      <c r="D2106" t="inlineStr">
        <is>
          <t>BUY</t>
        </is>
      </c>
      <c r="E2106" t="inlineStr">
        <is>
          <t>Yes</t>
        </is>
      </c>
      <c r="F2106" s="2" t="n">
        <v>0.001</v>
      </c>
      <c r="G2106" s="6" t="n">
        <v>1000</v>
      </c>
      <c r="H2106" s="6">
        <f>F2106*G2106</f>
        <v/>
      </c>
      <c r="I2106">
        <f>_xlfn.XLOOKUP(A2106,MktTitle,MktCat,"n/a")</f>
        <v/>
      </c>
      <c r="J2106" s="3">
        <f>_xlfn.XLOOKUP(A2106,MktTitle,MktTotVol,0)</f>
        <v/>
      </c>
      <c r="K2106">
        <f>IF(H2106&gt;WhaleThreshold,"WHALE","")</f>
        <v/>
      </c>
    </row>
    <row r="2107">
      <c r="A2107" t="inlineStr">
        <is>
          <t>Will Cape Verde win the 2026 FIFA World Cup?</t>
        </is>
      </c>
      <c r="B2107" s="4" t="n">
        <v>46206</v>
      </c>
      <c r="C2107" s="5" t="n">
        <v>46206.0819212963</v>
      </c>
      <c r="D2107" t="inlineStr">
        <is>
          <t>BUY</t>
        </is>
      </c>
      <c r="E2107" t="inlineStr">
        <is>
          <t>Yes</t>
        </is>
      </c>
      <c r="F2107" s="2" t="n">
        <v>0.001</v>
      </c>
      <c r="G2107" s="6" t="n">
        <v>1000</v>
      </c>
      <c r="H2107" s="6">
        <f>F2107*G2107</f>
        <v/>
      </c>
      <c r="I2107">
        <f>_xlfn.XLOOKUP(A2107,MktTitle,MktCat,"n/a")</f>
        <v/>
      </c>
      <c r="J2107" s="3">
        <f>_xlfn.XLOOKUP(A2107,MktTitle,MktTotVol,0)</f>
        <v/>
      </c>
      <c r="K2107">
        <f>IF(H2107&gt;WhaleThreshold,"WHALE","")</f>
        <v/>
      </c>
    </row>
    <row r="2108">
      <c r="A2108" t="inlineStr">
        <is>
          <t>Will Cape Verde win the 2026 FIFA World Cup?</t>
        </is>
      </c>
      <c r="B2108" s="4" t="n">
        <v>46206</v>
      </c>
      <c r="C2108" s="5" t="n">
        <v>46206.08108796296</v>
      </c>
      <c r="D2108" t="inlineStr">
        <is>
          <t>BUY</t>
        </is>
      </c>
      <c r="E2108" t="inlineStr">
        <is>
          <t>Yes</t>
        </is>
      </c>
      <c r="F2108" s="2" t="n">
        <v>0.001</v>
      </c>
      <c r="G2108" s="6" t="n">
        <v>10000</v>
      </c>
      <c r="H2108" s="6">
        <f>F2108*G2108</f>
        <v/>
      </c>
      <c r="I2108">
        <f>_xlfn.XLOOKUP(A2108,MktTitle,MktCat,"n/a")</f>
        <v/>
      </c>
      <c r="J2108" s="3">
        <f>_xlfn.XLOOKUP(A2108,MktTitle,MktTotVol,0)</f>
        <v/>
      </c>
      <c r="K2108">
        <f>IF(H2108&gt;WhaleThreshold,"WHALE","")</f>
        <v/>
      </c>
    </row>
    <row r="2109">
      <c r="A2109" t="inlineStr">
        <is>
          <t>Will Cape Verde win the 2026 FIFA World Cup?</t>
        </is>
      </c>
      <c r="B2109" s="4" t="n">
        <v>46206</v>
      </c>
      <c r="C2109" s="5" t="n">
        <v>46206.07789351852</v>
      </c>
      <c r="D2109" t="inlineStr">
        <is>
          <t>BUY</t>
        </is>
      </c>
      <c r="E2109" t="inlineStr">
        <is>
          <t>Yes</t>
        </is>
      </c>
      <c r="F2109" s="2" t="n">
        <v>0.001</v>
      </c>
      <c r="G2109" s="6" t="n">
        <v>19720</v>
      </c>
      <c r="H2109" s="6">
        <f>F2109*G2109</f>
        <v/>
      </c>
      <c r="I2109">
        <f>_xlfn.XLOOKUP(A2109,MktTitle,MktCat,"n/a")</f>
        <v/>
      </c>
      <c r="J2109" s="3">
        <f>_xlfn.XLOOKUP(A2109,MktTitle,MktTotVol,0)</f>
        <v/>
      </c>
      <c r="K2109">
        <f>IF(H2109&gt;WhaleThreshold,"WHALE","")</f>
        <v/>
      </c>
    </row>
    <row r="2110">
      <c r="A2110" t="inlineStr">
        <is>
          <t>Will Cape Verde win the 2026 FIFA World Cup?</t>
        </is>
      </c>
      <c r="B2110" s="4" t="n">
        <v>46206</v>
      </c>
      <c r="C2110" s="5" t="n">
        <v>46206.07290509259</v>
      </c>
      <c r="D2110" t="inlineStr">
        <is>
          <t>BUY</t>
        </is>
      </c>
      <c r="E2110" t="inlineStr">
        <is>
          <t>Yes</t>
        </is>
      </c>
      <c r="F2110" s="2" t="n">
        <v>0.001</v>
      </c>
      <c r="G2110" s="6" t="n">
        <v>10000</v>
      </c>
      <c r="H2110" s="6">
        <f>F2110*G2110</f>
        <v/>
      </c>
      <c r="I2110">
        <f>_xlfn.XLOOKUP(A2110,MktTitle,MktCat,"n/a")</f>
        <v/>
      </c>
      <c r="J2110" s="3">
        <f>_xlfn.XLOOKUP(A2110,MktTitle,MktTotVol,0)</f>
        <v/>
      </c>
      <c r="K2110">
        <f>IF(H2110&gt;WhaleThreshold,"WHALE","")</f>
        <v/>
      </c>
    </row>
    <row r="2111">
      <c r="A2111" t="inlineStr">
        <is>
          <t>Will Cape Verde win the 2026 FIFA World Cup?</t>
        </is>
      </c>
      <c r="B2111" s="4" t="n">
        <v>46206</v>
      </c>
      <c r="C2111" s="5" t="n">
        <v>46206.0708912037</v>
      </c>
      <c r="D2111" t="inlineStr">
        <is>
          <t>BUY</t>
        </is>
      </c>
      <c r="E2111" t="inlineStr">
        <is>
          <t>Yes</t>
        </is>
      </c>
      <c r="F2111" s="2" t="n">
        <v>0.001</v>
      </c>
      <c r="G2111" s="6" t="n">
        <v>18000</v>
      </c>
      <c r="H2111" s="6">
        <f>F2111*G2111</f>
        <v/>
      </c>
      <c r="I2111">
        <f>_xlfn.XLOOKUP(A2111,MktTitle,MktCat,"n/a")</f>
        <v/>
      </c>
      <c r="J2111" s="3">
        <f>_xlfn.XLOOKUP(A2111,MktTitle,MktTotVol,0)</f>
        <v/>
      </c>
      <c r="K2111">
        <f>IF(H2111&gt;WhaleThreshold,"WHALE","")</f>
        <v/>
      </c>
    </row>
    <row r="2112">
      <c r="A2112" t="inlineStr">
        <is>
          <t>Will Cape Verde win the 2026 FIFA World Cup?</t>
        </is>
      </c>
      <c r="B2112" s="4" t="n">
        <v>46206</v>
      </c>
      <c r="C2112" s="5" t="n">
        <v>46206.07060185185</v>
      </c>
      <c r="D2112" t="inlineStr">
        <is>
          <t>BUY</t>
        </is>
      </c>
      <c r="E2112" t="inlineStr">
        <is>
          <t>Yes</t>
        </is>
      </c>
      <c r="F2112" s="2" t="n">
        <v>0.001</v>
      </c>
      <c r="G2112" s="6" t="n">
        <v>1000</v>
      </c>
      <c r="H2112" s="6">
        <f>F2112*G2112</f>
        <v/>
      </c>
      <c r="I2112">
        <f>_xlfn.XLOOKUP(A2112,MktTitle,MktCat,"n/a")</f>
        <v/>
      </c>
      <c r="J2112" s="3">
        <f>_xlfn.XLOOKUP(A2112,MktTitle,MktTotVol,0)</f>
        <v/>
      </c>
      <c r="K2112">
        <f>IF(H2112&gt;WhaleThreshold,"WHALE","")</f>
        <v/>
      </c>
    </row>
    <row r="2113">
      <c r="A2113" t="inlineStr">
        <is>
          <t>Will Cape Verde win the 2026 FIFA World Cup?</t>
        </is>
      </c>
      <c r="B2113" s="4" t="n">
        <v>46206</v>
      </c>
      <c r="C2113" s="5" t="n">
        <v>46206.06873842593</v>
      </c>
      <c r="D2113" t="inlineStr">
        <is>
          <t>BUY</t>
        </is>
      </c>
      <c r="E2113" t="inlineStr">
        <is>
          <t>Yes</t>
        </is>
      </c>
      <c r="F2113" s="2" t="n">
        <v>0.001</v>
      </c>
      <c r="G2113" s="6" t="n">
        <v>10000</v>
      </c>
      <c r="H2113" s="6">
        <f>F2113*G2113</f>
        <v/>
      </c>
      <c r="I2113">
        <f>_xlfn.XLOOKUP(A2113,MktTitle,MktCat,"n/a")</f>
        <v/>
      </c>
      <c r="J2113" s="3">
        <f>_xlfn.XLOOKUP(A2113,MktTitle,MktTotVol,0)</f>
        <v/>
      </c>
      <c r="K2113">
        <f>IF(H2113&gt;WhaleThreshold,"WHALE","")</f>
        <v/>
      </c>
    </row>
    <row r="2114">
      <c r="A2114" t="inlineStr">
        <is>
          <t>Will Cape Verde win the 2026 FIFA World Cup?</t>
        </is>
      </c>
      <c r="B2114" s="4" t="n">
        <v>46206</v>
      </c>
      <c r="C2114" s="5" t="n">
        <v>46206.06866898148</v>
      </c>
      <c r="D2114" t="inlineStr">
        <is>
          <t>BUY</t>
        </is>
      </c>
      <c r="E2114" t="inlineStr">
        <is>
          <t>Yes</t>
        </is>
      </c>
      <c r="F2114" s="2" t="n">
        <v>0.001</v>
      </c>
      <c r="G2114" s="6" t="n">
        <v>10000</v>
      </c>
      <c r="H2114" s="6">
        <f>F2114*G2114</f>
        <v/>
      </c>
      <c r="I2114">
        <f>_xlfn.XLOOKUP(A2114,MktTitle,MktCat,"n/a")</f>
        <v/>
      </c>
      <c r="J2114" s="3">
        <f>_xlfn.XLOOKUP(A2114,MktTitle,MktTotVol,0)</f>
        <v/>
      </c>
      <c r="K2114">
        <f>IF(H2114&gt;WhaleThreshold,"WHALE","")</f>
        <v/>
      </c>
    </row>
    <row r="2115">
      <c r="A2115" t="inlineStr">
        <is>
          <t>Will Cape Verde win the 2026 FIFA World Cup?</t>
        </is>
      </c>
      <c r="B2115" s="4" t="n">
        <v>46206</v>
      </c>
      <c r="C2115" s="5" t="n">
        <v>46206.06835648148</v>
      </c>
      <c r="D2115" t="inlineStr">
        <is>
          <t>BUY</t>
        </is>
      </c>
      <c r="E2115" t="inlineStr">
        <is>
          <t>Yes</t>
        </is>
      </c>
      <c r="F2115" s="2" t="n">
        <v>0.001</v>
      </c>
      <c r="G2115" s="6" t="n">
        <v>50000</v>
      </c>
      <c r="H2115" s="6">
        <f>F2115*G2115</f>
        <v/>
      </c>
      <c r="I2115">
        <f>_xlfn.XLOOKUP(A2115,MktTitle,MktCat,"n/a")</f>
        <v/>
      </c>
      <c r="J2115" s="3">
        <f>_xlfn.XLOOKUP(A2115,MktTitle,MktTotVol,0)</f>
        <v/>
      </c>
      <c r="K2115">
        <f>IF(H2115&gt;WhaleThreshold,"WHALE","")</f>
        <v/>
      </c>
    </row>
    <row r="2116">
      <c r="A2116" t="inlineStr">
        <is>
          <t>Will Cape Verde win the 2026 FIFA World Cup?</t>
        </is>
      </c>
      <c r="B2116" s="4" t="n">
        <v>46206</v>
      </c>
      <c r="C2116" s="5" t="n">
        <v>46206.05883101852</v>
      </c>
      <c r="D2116" t="inlineStr">
        <is>
          <t>BUY</t>
        </is>
      </c>
      <c r="E2116" t="inlineStr">
        <is>
          <t>Yes</t>
        </is>
      </c>
      <c r="F2116" s="2" t="n">
        <v>0.001</v>
      </c>
      <c r="G2116" s="6" t="n">
        <v>48540</v>
      </c>
      <c r="H2116" s="6">
        <f>F2116*G2116</f>
        <v/>
      </c>
      <c r="I2116">
        <f>_xlfn.XLOOKUP(A2116,MktTitle,MktCat,"n/a")</f>
        <v/>
      </c>
      <c r="J2116" s="3">
        <f>_xlfn.XLOOKUP(A2116,MktTitle,MktTotVol,0)</f>
        <v/>
      </c>
      <c r="K2116">
        <f>IF(H2116&gt;WhaleThreshold,"WHALE","")</f>
        <v/>
      </c>
    </row>
    <row r="2117">
      <c r="A2117" t="inlineStr">
        <is>
          <t>Will Cape Verde win the 2026 FIFA World Cup?</t>
        </is>
      </c>
      <c r="B2117" s="4" t="n">
        <v>46206</v>
      </c>
      <c r="C2117" s="5" t="n">
        <v>46206.05748842593</v>
      </c>
      <c r="D2117" t="inlineStr">
        <is>
          <t>BUY</t>
        </is>
      </c>
      <c r="E2117" t="inlineStr">
        <is>
          <t>Yes</t>
        </is>
      </c>
      <c r="F2117" s="2" t="n">
        <v>0.001</v>
      </c>
      <c r="G2117" s="6" t="n">
        <v>21000</v>
      </c>
      <c r="H2117" s="6">
        <f>F2117*G2117</f>
        <v/>
      </c>
      <c r="I2117">
        <f>_xlfn.XLOOKUP(A2117,MktTitle,MktCat,"n/a")</f>
        <v/>
      </c>
      <c r="J2117" s="3">
        <f>_xlfn.XLOOKUP(A2117,MktTitle,MktTotVol,0)</f>
        <v/>
      </c>
      <c r="K2117">
        <f>IF(H2117&gt;WhaleThreshold,"WHALE","")</f>
        <v/>
      </c>
    </row>
    <row r="2118">
      <c r="A2118" t="inlineStr">
        <is>
          <t>Will Cape Verde win the 2026 FIFA World Cup?</t>
        </is>
      </c>
      <c r="B2118" s="4" t="n">
        <v>46206</v>
      </c>
      <c r="C2118" s="5" t="n">
        <v>46206.05634259259</v>
      </c>
      <c r="D2118" t="inlineStr">
        <is>
          <t>BUY</t>
        </is>
      </c>
      <c r="E2118" t="inlineStr">
        <is>
          <t>Yes</t>
        </is>
      </c>
      <c r="F2118" s="2" t="n">
        <v>0.001</v>
      </c>
      <c r="G2118" s="6" t="n">
        <v>1200</v>
      </c>
      <c r="H2118" s="6">
        <f>F2118*G2118</f>
        <v/>
      </c>
      <c r="I2118">
        <f>_xlfn.XLOOKUP(A2118,MktTitle,MktCat,"n/a")</f>
        <v/>
      </c>
      <c r="J2118" s="3">
        <f>_xlfn.XLOOKUP(A2118,MktTitle,MktTotVol,0)</f>
        <v/>
      </c>
      <c r="K2118">
        <f>IF(H2118&gt;WhaleThreshold,"WHALE","")</f>
        <v/>
      </c>
    </row>
    <row r="2119">
      <c r="A2119" t="inlineStr">
        <is>
          <t>Will Cape Verde win the 2026 FIFA World Cup?</t>
        </is>
      </c>
      <c r="B2119" s="4" t="n">
        <v>46206</v>
      </c>
      <c r="C2119" s="5" t="n">
        <v>46206.05435185185</v>
      </c>
      <c r="D2119" t="inlineStr">
        <is>
          <t>BUY</t>
        </is>
      </c>
      <c r="E2119" t="inlineStr">
        <is>
          <t>Yes</t>
        </is>
      </c>
      <c r="F2119" s="2" t="n">
        <v>0.001</v>
      </c>
      <c r="G2119" s="6" t="n">
        <v>1000</v>
      </c>
      <c r="H2119" s="6">
        <f>F2119*G2119</f>
        <v/>
      </c>
      <c r="I2119">
        <f>_xlfn.XLOOKUP(A2119,MktTitle,MktCat,"n/a")</f>
        <v/>
      </c>
      <c r="J2119" s="3">
        <f>_xlfn.XLOOKUP(A2119,MktTitle,MktTotVol,0)</f>
        <v/>
      </c>
      <c r="K2119">
        <f>IF(H2119&gt;WhaleThreshold,"WHALE","")</f>
        <v/>
      </c>
    </row>
    <row r="2120">
      <c r="A2120" t="inlineStr">
        <is>
          <t>Will Cape Verde win the 2026 FIFA World Cup?</t>
        </is>
      </c>
      <c r="B2120" s="4" t="n">
        <v>46206</v>
      </c>
      <c r="C2120" s="5" t="n">
        <v>46206.05311342593</v>
      </c>
      <c r="D2120" t="inlineStr">
        <is>
          <t>BUY</t>
        </is>
      </c>
      <c r="E2120" t="inlineStr">
        <is>
          <t>Yes</t>
        </is>
      </c>
      <c r="F2120" s="2" t="n">
        <v>0.001</v>
      </c>
      <c r="G2120" s="6" t="n">
        <v>4850</v>
      </c>
      <c r="H2120" s="6">
        <f>F2120*G2120</f>
        <v/>
      </c>
      <c r="I2120">
        <f>_xlfn.XLOOKUP(A2120,MktTitle,MktCat,"n/a")</f>
        <v/>
      </c>
      <c r="J2120" s="3">
        <f>_xlfn.XLOOKUP(A2120,MktTitle,MktTotVol,0)</f>
        <v/>
      </c>
      <c r="K2120">
        <f>IF(H2120&gt;WhaleThreshold,"WHALE","")</f>
        <v/>
      </c>
    </row>
    <row r="2121">
      <c r="A2121" t="inlineStr">
        <is>
          <t>Will Cape Verde win the 2026 FIFA World Cup?</t>
        </is>
      </c>
      <c r="B2121" s="4" t="n">
        <v>46206</v>
      </c>
      <c r="C2121" s="5" t="n">
        <v>46206.05268518518</v>
      </c>
      <c r="D2121" t="inlineStr">
        <is>
          <t>BUY</t>
        </is>
      </c>
      <c r="E2121" t="inlineStr">
        <is>
          <t>Yes</t>
        </is>
      </c>
      <c r="F2121" s="2" t="n">
        <v>0.001</v>
      </c>
      <c r="G2121" s="6" t="n">
        <v>1000</v>
      </c>
      <c r="H2121" s="6">
        <f>F2121*G2121</f>
        <v/>
      </c>
      <c r="I2121">
        <f>_xlfn.XLOOKUP(A2121,MktTitle,MktCat,"n/a")</f>
        <v/>
      </c>
      <c r="J2121" s="3">
        <f>_xlfn.XLOOKUP(A2121,MktTitle,MktTotVol,0)</f>
        <v/>
      </c>
      <c r="K2121">
        <f>IF(H2121&gt;WhaleThreshold,"WHALE","")</f>
        <v/>
      </c>
    </row>
    <row r="2122">
      <c r="A2122" t="inlineStr">
        <is>
          <t>Will Cape Verde win the 2026 FIFA World Cup?</t>
        </is>
      </c>
      <c r="B2122" s="4" t="n">
        <v>46206</v>
      </c>
      <c r="C2122" s="5" t="n">
        <v>46206.05265046296</v>
      </c>
      <c r="D2122" t="inlineStr">
        <is>
          <t>BUY</t>
        </is>
      </c>
      <c r="E2122" t="inlineStr">
        <is>
          <t>Yes</t>
        </is>
      </c>
      <c r="F2122" s="2" t="n">
        <v>0.001</v>
      </c>
      <c r="G2122" s="6" t="n">
        <v>1000</v>
      </c>
      <c r="H2122" s="6">
        <f>F2122*G2122</f>
        <v/>
      </c>
      <c r="I2122">
        <f>_xlfn.XLOOKUP(A2122,MktTitle,MktCat,"n/a")</f>
        <v/>
      </c>
      <c r="J2122" s="3">
        <f>_xlfn.XLOOKUP(A2122,MktTitle,MktTotVol,0)</f>
        <v/>
      </c>
      <c r="K2122">
        <f>IF(H2122&gt;WhaleThreshold,"WHALE","")</f>
        <v/>
      </c>
    </row>
    <row r="2123">
      <c r="A2123" t="inlineStr">
        <is>
          <t>Will Cape Verde win the 2026 FIFA World Cup?</t>
        </is>
      </c>
      <c r="B2123" s="4" t="n">
        <v>46206</v>
      </c>
      <c r="C2123" s="5" t="n">
        <v>46206.0525462963</v>
      </c>
      <c r="D2123" t="inlineStr">
        <is>
          <t>BUY</t>
        </is>
      </c>
      <c r="E2123" t="inlineStr">
        <is>
          <t>Yes</t>
        </is>
      </c>
      <c r="F2123" s="2" t="n">
        <v>0.001</v>
      </c>
      <c r="G2123" s="6" t="n">
        <v>2000</v>
      </c>
      <c r="H2123" s="6">
        <f>F2123*G2123</f>
        <v/>
      </c>
      <c r="I2123">
        <f>_xlfn.XLOOKUP(A2123,MktTitle,MktCat,"n/a")</f>
        <v/>
      </c>
      <c r="J2123" s="3">
        <f>_xlfn.XLOOKUP(A2123,MktTitle,MktTotVol,0)</f>
        <v/>
      </c>
      <c r="K2123">
        <f>IF(H2123&gt;WhaleThreshold,"WHALE","")</f>
        <v/>
      </c>
    </row>
    <row r="2124">
      <c r="A2124" t="inlineStr">
        <is>
          <t>Will Cape Verde win the 2026 FIFA World Cup?</t>
        </is>
      </c>
      <c r="B2124" s="4" t="n">
        <v>46206</v>
      </c>
      <c r="C2124" s="5" t="n">
        <v>46206.05158564815</v>
      </c>
      <c r="D2124" t="inlineStr">
        <is>
          <t>BUY</t>
        </is>
      </c>
      <c r="E2124" t="inlineStr">
        <is>
          <t>Yes</t>
        </is>
      </c>
      <c r="F2124" s="2" t="n">
        <v>0.001</v>
      </c>
      <c r="G2124" s="6" t="n">
        <v>1940</v>
      </c>
      <c r="H2124" s="6">
        <f>F2124*G2124</f>
        <v/>
      </c>
      <c r="I2124">
        <f>_xlfn.XLOOKUP(A2124,MktTitle,MktCat,"n/a")</f>
        <v/>
      </c>
      <c r="J2124" s="3">
        <f>_xlfn.XLOOKUP(A2124,MktTitle,MktTotVol,0)</f>
        <v/>
      </c>
      <c r="K2124">
        <f>IF(H2124&gt;WhaleThreshold,"WHALE","")</f>
        <v/>
      </c>
    </row>
    <row r="2125">
      <c r="A2125" t="inlineStr">
        <is>
          <t>Will Cape Verde win the 2026 FIFA World Cup?</t>
        </is>
      </c>
      <c r="B2125" s="4" t="n">
        <v>46206</v>
      </c>
      <c r="C2125" s="5" t="n">
        <v>46206.0507175926</v>
      </c>
      <c r="D2125" t="inlineStr">
        <is>
          <t>BUY</t>
        </is>
      </c>
      <c r="E2125" t="inlineStr">
        <is>
          <t>Yes</t>
        </is>
      </c>
      <c r="F2125" s="2" t="n">
        <v>0.001</v>
      </c>
      <c r="G2125" s="6" t="n">
        <v>10000</v>
      </c>
      <c r="H2125" s="6">
        <f>F2125*G2125</f>
        <v/>
      </c>
      <c r="I2125">
        <f>_xlfn.XLOOKUP(A2125,MktTitle,MktCat,"n/a")</f>
        <v/>
      </c>
      <c r="J2125" s="3">
        <f>_xlfn.XLOOKUP(A2125,MktTitle,MktTotVol,0)</f>
        <v/>
      </c>
      <c r="K2125">
        <f>IF(H2125&gt;WhaleThreshold,"WHALE","")</f>
        <v/>
      </c>
    </row>
    <row r="2126">
      <c r="A2126" t="inlineStr">
        <is>
          <t>Will Cape Verde win the 2026 FIFA World Cup?</t>
        </is>
      </c>
      <c r="B2126" s="4" t="n">
        <v>46206</v>
      </c>
      <c r="C2126" s="5" t="n">
        <v>46206.04862268519</v>
      </c>
      <c r="D2126" t="inlineStr">
        <is>
          <t>BUY</t>
        </is>
      </c>
      <c r="E2126" t="inlineStr">
        <is>
          <t>Yes</t>
        </is>
      </c>
      <c r="F2126" s="2" t="n">
        <v>0.001</v>
      </c>
      <c r="G2126" s="6" t="n">
        <v>1940</v>
      </c>
      <c r="H2126" s="6">
        <f>F2126*G2126</f>
        <v/>
      </c>
      <c r="I2126">
        <f>_xlfn.XLOOKUP(A2126,MktTitle,MktCat,"n/a")</f>
        <v/>
      </c>
      <c r="J2126" s="3">
        <f>_xlfn.XLOOKUP(A2126,MktTitle,MktTotVol,0)</f>
        <v/>
      </c>
      <c r="K2126">
        <f>IF(H2126&gt;WhaleThreshold,"WHALE","")</f>
        <v/>
      </c>
    </row>
    <row r="2127">
      <c r="A2127" t="inlineStr">
        <is>
          <t>Will Cape Verde win the 2026 FIFA World Cup?</t>
        </is>
      </c>
      <c r="B2127" s="4" t="n">
        <v>46206</v>
      </c>
      <c r="C2127" s="5" t="n">
        <v>46206.03501157407</v>
      </c>
      <c r="D2127" t="inlineStr">
        <is>
          <t>BUY</t>
        </is>
      </c>
      <c r="E2127" t="inlineStr">
        <is>
          <t>Yes</t>
        </is>
      </c>
      <c r="F2127" s="2" t="n">
        <v>0.001</v>
      </c>
      <c r="G2127" s="6" t="n">
        <v>2000</v>
      </c>
      <c r="H2127" s="6">
        <f>F2127*G2127</f>
        <v/>
      </c>
      <c r="I2127">
        <f>_xlfn.XLOOKUP(A2127,MktTitle,MktCat,"n/a")</f>
        <v/>
      </c>
      <c r="J2127" s="3">
        <f>_xlfn.XLOOKUP(A2127,MktTitle,MktTotVol,0)</f>
        <v/>
      </c>
      <c r="K2127">
        <f>IF(H2127&gt;WhaleThreshold,"WHALE","")</f>
        <v/>
      </c>
    </row>
    <row r="2128">
      <c r="A2128" t="inlineStr">
        <is>
          <t>Will Cape Verde win the 2026 FIFA World Cup?</t>
        </is>
      </c>
      <c r="B2128" s="4" t="n">
        <v>46206</v>
      </c>
      <c r="C2128" s="5" t="n">
        <v>46206.02599537037</v>
      </c>
      <c r="D2128" t="inlineStr">
        <is>
          <t>BUY</t>
        </is>
      </c>
      <c r="E2128" t="inlineStr">
        <is>
          <t>Yes</t>
        </is>
      </c>
      <c r="F2128" s="2" t="n">
        <v>0.001</v>
      </c>
      <c r="G2128" s="6" t="n">
        <v>5000</v>
      </c>
      <c r="H2128" s="6">
        <f>F2128*G2128</f>
        <v/>
      </c>
      <c r="I2128">
        <f>_xlfn.XLOOKUP(A2128,MktTitle,MktCat,"n/a")</f>
        <v/>
      </c>
      <c r="J2128" s="3">
        <f>_xlfn.XLOOKUP(A2128,MktTitle,MktTotVol,0)</f>
        <v/>
      </c>
      <c r="K2128">
        <f>IF(H2128&gt;WhaleThreshold,"WHALE","")</f>
        <v/>
      </c>
    </row>
    <row r="2129">
      <c r="A2129" t="inlineStr">
        <is>
          <t>Will Cape Verde win the 2026 FIFA World Cup?</t>
        </is>
      </c>
      <c r="B2129" s="4" t="n">
        <v>46206</v>
      </c>
      <c r="C2129" s="5" t="n">
        <v>46206.0249537037</v>
      </c>
      <c r="D2129" t="inlineStr">
        <is>
          <t>BUY</t>
        </is>
      </c>
      <c r="E2129" t="inlineStr">
        <is>
          <t>Yes</t>
        </is>
      </c>
      <c r="F2129" s="2" t="n">
        <v>0.001</v>
      </c>
      <c r="G2129" s="6" t="n">
        <v>1000</v>
      </c>
      <c r="H2129" s="6">
        <f>F2129*G2129</f>
        <v/>
      </c>
      <c r="I2129">
        <f>_xlfn.XLOOKUP(A2129,MktTitle,MktCat,"n/a")</f>
        <v/>
      </c>
      <c r="J2129" s="3">
        <f>_xlfn.XLOOKUP(A2129,MktTitle,MktTotVol,0)</f>
        <v/>
      </c>
      <c r="K2129">
        <f>IF(H2129&gt;WhaleThreshold,"WHALE","")</f>
        <v/>
      </c>
    </row>
    <row r="2130">
      <c r="A2130" t="inlineStr">
        <is>
          <t>Will Cape Verde win the 2026 FIFA World Cup?</t>
        </is>
      </c>
      <c r="B2130" s="4" t="n">
        <v>46206</v>
      </c>
      <c r="C2130" s="5" t="n">
        <v>46206.02033564815</v>
      </c>
      <c r="D2130" t="inlineStr">
        <is>
          <t>BUY</t>
        </is>
      </c>
      <c r="E2130" t="inlineStr">
        <is>
          <t>Yes</t>
        </is>
      </c>
      <c r="F2130" s="2" t="n">
        <v>0.001</v>
      </c>
      <c r="G2130" s="6" t="n">
        <v>26000</v>
      </c>
      <c r="H2130" s="6">
        <f>F2130*G2130</f>
        <v/>
      </c>
      <c r="I2130">
        <f>_xlfn.XLOOKUP(A2130,MktTitle,MktCat,"n/a")</f>
        <v/>
      </c>
      <c r="J2130" s="3">
        <f>_xlfn.XLOOKUP(A2130,MktTitle,MktTotVol,0)</f>
        <v/>
      </c>
      <c r="K2130">
        <f>IF(H2130&gt;WhaleThreshold,"WHALE","")</f>
        <v/>
      </c>
    </row>
    <row r="2131">
      <c r="A2131" t="inlineStr">
        <is>
          <t>Will Cape Verde win the 2026 FIFA World Cup?</t>
        </is>
      </c>
      <c r="B2131" s="4" t="n">
        <v>46206</v>
      </c>
      <c r="C2131" s="5" t="n">
        <v>46206.01921296296</v>
      </c>
      <c r="D2131" t="inlineStr">
        <is>
          <t>BUY</t>
        </is>
      </c>
      <c r="E2131" t="inlineStr">
        <is>
          <t>Yes</t>
        </is>
      </c>
      <c r="F2131" s="2" t="n">
        <v>0.001</v>
      </c>
      <c r="G2131" s="6" t="n">
        <v>2000</v>
      </c>
      <c r="H2131" s="6">
        <f>F2131*G2131</f>
        <v/>
      </c>
      <c r="I2131">
        <f>_xlfn.XLOOKUP(A2131,MktTitle,MktCat,"n/a")</f>
        <v/>
      </c>
      <c r="J2131" s="3">
        <f>_xlfn.XLOOKUP(A2131,MktTitle,MktTotVol,0)</f>
        <v/>
      </c>
      <c r="K2131">
        <f>IF(H2131&gt;WhaleThreshold,"WHALE","")</f>
        <v/>
      </c>
    </row>
    <row r="2132">
      <c r="A2132" t="inlineStr">
        <is>
          <t>Will Cape Verde win the 2026 FIFA World Cup?</t>
        </is>
      </c>
      <c r="B2132" s="4" t="n">
        <v>46206</v>
      </c>
      <c r="C2132" s="5" t="n">
        <v>46206.01422453704</v>
      </c>
      <c r="D2132" t="inlineStr">
        <is>
          <t>BUY</t>
        </is>
      </c>
      <c r="E2132" t="inlineStr">
        <is>
          <t>Yes</t>
        </is>
      </c>
      <c r="F2132" s="2" t="n">
        <v>0.001</v>
      </c>
      <c r="G2132" s="6" t="n">
        <v>5000</v>
      </c>
      <c r="H2132" s="6">
        <f>F2132*G2132</f>
        <v/>
      </c>
      <c r="I2132">
        <f>_xlfn.XLOOKUP(A2132,MktTitle,MktCat,"n/a")</f>
        <v/>
      </c>
      <c r="J2132" s="3">
        <f>_xlfn.XLOOKUP(A2132,MktTitle,MktTotVol,0)</f>
        <v/>
      </c>
      <c r="K2132">
        <f>IF(H2132&gt;WhaleThreshold,"WHALE","")</f>
        <v/>
      </c>
    </row>
    <row r="2133">
      <c r="A2133" t="inlineStr">
        <is>
          <t>Will Cape Verde win the 2026 FIFA World Cup?</t>
        </is>
      </c>
      <c r="B2133" s="4" t="n">
        <v>46206</v>
      </c>
      <c r="C2133" s="5" t="n">
        <v>46206.01004629629</v>
      </c>
      <c r="D2133" t="inlineStr">
        <is>
          <t>BUY</t>
        </is>
      </c>
      <c r="E2133" t="inlineStr">
        <is>
          <t>Yes</t>
        </is>
      </c>
      <c r="F2133" s="2" t="n">
        <v>0.001</v>
      </c>
      <c r="G2133" s="6" t="n">
        <v>11000</v>
      </c>
      <c r="H2133" s="6">
        <f>F2133*G2133</f>
        <v/>
      </c>
      <c r="I2133">
        <f>_xlfn.XLOOKUP(A2133,MktTitle,MktCat,"n/a")</f>
        <v/>
      </c>
      <c r="J2133" s="3">
        <f>_xlfn.XLOOKUP(A2133,MktTitle,MktTotVol,0)</f>
        <v/>
      </c>
      <c r="K2133">
        <f>IF(H2133&gt;WhaleThreshold,"WHALE","")</f>
        <v/>
      </c>
    </row>
    <row r="2134">
      <c r="A2134" t="inlineStr">
        <is>
          <t>Will Cape Verde win the 2026 FIFA World Cup?</t>
        </is>
      </c>
      <c r="B2134" s="4" t="n">
        <v>46205</v>
      </c>
      <c r="C2134" s="5" t="n">
        <v>46205.99894675926</v>
      </c>
      <c r="D2134" t="inlineStr">
        <is>
          <t>BUY</t>
        </is>
      </c>
      <c r="E2134" t="inlineStr">
        <is>
          <t>Yes</t>
        </is>
      </c>
      <c r="F2134" s="2" t="n">
        <v>0.001</v>
      </c>
      <c r="G2134" s="6" t="n">
        <v>1940</v>
      </c>
      <c r="H2134" s="6">
        <f>F2134*G2134</f>
        <v/>
      </c>
      <c r="I2134">
        <f>_xlfn.XLOOKUP(A2134,MktTitle,MktCat,"n/a")</f>
        <v/>
      </c>
      <c r="J2134" s="3">
        <f>_xlfn.XLOOKUP(A2134,MktTitle,MktTotVol,0)</f>
        <v/>
      </c>
      <c r="K2134">
        <f>IF(H2134&gt;WhaleThreshold,"WHALE","")</f>
        <v/>
      </c>
    </row>
    <row r="2135">
      <c r="A2135" t="inlineStr">
        <is>
          <t>Will Cape Verde win the 2026 FIFA World Cup?</t>
        </is>
      </c>
      <c r="B2135" s="4" t="n">
        <v>46205</v>
      </c>
      <c r="C2135" s="5" t="n">
        <v>46205.99157407408</v>
      </c>
      <c r="D2135" t="inlineStr">
        <is>
          <t>BUY</t>
        </is>
      </c>
      <c r="E2135" t="inlineStr">
        <is>
          <t>Yes</t>
        </is>
      </c>
      <c r="F2135" s="2" t="n">
        <v>0.001</v>
      </c>
      <c r="G2135" s="6" t="n">
        <v>4810</v>
      </c>
      <c r="H2135" s="6">
        <f>F2135*G2135</f>
        <v/>
      </c>
      <c r="I2135">
        <f>_xlfn.XLOOKUP(A2135,MktTitle,MktCat,"n/a")</f>
        <v/>
      </c>
      <c r="J2135" s="3">
        <f>_xlfn.XLOOKUP(A2135,MktTitle,MktTotVol,0)</f>
        <v/>
      </c>
      <c r="K2135">
        <f>IF(H2135&gt;WhaleThreshold,"WHALE","")</f>
        <v/>
      </c>
    </row>
    <row r="2136">
      <c r="A2136" t="inlineStr">
        <is>
          <t>Will Cape Verde win the 2026 FIFA World Cup?</t>
        </is>
      </c>
      <c r="B2136" s="4" t="n">
        <v>46205</v>
      </c>
      <c r="C2136" s="5" t="n">
        <v>46205.97896990741</v>
      </c>
      <c r="D2136" t="inlineStr">
        <is>
          <t>BUY</t>
        </is>
      </c>
      <c r="E2136" t="inlineStr">
        <is>
          <t>Yes</t>
        </is>
      </c>
      <c r="F2136" s="2" t="n">
        <v>0.001</v>
      </c>
      <c r="G2136" s="6" t="n">
        <v>9700</v>
      </c>
      <c r="H2136" s="6">
        <f>F2136*G2136</f>
        <v/>
      </c>
      <c r="I2136">
        <f>_xlfn.XLOOKUP(A2136,MktTitle,MktCat,"n/a")</f>
        <v/>
      </c>
      <c r="J2136" s="3">
        <f>_xlfn.XLOOKUP(A2136,MktTitle,MktTotVol,0)</f>
        <v/>
      </c>
      <c r="K2136">
        <f>IF(H2136&gt;WhaleThreshold,"WHALE","")</f>
        <v/>
      </c>
    </row>
    <row r="2137">
      <c r="A2137" t="inlineStr">
        <is>
          <t>Will Cape Verde win the 2026 FIFA World Cup?</t>
        </is>
      </c>
      <c r="B2137" s="4" t="n">
        <v>46205</v>
      </c>
      <c r="C2137" s="5" t="n">
        <v>46205.97206018519</v>
      </c>
      <c r="D2137" t="inlineStr">
        <is>
          <t>BUY</t>
        </is>
      </c>
      <c r="E2137" t="inlineStr">
        <is>
          <t>Yes</t>
        </is>
      </c>
      <c r="F2137" s="2" t="n">
        <v>0.001</v>
      </c>
      <c r="G2137" s="6" t="n">
        <v>5000</v>
      </c>
      <c r="H2137" s="6">
        <f>F2137*G2137</f>
        <v/>
      </c>
      <c r="I2137">
        <f>_xlfn.XLOOKUP(A2137,MktTitle,MktCat,"n/a")</f>
        <v/>
      </c>
      <c r="J2137" s="3">
        <f>_xlfn.XLOOKUP(A2137,MktTitle,MktTotVol,0)</f>
        <v/>
      </c>
      <c r="K2137">
        <f>IF(H2137&gt;WhaleThreshold,"WHALE","")</f>
        <v/>
      </c>
    </row>
    <row r="2138">
      <c r="A2138" t="inlineStr">
        <is>
          <t>Will Cape Verde win the 2026 FIFA World Cup?</t>
        </is>
      </c>
      <c r="B2138" s="4" t="n">
        <v>46205</v>
      </c>
      <c r="C2138" s="5" t="n">
        <v>46205.95342592592</v>
      </c>
      <c r="D2138" t="inlineStr">
        <is>
          <t>BUY</t>
        </is>
      </c>
      <c r="E2138" t="inlineStr">
        <is>
          <t>Yes</t>
        </is>
      </c>
      <c r="F2138" s="2" t="n">
        <v>0.001</v>
      </c>
      <c r="G2138" s="6" t="n">
        <v>1000</v>
      </c>
      <c r="H2138" s="6">
        <f>F2138*G2138</f>
        <v/>
      </c>
      <c r="I2138">
        <f>_xlfn.XLOOKUP(A2138,MktTitle,MktCat,"n/a")</f>
        <v/>
      </c>
      <c r="J2138" s="3">
        <f>_xlfn.XLOOKUP(A2138,MktTitle,MktTotVol,0)</f>
        <v/>
      </c>
      <c r="K2138">
        <f>IF(H2138&gt;WhaleThreshold,"WHALE","")</f>
        <v/>
      </c>
    </row>
    <row r="2139">
      <c r="A2139" t="inlineStr">
        <is>
          <t>Will Cape Verde win the 2026 FIFA World Cup?</t>
        </is>
      </c>
      <c r="B2139" s="4" t="n">
        <v>46205</v>
      </c>
      <c r="C2139" s="5" t="n">
        <v>46205.95245370371</v>
      </c>
      <c r="D2139" t="inlineStr">
        <is>
          <t>BUY</t>
        </is>
      </c>
      <c r="E2139" t="inlineStr">
        <is>
          <t>Yes</t>
        </is>
      </c>
      <c r="F2139" s="2" t="n">
        <v>0.001</v>
      </c>
      <c r="G2139" s="6" t="n">
        <v>2000</v>
      </c>
      <c r="H2139" s="6">
        <f>F2139*G2139</f>
        <v/>
      </c>
      <c r="I2139">
        <f>_xlfn.XLOOKUP(A2139,MktTitle,MktCat,"n/a")</f>
        <v/>
      </c>
      <c r="J2139" s="3">
        <f>_xlfn.XLOOKUP(A2139,MktTitle,MktTotVol,0)</f>
        <v/>
      </c>
      <c r="K2139">
        <f>IF(H2139&gt;WhaleThreshold,"WHALE","")</f>
        <v/>
      </c>
    </row>
    <row r="2140">
      <c r="A2140" t="inlineStr">
        <is>
          <t>Will Cape Verde win the 2026 FIFA World Cup?</t>
        </is>
      </c>
      <c r="B2140" s="4" t="n">
        <v>46205</v>
      </c>
      <c r="C2140" s="5" t="n">
        <v>46205.93471064815</v>
      </c>
      <c r="D2140" t="inlineStr">
        <is>
          <t>BUY</t>
        </is>
      </c>
      <c r="E2140" t="inlineStr">
        <is>
          <t>Yes</t>
        </is>
      </c>
      <c r="F2140" s="2" t="n">
        <v>0.001</v>
      </c>
      <c r="G2140" s="6" t="n">
        <v>3000</v>
      </c>
      <c r="H2140" s="6">
        <f>F2140*G2140</f>
        <v/>
      </c>
      <c r="I2140">
        <f>_xlfn.XLOOKUP(A2140,MktTitle,MktCat,"n/a")</f>
        <v/>
      </c>
      <c r="J2140" s="3">
        <f>_xlfn.XLOOKUP(A2140,MktTitle,MktTotVol,0)</f>
        <v/>
      </c>
      <c r="K2140">
        <f>IF(H2140&gt;WhaleThreshold,"WHALE","")</f>
        <v/>
      </c>
    </row>
    <row r="2141">
      <c r="A2141" t="inlineStr">
        <is>
          <t>Will Cape Verde win the 2026 FIFA World Cup?</t>
        </is>
      </c>
      <c r="B2141" s="4" t="n">
        <v>46205</v>
      </c>
      <c r="C2141" s="5" t="n">
        <v>46205.93081018519</v>
      </c>
      <c r="D2141" t="inlineStr">
        <is>
          <t>BUY</t>
        </is>
      </c>
      <c r="E2141" t="inlineStr">
        <is>
          <t>Yes</t>
        </is>
      </c>
      <c r="F2141" s="2" t="n">
        <v>0.001</v>
      </c>
      <c r="G2141" s="6" t="n">
        <v>5000</v>
      </c>
      <c r="H2141" s="6">
        <f>F2141*G2141</f>
        <v/>
      </c>
      <c r="I2141">
        <f>_xlfn.XLOOKUP(A2141,MktTitle,MktCat,"n/a")</f>
        <v/>
      </c>
      <c r="J2141" s="3">
        <f>_xlfn.XLOOKUP(A2141,MktTitle,MktTotVol,0)</f>
        <v/>
      </c>
      <c r="K2141">
        <f>IF(H2141&gt;WhaleThreshold,"WHALE","")</f>
        <v/>
      </c>
    </row>
    <row r="2142">
      <c r="A2142" t="inlineStr">
        <is>
          <t>Will Cape Verde win the 2026 FIFA World Cup?</t>
        </is>
      </c>
      <c r="B2142" s="4" t="n">
        <v>46205</v>
      </c>
      <c r="C2142" s="5" t="n">
        <v>46205.92712962963</v>
      </c>
      <c r="D2142" t="inlineStr">
        <is>
          <t>BUY</t>
        </is>
      </c>
      <c r="E2142" t="inlineStr">
        <is>
          <t>Yes</t>
        </is>
      </c>
      <c r="F2142" s="2" t="n">
        <v>0.001</v>
      </c>
      <c r="G2142" s="6" t="n">
        <v>1000</v>
      </c>
      <c r="H2142" s="6">
        <f>F2142*G2142</f>
        <v/>
      </c>
      <c r="I2142">
        <f>_xlfn.XLOOKUP(A2142,MktTitle,MktCat,"n/a")</f>
        <v/>
      </c>
      <c r="J2142" s="3">
        <f>_xlfn.XLOOKUP(A2142,MktTitle,MktTotVol,0)</f>
        <v/>
      </c>
      <c r="K2142">
        <f>IF(H2142&gt;WhaleThreshold,"WHALE","")</f>
        <v/>
      </c>
    </row>
    <row r="2143">
      <c r="A2143" t="inlineStr">
        <is>
          <t>Will Cape Verde win the 2026 FIFA World Cup?</t>
        </is>
      </c>
      <c r="B2143" s="4" t="n">
        <v>46205</v>
      </c>
      <c r="C2143" s="5" t="n">
        <v>46205.92533564815</v>
      </c>
      <c r="D2143" t="inlineStr">
        <is>
          <t>BUY</t>
        </is>
      </c>
      <c r="E2143" t="inlineStr">
        <is>
          <t>Yes</t>
        </is>
      </c>
      <c r="F2143" s="2" t="n">
        <v>0.001</v>
      </c>
      <c r="G2143" s="6" t="n">
        <v>9708.73</v>
      </c>
      <c r="H2143" s="6">
        <f>F2143*G2143</f>
        <v/>
      </c>
      <c r="I2143">
        <f>_xlfn.XLOOKUP(A2143,MktTitle,MktCat,"n/a")</f>
        <v/>
      </c>
      <c r="J2143" s="3">
        <f>_xlfn.XLOOKUP(A2143,MktTitle,MktTotVol,0)</f>
        <v/>
      </c>
      <c r="K2143">
        <f>IF(H2143&gt;WhaleThreshold,"WHALE","")</f>
        <v/>
      </c>
    </row>
    <row r="2144">
      <c r="A2144" t="inlineStr">
        <is>
          <t>Will Cape Verde win the 2026 FIFA World Cup?</t>
        </is>
      </c>
      <c r="B2144" s="4" t="n">
        <v>46205</v>
      </c>
      <c r="C2144" s="5" t="n">
        <v>46205.92237268519</v>
      </c>
      <c r="D2144" t="inlineStr">
        <is>
          <t>BUY</t>
        </is>
      </c>
      <c r="E2144" t="inlineStr">
        <is>
          <t>Yes</t>
        </is>
      </c>
      <c r="F2144" s="2" t="n">
        <v>0.001</v>
      </c>
      <c r="G2144" s="6" t="n">
        <v>10000</v>
      </c>
      <c r="H2144" s="6">
        <f>F2144*G2144</f>
        <v/>
      </c>
      <c r="I2144">
        <f>_xlfn.XLOOKUP(A2144,MktTitle,MktCat,"n/a")</f>
        <v/>
      </c>
      <c r="J2144" s="3">
        <f>_xlfn.XLOOKUP(A2144,MktTitle,MktTotVol,0)</f>
        <v/>
      </c>
      <c r="K2144">
        <f>IF(H2144&gt;WhaleThreshold,"WHALE","")</f>
        <v/>
      </c>
    </row>
    <row r="2145">
      <c r="A2145" t="inlineStr">
        <is>
          <t>Will Cape Verde win the 2026 FIFA World Cup?</t>
        </is>
      </c>
      <c r="B2145" s="4" t="n">
        <v>46205</v>
      </c>
      <c r="C2145" s="5" t="n">
        <v>46205.9177662037</v>
      </c>
      <c r="D2145" t="inlineStr">
        <is>
          <t>BUY</t>
        </is>
      </c>
      <c r="E2145" t="inlineStr">
        <is>
          <t>Yes</t>
        </is>
      </c>
      <c r="F2145" s="2" t="n">
        <v>0.001</v>
      </c>
      <c r="G2145" s="6" t="n">
        <v>1000</v>
      </c>
      <c r="H2145" s="6">
        <f>F2145*G2145</f>
        <v/>
      </c>
      <c r="I2145">
        <f>_xlfn.XLOOKUP(A2145,MktTitle,MktCat,"n/a")</f>
        <v/>
      </c>
      <c r="J2145" s="3">
        <f>_xlfn.XLOOKUP(A2145,MktTitle,MktTotVol,0)</f>
        <v/>
      </c>
      <c r="K2145">
        <f>IF(H2145&gt;WhaleThreshold,"WHALE","")</f>
        <v/>
      </c>
    </row>
    <row r="2146">
      <c r="A2146" t="inlineStr">
        <is>
          <t>Will Cape Verde win the 2026 FIFA World Cup?</t>
        </is>
      </c>
      <c r="B2146" s="4" t="n">
        <v>46205</v>
      </c>
      <c r="C2146" s="5" t="n">
        <v>46205.90384259259</v>
      </c>
      <c r="D2146" t="inlineStr">
        <is>
          <t>BUY</t>
        </is>
      </c>
      <c r="E2146" t="inlineStr">
        <is>
          <t>Yes</t>
        </is>
      </c>
      <c r="F2146" s="2" t="n">
        <v>0.001</v>
      </c>
      <c r="G2146" s="6" t="n">
        <v>15000</v>
      </c>
      <c r="H2146" s="6">
        <f>F2146*G2146</f>
        <v/>
      </c>
      <c r="I2146">
        <f>_xlfn.XLOOKUP(A2146,MktTitle,MktCat,"n/a")</f>
        <v/>
      </c>
      <c r="J2146" s="3">
        <f>_xlfn.XLOOKUP(A2146,MktTitle,MktTotVol,0)</f>
        <v/>
      </c>
      <c r="K2146">
        <f>IF(H2146&gt;WhaleThreshold,"WHALE","")</f>
        <v/>
      </c>
    </row>
    <row r="2147">
      <c r="A2147" t="inlineStr">
        <is>
          <t>Will Cape Verde win the 2026 FIFA World Cup?</t>
        </is>
      </c>
      <c r="B2147" s="4" t="n">
        <v>46205</v>
      </c>
      <c r="C2147" s="5" t="n">
        <v>46205.89516203704</v>
      </c>
      <c r="D2147" t="inlineStr">
        <is>
          <t>BUY</t>
        </is>
      </c>
      <c r="E2147" t="inlineStr">
        <is>
          <t>Yes</t>
        </is>
      </c>
      <c r="F2147" s="2" t="n">
        <v>0.001</v>
      </c>
      <c r="G2147" s="6" t="n">
        <v>1000</v>
      </c>
      <c r="H2147" s="6">
        <f>F2147*G2147</f>
        <v/>
      </c>
      <c r="I2147">
        <f>_xlfn.XLOOKUP(A2147,MktTitle,MktCat,"n/a")</f>
        <v/>
      </c>
      <c r="J2147" s="3">
        <f>_xlfn.XLOOKUP(A2147,MktTitle,MktTotVol,0)</f>
        <v/>
      </c>
      <c r="K2147">
        <f>IF(H2147&gt;WhaleThreshold,"WHALE","")</f>
        <v/>
      </c>
    </row>
    <row r="2148">
      <c r="A2148" t="inlineStr">
        <is>
          <t>Will Cape Verde win the 2026 FIFA World Cup?</t>
        </is>
      </c>
      <c r="B2148" s="4" t="n">
        <v>46205</v>
      </c>
      <c r="C2148" s="5" t="n">
        <v>46205.89150462963</v>
      </c>
      <c r="D2148" t="inlineStr">
        <is>
          <t>BUY</t>
        </is>
      </c>
      <c r="E2148" t="inlineStr">
        <is>
          <t>Yes</t>
        </is>
      </c>
      <c r="F2148" s="2" t="n">
        <v>0.001</v>
      </c>
      <c r="G2148" s="6" t="n">
        <v>97080</v>
      </c>
      <c r="H2148" s="6">
        <f>F2148*G2148</f>
        <v/>
      </c>
      <c r="I2148">
        <f>_xlfn.XLOOKUP(A2148,MktTitle,MktCat,"n/a")</f>
        <v/>
      </c>
      <c r="J2148" s="3">
        <f>_xlfn.XLOOKUP(A2148,MktTitle,MktTotVol,0)</f>
        <v/>
      </c>
      <c r="K2148">
        <f>IF(H2148&gt;WhaleThreshold,"WHALE","")</f>
        <v/>
      </c>
    </row>
    <row r="2149">
      <c r="A2149" t="inlineStr">
        <is>
          <t>Will Cape Verde win the 2026 FIFA World Cup?</t>
        </is>
      </c>
      <c r="B2149" s="4" t="n">
        <v>46205</v>
      </c>
      <c r="C2149" s="5" t="n">
        <v>46205.8877662037</v>
      </c>
      <c r="D2149" t="inlineStr">
        <is>
          <t>BUY</t>
        </is>
      </c>
      <c r="E2149" t="inlineStr">
        <is>
          <t>Yes</t>
        </is>
      </c>
      <c r="F2149" s="2" t="n">
        <v>0.001</v>
      </c>
      <c r="G2149" s="6" t="n">
        <v>1000</v>
      </c>
      <c r="H2149" s="6">
        <f>F2149*G2149</f>
        <v/>
      </c>
      <c r="I2149">
        <f>_xlfn.XLOOKUP(A2149,MktTitle,MktCat,"n/a")</f>
        <v/>
      </c>
      <c r="J2149" s="3">
        <f>_xlfn.XLOOKUP(A2149,MktTitle,MktTotVol,0)</f>
        <v/>
      </c>
      <c r="K2149">
        <f>IF(H2149&gt;WhaleThreshold,"WHALE","")</f>
        <v/>
      </c>
    </row>
    <row r="2150">
      <c r="A2150" t="inlineStr">
        <is>
          <t>Will Cape Verde win the 2026 FIFA World Cup?</t>
        </is>
      </c>
      <c r="B2150" s="4" t="n">
        <v>46205</v>
      </c>
      <c r="C2150" s="5" t="n">
        <v>46205.88605324074</v>
      </c>
      <c r="D2150" t="inlineStr">
        <is>
          <t>BUY</t>
        </is>
      </c>
      <c r="E2150" t="inlineStr">
        <is>
          <t>Yes</t>
        </is>
      </c>
      <c r="F2150" s="2" t="n">
        <v>0.001</v>
      </c>
      <c r="G2150" s="6" t="n">
        <v>9000</v>
      </c>
      <c r="H2150" s="6">
        <f>F2150*G2150</f>
        <v/>
      </c>
      <c r="I2150">
        <f>_xlfn.XLOOKUP(A2150,MktTitle,MktCat,"n/a")</f>
        <v/>
      </c>
      <c r="J2150" s="3">
        <f>_xlfn.XLOOKUP(A2150,MktTitle,MktTotVol,0)</f>
        <v/>
      </c>
      <c r="K2150">
        <f>IF(H2150&gt;WhaleThreshold,"WHALE","")</f>
        <v/>
      </c>
    </row>
    <row r="2151">
      <c r="A2151" t="inlineStr">
        <is>
          <t>Will Cape Verde win the 2026 FIFA World Cup?</t>
        </is>
      </c>
      <c r="B2151" s="4" t="n">
        <v>46205</v>
      </c>
      <c r="C2151" s="5" t="n">
        <v>46205.88366898148</v>
      </c>
      <c r="D2151" t="inlineStr">
        <is>
          <t>BUY</t>
        </is>
      </c>
      <c r="E2151" t="inlineStr">
        <is>
          <t>Yes</t>
        </is>
      </c>
      <c r="F2151" s="2" t="n">
        <v>0.001</v>
      </c>
      <c r="G2151" s="6" t="n">
        <v>5000</v>
      </c>
      <c r="H2151" s="6">
        <f>F2151*G2151</f>
        <v/>
      </c>
      <c r="I2151">
        <f>_xlfn.XLOOKUP(A2151,MktTitle,MktCat,"n/a")</f>
        <v/>
      </c>
      <c r="J2151" s="3">
        <f>_xlfn.XLOOKUP(A2151,MktTitle,MktTotVol,0)</f>
        <v/>
      </c>
      <c r="K2151">
        <f>IF(H2151&gt;WhaleThreshold,"WHALE","")</f>
        <v/>
      </c>
    </row>
    <row r="2152">
      <c r="A2152" t="inlineStr">
        <is>
          <t>Will Cape Verde win the 2026 FIFA World Cup?</t>
        </is>
      </c>
      <c r="B2152" s="4" t="n">
        <v>46205</v>
      </c>
      <c r="C2152" s="5" t="n">
        <v>46205.88091435185</v>
      </c>
      <c r="D2152" t="inlineStr">
        <is>
          <t>BUY</t>
        </is>
      </c>
      <c r="E2152" t="inlineStr">
        <is>
          <t>Yes</t>
        </is>
      </c>
      <c r="F2152" s="2" t="n">
        <v>0.001</v>
      </c>
      <c r="G2152" s="6" t="n">
        <v>9568.9</v>
      </c>
      <c r="H2152" s="6">
        <f>F2152*G2152</f>
        <v/>
      </c>
      <c r="I2152">
        <f>_xlfn.XLOOKUP(A2152,MktTitle,MktCat,"n/a")</f>
        <v/>
      </c>
      <c r="J2152" s="3">
        <f>_xlfn.XLOOKUP(A2152,MktTitle,MktTotVol,0)</f>
        <v/>
      </c>
      <c r="K2152">
        <f>IF(H2152&gt;WhaleThreshold,"WHALE","")</f>
        <v/>
      </c>
    </row>
    <row r="2153">
      <c r="A2153" t="inlineStr">
        <is>
          <t>Will Cape Verde win the 2026 FIFA World Cup?</t>
        </is>
      </c>
      <c r="B2153" s="4" t="n">
        <v>46205</v>
      </c>
      <c r="C2153" s="5" t="n">
        <v>46205.87686342592</v>
      </c>
      <c r="D2153" t="inlineStr">
        <is>
          <t>BUY</t>
        </is>
      </c>
      <c r="E2153" t="inlineStr">
        <is>
          <t>Yes</t>
        </is>
      </c>
      <c r="F2153" s="2" t="n">
        <v>0.001</v>
      </c>
      <c r="G2153" s="6" t="n">
        <v>1000</v>
      </c>
      <c r="H2153" s="6">
        <f>F2153*G2153</f>
        <v/>
      </c>
      <c r="I2153">
        <f>_xlfn.XLOOKUP(A2153,MktTitle,MktCat,"n/a")</f>
        <v/>
      </c>
      <c r="J2153" s="3">
        <f>_xlfn.XLOOKUP(A2153,MktTitle,MktTotVol,0)</f>
        <v/>
      </c>
      <c r="K2153">
        <f>IF(H2153&gt;WhaleThreshold,"WHALE","")</f>
        <v/>
      </c>
    </row>
    <row r="2154">
      <c r="A2154" t="inlineStr">
        <is>
          <t>Will Cape Verde win the 2026 FIFA World Cup?</t>
        </is>
      </c>
      <c r="B2154" s="4" t="n">
        <v>46205</v>
      </c>
      <c r="C2154" s="5" t="n">
        <v>46205.87200231481</v>
      </c>
      <c r="D2154" t="inlineStr">
        <is>
          <t>BUY</t>
        </is>
      </c>
      <c r="E2154" t="inlineStr">
        <is>
          <t>Yes</t>
        </is>
      </c>
      <c r="F2154" s="2" t="n">
        <v>0.001</v>
      </c>
      <c r="G2154" s="6" t="n">
        <v>2000</v>
      </c>
      <c r="H2154" s="6">
        <f>F2154*G2154</f>
        <v/>
      </c>
      <c r="I2154">
        <f>_xlfn.XLOOKUP(A2154,MktTitle,MktCat,"n/a")</f>
        <v/>
      </c>
      <c r="J2154" s="3">
        <f>_xlfn.XLOOKUP(A2154,MktTitle,MktTotVol,0)</f>
        <v/>
      </c>
      <c r="K2154">
        <f>IF(H2154&gt;WhaleThreshold,"WHALE","")</f>
        <v/>
      </c>
    </row>
    <row r="2155">
      <c r="A2155" t="inlineStr">
        <is>
          <t>Will Cape Verde win the 2026 FIFA World Cup?</t>
        </is>
      </c>
      <c r="B2155" s="4" t="n">
        <v>46205</v>
      </c>
      <c r="C2155" s="5" t="n">
        <v>46205.86637731481</v>
      </c>
      <c r="D2155" t="inlineStr">
        <is>
          <t>BUY</t>
        </is>
      </c>
      <c r="E2155" t="inlineStr">
        <is>
          <t>Yes</t>
        </is>
      </c>
      <c r="F2155" s="2" t="n">
        <v>0.001</v>
      </c>
      <c r="G2155" s="6" t="n">
        <v>1000</v>
      </c>
      <c r="H2155" s="6">
        <f>F2155*G2155</f>
        <v/>
      </c>
      <c r="I2155">
        <f>_xlfn.XLOOKUP(A2155,MktTitle,MktCat,"n/a")</f>
        <v/>
      </c>
      <c r="J2155" s="3">
        <f>_xlfn.XLOOKUP(A2155,MktTitle,MktTotVol,0)</f>
        <v/>
      </c>
      <c r="K2155">
        <f>IF(H2155&gt;WhaleThreshold,"WHALE","")</f>
        <v/>
      </c>
    </row>
    <row r="2156">
      <c r="A2156" t="inlineStr">
        <is>
          <t>Will Cape Verde win the 2026 FIFA World Cup?</t>
        </is>
      </c>
      <c r="B2156" s="4" t="n">
        <v>46205</v>
      </c>
      <c r="C2156" s="5" t="n">
        <v>46205.86108796296</v>
      </c>
      <c r="D2156" t="inlineStr">
        <is>
          <t>BUY</t>
        </is>
      </c>
      <c r="E2156" t="inlineStr">
        <is>
          <t>Yes</t>
        </is>
      </c>
      <c r="F2156" s="2" t="n">
        <v>0.001</v>
      </c>
      <c r="G2156" s="6" t="n">
        <v>2000</v>
      </c>
      <c r="H2156" s="6">
        <f>F2156*G2156</f>
        <v/>
      </c>
      <c r="I2156">
        <f>_xlfn.XLOOKUP(A2156,MktTitle,MktCat,"n/a")</f>
        <v/>
      </c>
      <c r="J2156" s="3">
        <f>_xlfn.XLOOKUP(A2156,MktTitle,MktTotVol,0)</f>
        <v/>
      </c>
      <c r="K2156">
        <f>IF(H2156&gt;WhaleThreshold,"WHALE","")</f>
        <v/>
      </c>
    </row>
    <row r="2157">
      <c r="A2157" t="inlineStr">
        <is>
          <t>Will Cape Verde win the 2026 FIFA World Cup?</t>
        </is>
      </c>
      <c r="B2157" s="4" t="n">
        <v>46205</v>
      </c>
      <c r="C2157" s="5" t="n">
        <v>46205.84115740741</v>
      </c>
      <c r="D2157" t="inlineStr">
        <is>
          <t>BUY</t>
        </is>
      </c>
      <c r="E2157" t="inlineStr">
        <is>
          <t>Yes</t>
        </is>
      </c>
      <c r="F2157" s="2" t="n">
        <v>0.001</v>
      </c>
      <c r="G2157" s="6" t="n">
        <v>11770</v>
      </c>
      <c r="H2157" s="6">
        <f>F2157*G2157</f>
        <v/>
      </c>
      <c r="I2157">
        <f>_xlfn.XLOOKUP(A2157,MktTitle,MktCat,"n/a")</f>
        <v/>
      </c>
      <c r="J2157" s="3">
        <f>_xlfn.XLOOKUP(A2157,MktTitle,MktTotVol,0)</f>
        <v/>
      </c>
      <c r="K2157">
        <f>IF(H2157&gt;WhaleThreshold,"WHALE","")</f>
        <v/>
      </c>
    </row>
    <row r="2158">
      <c r="A2158" t="inlineStr">
        <is>
          <t>Will Cape Verde win the 2026 FIFA World Cup?</t>
        </is>
      </c>
      <c r="B2158" s="4" t="n">
        <v>46205</v>
      </c>
      <c r="C2158" s="5" t="n">
        <v>46205.81494212963</v>
      </c>
      <c r="D2158" t="inlineStr">
        <is>
          <t>BUY</t>
        </is>
      </c>
      <c r="E2158" t="inlineStr">
        <is>
          <t>Yes</t>
        </is>
      </c>
      <c r="F2158" s="2" t="n">
        <v>0.001</v>
      </c>
      <c r="G2158" s="6" t="n">
        <v>10310</v>
      </c>
      <c r="H2158" s="6">
        <f>F2158*G2158</f>
        <v/>
      </c>
      <c r="I2158">
        <f>_xlfn.XLOOKUP(A2158,MktTitle,MktCat,"n/a")</f>
        <v/>
      </c>
      <c r="J2158" s="3">
        <f>_xlfn.XLOOKUP(A2158,MktTitle,MktTotVol,0)</f>
        <v/>
      </c>
      <c r="K2158">
        <f>IF(H2158&gt;WhaleThreshold,"WHALE","")</f>
        <v/>
      </c>
    </row>
    <row r="2159">
      <c r="A2159" t="inlineStr">
        <is>
          <t>Will Cape Verde win the 2026 FIFA World Cup?</t>
        </is>
      </c>
      <c r="B2159" s="4" t="n">
        <v>46205</v>
      </c>
      <c r="C2159" s="5" t="n">
        <v>46205.81351851852</v>
      </c>
      <c r="D2159" t="inlineStr">
        <is>
          <t>BUY</t>
        </is>
      </c>
      <c r="E2159" t="inlineStr">
        <is>
          <t>Yes</t>
        </is>
      </c>
      <c r="F2159" s="2" t="n">
        <v>0.001</v>
      </c>
      <c r="G2159" s="6" t="n">
        <v>1000</v>
      </c>
      <c r="H2159" s="6">
        <f>F2159*G2159</f>
        <v/>
      </c>
      <c r="I2159">
        <f>_xlfn.XLOOKUP(A2159,MktTitle,MktCat,"n/a")</f>
        <v/>
      </c>
      <c r="J2159" s="3">
        <f>_xlfn.XLOOKUP(A2159,MktTitle,MktTotVol,0)</f>
        <v/>
      </c>
      <c r="K2159">
        <f>IF(H2159&gt;WhaleThreshold,"WHALE","")</f>
        <v/>
      </c>
    </row>
    <row r="2160">
      <c r="A2160" t="inlineStr">
        <is>
          <t>Will Cape Verde win the 2026 FIFA World Cup?</t>
        </is>
      </c>
      <c r="B2160" s="4" t="n">
        <v>46205</v>
      </c>
      <c r="C2160" s="5" t="n">
        <v>46205.81087962963</v>
      </c>
      <c r="D2160" t="inlineStr">
        <is>
          <t>BUY</t>
        </is>
      </c>
      <c r="E2160" t="inlineStr">
        <is>
          <t>Yes</t>
        </is>
      </c>
      <c r="F2160" s="2" t="n">
        <v>0.001</v>
      </c>
      <c r="G2160" s="6" t="n">
        <v>103099.9</v>
      </c>
      <c r="H2160" s="6">
        <f>F2160*G2160</f>
        <v/>
      </c>
      <c r="I2160">
        <f>_xlfn.XLOOKUP(A2160,MktTitle,MktCat,"n/a")</f>
        <v/>
      </c>
      <c r="J2160" s="3">
        <f>_xlfn.XLOOKUP(A2160,MktTitle,MktTotVol,0)</f>
        <v/>
      </c>
      <c r="K2160">
        <f>IF(H2160&gt;WhaleThreshold,"WHALE","")</f>
        <v/>
      </c>
    </row>
    <row r="2161">
      <c r="A2161" t="inlineStr">
        <is>
          <t>Will Cape Verde win the 2026 FIFA World Cup?</t>
        </is>
      </c>
      <c r="B2161" s="4" t="n">
        <v>46205</v>
      </c>
      <c r="C2161" s="5" t="n">
        <v>46205.80608796296</v>
      </c>
      <c r="D2161" t="inlineStr">
        <is>
          <t>BUY</t>
        </is>
      </c>
      <c r="E2161" t="inlineStr">
        <is>
          <t>Yes</t>
        </is>
      </c>
      <c r="F2161" s="2" t="n">
        <v>0.001</v>
      </c>
      <c r="G2161" s="6" t="n">
        <v>5000</v>
      </c>
      <c r="H2161" s="6">
        <f>F2161*G2161</f>
        <v/>
      </c>
      <c r="I2161">
        <f>_xlfn.XLOOKUP(A2161,MktTitle,MktCat,"n/a")</f>
        <v/>
      </c>
      <c r="J2161" s="3">
        <f>_xlfn.XLOOKUP(A2161,MktTitle,MktTotVol,0)</f>
        <v/>
      </c>
      <c r="K2161">
        <f>IF(H2161&gt;WhaleThreshold,"WHALE","")</f>
        <v/>
      </c>
    </row>
    <row r="2162">
      <c r="A2162" t="inlineStr">
        <is>
          <t>Will Cape Verde win the 2026 FIFA World Cup?</t>
        </is>
      </c>
      <c r="B2162" s="4" t="n">
        <v>46205</v>
      </c>
      <c r="C2162" s="5" t="n">
        <v>46205.80290509259</v>
      </c>
      <c r="D2162" t="inlineStr">
        <is>
          <t>BUY</t>
        </is>
      </c>
      <c r="E2162" t="inlineStr">
        <is>
          <t>Yes</t>
        </is>
      </c>
      <c r="F2162" s="2" t="n">
        <v>0.001</v>
      </c>
      <c r="G2162" s="6" t="n">
        <v>1940</v>
      </c>
      <c r="H2162" s="6">
        <f>F2162*G2162</f>
        <v/>
      </c>
      <c r="I2162">
        <f>_xlfn.XLOOKUP(A2162,MktTitle,MktCat,"n/a")</f>
        <v/>
      </c>
      <c r="J2162" s="3">
        <f>_xlfn.XLOOKUP(A2162,MktTitle,MktTotVol,0)</f>
        <v/>
      </c>
      <c r="K2162">
        <f>IF(H2162&gt;WhaleThreshold,"WHALE","")</f>
        <v/>
      </c>
    </row>
    <row r="2163">
      <c r="A2163" t="inlineStr">
        <is>
          <t>Will Cape Verde win the 2026 FIFA World Cup?</t>
        </is>
      </c>
      <c r="B2163" s="4" t="n">
        <v>46205</v>
      </c>
      <c r="C2163" s="5" t="n">
        <v>46205.78783564815</v>
      </c>
      <c r="D2163" t="inlineStr">
        <is>
          <t>BUY</t>
        </is>
      </c>
      <c r="E2163" t="inlineStr">
        <is>
          <t>Yes</t>
        </is>
      </c>
      <c r="F2163" s="2" t="n">
        <v>0.001</v>
      </c>
      <c r="G2163" s="6" t="n">
        <v>4850</v>
      </c>
      <c r="H2163" s="6">
        <f>F2163*G2163</f>
        <v/>
      </c>
      <c r="I2163">
        <f>_xlfn.XLOOKUP(A2163,MktTitle,MktCat,"n/a")</f>
        <v/>
      </c>
      <c r="J2163" s="3">
        <f>_xlfn.XLOOKUP(A2163,MktTitle,MktTotVol,0)</f>
        <v/>
      </c>
      <c r="K2163">
        <f>IF(H2163&gt;WhaleThreshold,"WHALE","")</f>
        <v/>
      </c>
    </row>
    <row r="2164">
      <c r="A2164" t="inlineStr">
        <is>
          <t>Will Cape Verde win the 2026 FIFA World Cup?</t>
        </is>
      </c>
      <c r="B2164" s="4" t="n">
        <v>46205</v>
      </c>
      <c r="C2164" s="5" t="n">
        <v>46205.78644675926</v>
      </c>
      <c r="D2164" t="inlineStr">
        <is>
          <t>BUY</t>
        </is>
      </c>
      <c r="E2164" t="inlineStr">
        <is>
          <t>Yes</t>
        </is>
      </c>
      <c r="F2164" s="2" t="n">
        <v>0.001</v>
      </c>
      <c r="G2164" s="6" t="n">
        <v>1000</v>
      </c>
      <c r="H2164" s="6">
        <f>F2164*G2164</f>
        <v/>
      </c>
      <c r="I2164">
        <f>_xlfn.XLOOKUP(A2164,MktTitle,MktCat,"n/a")</f>
        <v/>
      </c>
      <c r="J2164" s="3">
        <f>_xlfn.XLOOKUP(A2164,MktTitle,MktTotVol,0)</f>
        <v/>
      </c>
      <c r="K2164">
        <f>IF(H2164&gt;WhaleThreshold,"WHALE","")</f>
        <v/>
      </c>
    </row>
    <row r="2165">
      <c r="A2165" t="inlineStr">
        <is>
          <t>Will Cape Verde win the 2026 FIFA World Cup?</t>
        </is>
      </c>
      <c r="B2165" s="4" t="n">
        <v>46205</v>
      </c>
      <c r="C2165" s="5" t="n">
        <v>46205.77410879629</v>
      </c>
      <c r="D2165" t="inlineStr">
        <is>
          <t>BUY</t>
        </is>
      </c>
      <c r="E2165" t="inlineStr">
        <is>
          <t>Yes</t>
        </is>
      </c>
      <c r="F2165" s="2" t="n">
        <v>0.001</v>
      </c>
      <c r="G2165" s="6" t="n">
        <v>2000</v>
      </c>
      <c r="H2165" s="6">
        <f>F2165*G2165</f>
        <v/>
      </c>
      <c r="I2165">
        <f>_xlfn.XLOOKUP(A2165,MktTitle,MktCat,"n/a")</f>
        <v/>
      </c>
      <c r="J2165" s="3">
        <f>_xlfn.XLOOKUP(A2165,MktTitle,MktTotVol,0)</f>
        <v/>
      </c>
      <c r="K2165">
        <f>IF(H2165&gt;WhaleThreshold,"WHALE","")</f>
        <v/>
      </c>
    </row>
    <row r="2166">
      <c r="A2166" t="inlineStr">
        <is>
          <t>Will Cape Verde win the 2026 FIFA World Cup?</t>
        </is>
      </c>
      <c r="B2166" s="4" t="n">
        <v>46205</v>
      </c>
      <c r="C2166" s="5" t="n">
        <v>46205.76335648148</v>
      </c>
      <c r="D2166" t="inlineStr">
        <is>
          <t>BUY</t>
        </is>
      </c>
      <c r="E2166" t="inlineStr">
        <is>
          <t>Yes</t>
        </is>
      </c>
      <c r="F2166" s="2" t="n">
        <v>0.001</v>
      </c>
      <c r="G2166" s="6" t="n">
        <v>1450</v>
      </c>
      <c r="H2166" s="6">
        <f>F2166*G2166</f>
        <v/>
      </c>
      <c r="I2166">
        <f>_xlfn.XLOOKUP(A2166,MktTitle,MktCat,"n/a")</f>
        <v/>
      </c>
      <c r="J2166" s="3">
        <f>_xlfn.XLOOKUP(A2166,MktTitle,MktTotVol,0)</f>
        <v/>
      </c>
      <c r="K2166">
        <f>IF(H2166&gt;WhaleThreshold,"WHALE","")</f>
        <v/>
      </c>
    </row>
    <row r="2167">
      <c r="A2167" t="inlineStr">
        <is>
          <t>Will Cape Verde win the 2026 FIFA World Cup?</t>
        </is>
      </c>
      <c r="B2167" s="4" t="n">
        <v>46205</v>
      </c>
      <c r="C2167" s="5" t="n">
        <v>46205.76231481481</v>
      </c>
      <c r="D2167" t="inlineStr">
        <is>
          <t>BUY</t>
        </is>
      </c>
      <c r="E2167" t="inlineStr">
        <is>
          <t>Yes</t>
        </is>
      </c>
      <c r="F2167" s="2" t="n">
        <v>0.001</v>
      </c>
      <c r="G2167" s="6" t="n">
        <v>9700</v>
      </c>
      <c r="H2167" s="6">
        <f>F2167*G2167</f>
        <v/>
      </c>
      <c r="I2167">
        <f>_xlfn.XLOOKUP(A2167,MktTitle,MktCat,"n/a")</f>
        <v/>
      </c>
      <c r="J2167" s="3">
        <f>_xlfn.XLOOKUP(A2167,MktTitle,MktTotVol,0)</f>
        <v/>
      </c>
      <c r="K2167">
        <f>IF(H2167&gt;WhaleThreshold,"WHALE","")</f>
        <v/>
      </c>
    </row>
    <row r="2168">
      <c r="A2168" t="inlineStr">
        <is>
          <t>Will Cape Verde win the 2026 FIFA World Cup?</t>
        </is>
      </c>
      <c r="B2168" s="4" t="n">
        <v>46205</v>
      </c>
      <c r="C2168" s="5" t="n">
        <v>46205.74164351852</v>
      </c>
      <c r="D2168" t="inlineStr">
        <is>
          <t>BUY</t>
        </is>
      </c>
      <c r="E2168" t="inlineStr">
        <is>
          <t>Yes</t>
        </is>
      </c>
      <c r="F2168" s="2" t="n">
        <v>0.001</v>
      </c>
      <c r="G2168" s="6" t="n">
        <v>4850</v>
      </c>
      <c r="H2168" s="6">
        <f>F2168*G2168</f>
        <v/>
      </c>
      <c r="I2168">
        <f>_xlfn.XLOOKUP(A2168,MktTitle,MktCat,"n/a")</f>
        <v/>
      </c>
      <c r="J2168" s="3">
        <f>_xlfn.XLOOKUP(A2168,MktTitle,MktTotVol,0)</f>
        <v/>
      </c>
      <c r="K2168">
        <f>IF(H2168&gt;WhaleThreshold,"WHALE","")</f>
        <v/>
      </c>
    </row>
    <row r="2169">
      <c r="A2169" t="inlineStr">
        <is>
          <t>Will Cape Verde win the 2026 FIFA World Cup?</t>
        </is>
      </c>
      <c r="B2169" s="4" t="n">
        <v>46205</v>
      </c>
      <c r="C2169" s="5" t="n">
        <v>46205.74158564815</v>
      </c>
      <c r="D2169" t="inlineStr">
        <is>
          <t>BUY</t>
        </is>
      </c>
      <c r="E2169" t="inlineStr">
        <is>
          <t>Yes</t>
        </is>
      </c>
      <c r="F2169" s="2" t="n">
        <v>0.001</v>
      </c>
      <c r="G2169" s="6" t="n">
        <v>1000</v>
      </c>
      <c r="H2169" s="6">
        <f>F2169*G2169</f>
        <v/>
      </c>
      <c r="I2169">
        <f>_xlfn.XLOOKUP(A2169,MktTitle,MktCat,"n/a")</f>
        <v/>
      </c>
      <c r="J2169" s="3">
        <f>_xlfn.XLOOKUP(A2169,MktTitle,MktTotVol,0)</f>
        <v/>
      </c>
      <c r="K2169">
        <f>IF(H2169&gt;WhaleThreshold,"WHALE","")</f>
        <v/>
      </c>
    </row>
    <row r="2170">
      <c r="A2170" t="inlineStr">
        <is>
          <t>Will Cape Verde win the 2026 FIFA World Cup?</t>
        </is>
      </c>
      <c r="B2170" s="4" t="n">
        <v>46205</v>
      </c>
      <c r="C2170" s="5" t="n">
        <v>46205.7368287037</v>
      </c>
      <c r="D2170" t="inlineStr">
        <is>
          <t>BUY</t>
        </is>
      </c>
      <c r="E2170" t="inlineStr">
        <is>
          <t>Yes</t>
        </is>
      </c>
      <c r="F2170" s="2" t="n">
        <v>0.001</v>
      </c>
      <c r="G2170" s="6" t="n">
        <v>40000</v>
      </c>
      <c r="H2170" s="6">
        <f>F2170*G2170</f>
        <v/>
      </c>
      <c r="I2170">
        <f>_xlfn.XLOOKUP(A2170,MktTitle,MktCat,"n/a")</f>
        <v/>
      </c>
      <c r="J2170" s="3">
        <f>_xlfn.XLOOKUP(A2170,MktTitle,MktTotVol,0)</f>
        <v/>
      </c>
      <c r="K2170">
        <f>IF(H2170&gt;WhaleThreshold,"WHALE","")</f>
        <v/>
      </c>
    </row>
    <row r="2171">
      <c r="A2171" t="inlineStr">
        <is>
          <t>Will Cape Verde win the 2026 FIFA World Cup?</t>
        </is>
      </c>
      <c r="B2171" s="4" t="n">
        <v>46205</v>
      </c>
      <c r="C2171" s="5" t="n">
        <v>46205.73585648148</v>
      </c>
      <c r="D2171" t="inlineStr">
        <is>
          <t>BUY</t>
        </is>
      </c>
      <c r="E2171" t="inlineStr">
        <is>
          <t>Yes</t>
        </is>
      </c>
      <c r="F2171" s="2" t="n">
        <v>0.001</v>
      </c>
      <c r="G2171" s="6" t="n">
        <v>30000</v>
      </c>
      <c r="H2171" s="6">
        <f>F2171*G2171</f>
        <v/>
      </c>
      <c r="I2171">
        <f>_xlfn.XLOOKUP(A2171,MktTitle,MktCat,"n/a")</f>
        <v/>
      </c>
      <c r="J2171" s="3">
        <f>_xlfn.XLOOKUP(A2171,MktTitle,MktTotVol,0)</f>
        <v/>
      </c>
      <c r="K2171">
        <f>IF(H2171&gt;WhaleThreshold,"WHALE","")</f>
        <v/>
      </c>
    </row>
    <row r="2172">
      <c r="A2172" t="inlineStr">
        <is>
          <t>Will Cape Verde win the 2026 FIFA World Cup?</t>
        </is>
      </c>
      <c r="B2172" s="4" t="n">
        <v>46205</v>
      </c>
      <c r="C2172" s="5" t="n">
        <v>46205.73537037037</v>
      </c>
      <c r="D2172" t="inlineStr">
        <is>
          <t>BUY</t>
        </is>
      </c>
      <c r="E2172" t="inlineStr">
        <is>
          <t>Yes</t>
        </is>
      </c>
      <c r="F2172" s="2" t="n">
        <v>0.001</v>
      </c>
      <c r="G2172" s="6" t="n">
        <v>1456.31</v>
      </c>
      <c r="H2172" s="6">
        <f>F2172*G2172</f>
        <v/>
      </c>
      <c r="I2172">
        <f>_xlfn.XLOOKUP(A2172,MktTitle,MktCat,"n/a")</f>
        <v/>
      </c>
      <c r="J2172" s="3">
        <f>_xlfn.XLOOKUP(A2172,MktTitle,MktTotVol,0)</f>
        <v/>
      </c>
      <c r="K2172">
        <f>IF(H2172&gt;WhaleThreshold,"WHALE","")</f>
        <v/>
      </c>
    </row>
    <row r="2173">
      <c r="A2173" t="inlineStr">
        <is>
          <t>Will Cape Verde win the 2026 FIFA World Cup?</t>
        </is>
      </c>
      <c r="B2173" s="4" t="n">
        <v>46205</v>
      </c>
      <c r="C2173" s="5" t="n">
        <v>46205.73498842592</v>
      </c>
      <c r="D2173" t="inlineStr">
        <is>
          <t>BUY</t>
        </is>
      </c>
      <c r="E2173" t="inlineStr">
        <is>
          <t>Yes</t>
        </is>
      </c>
      <c r="F2173" s="2" t="n">
        <v>0.001</v>
      </c>
      <c r="G2173" s="6" t="n">
        <v>46019.12</v>
      </c>
      <c r="H2173" s="6">
        <f>F2173*G2173</f>
        <v/>
      </c>
      <c r="I2173">
        <f>_xlfn.XLOOKUP(A2173,MktTitle,MktCat,"n/a")</f>
        <v/>
      </c>
      <c r="J2173" s="3">
        <f>_xlfn.XLOOKUP(A2173,MktTitle,MktTotVol,0)</f>
        <v/>
      </c>
      <c r="K2173">
        <f>IF(H2173&gt;WhaleThreshold,"WHALE","")</f>
        <v/>
      </c>
    </row>
    <row r="2174">
      <c r="A2174" t="inlineStr">
        <is>
          <t>Will Cape Verde win the 2026 FIFA World Cup?</t>
        </is>
      </c>
      <c r="B2174" s="4" t="n">
        <v>46205</v>
      </c>
      <c r="C2174" s="5" t="n">
        <v>46205.73498842592</v>
      </c>
      <c r="D2174" t="inlineStr">
        <is>
          <t>BUY</t>
        </is>
      </c>
      <c r="E2174" t="inlineStr">
        <is>
          <t>Yes</t>
        </is>
      </c>
      <c r="F2174" s="2" t="n">
        <v>0.001</v>
      </c>
      <c r="G2174" s="6" t="n">
        <v>3980.88</v>
      </c>
      <c r="H2174" s="6">
        <f>F2174*G2174</f>
        <v/>
      </c>
      <c r="I2174">
        <f>_xlfn.XLOOKUP(A2174,MktTitle,MktCat,"n/a")</f>
        <v/>
      </c>
      <c r="J2174" s="3">
        <f>_xlfn.XLOOKUP(A2174,MktTitle,MktTotVol,0)</f>
        <v/>
      </c>
      <c r="K2174">
        <f>IF(H2174&gt;WhaleThreshold,"WHALE","")</f>
        <v/>
      </c>
    </row>
    <row r="2175">
      <c r="A2175" t="inlineStr">
        <is>
          <t>Will Cape Verde win the 2026 FIFA World Cup?</t>
        </is>
      </c>
      <c r="B2175" s="4" t="n">
        <v>46205</v>
      </c>
      <c r="C2175" s="5" t="n">
        <v>46205.72672453704</v>
      </c>
      <c r="D2175" t="inlineStr">
        <is>
          <t>BUY</t>
        </is>
      </c>
      <c r="E2175" t="inlineStr">
        <is>
          <t>Yes</t>
        </is>
      </c>
      <c r="F2175" s="2" t="n">
        <v>0.001</v>
      </c>
      <c r="G2175" s="6" t="n">
        <v>342918.2</v>
      </c>
      <c r="H2175" s="6">
        <f>F2175*G2175</f>
        <v/>
      </c>
      <c r="I2175">
        <f>_xlfn.XLOOKUP(A2175,MktTitle,MktCat,"n/a")</f>
        <v/>
      </c>
      <c r="J2175" s="3">
        <f>_xlfn.XLOOKUP(A2175,MktTitle,MktTotVol,0)</f>
        <v/>
      </c>
      <c r="K2175">
        <f>IF(H2175&gt;WhaleThreshold,"WHALE","")</f>
        <v/>
      </c>
    </row>
    <row r="2176">
      <c r="A2176" t="inlineStr">
        <is>
          <t>Will Cape Verde win the 2026 FIFA World Cup?</t>
        </is>
      </c>
      <c r="B2176" s="4" t="n">
        <v>46205</v>
      </c>
      <c r="C2176" s="5" t="n">
        <v>46205.72672453704</v>
      </c>
      <c r="D2176" t="inlineStr">
        <is>
          <t>BUY</t>
        </is>
      </c>
      <c r="E2176" t="inlineStr">
        <is>
          <t>Yes</t>
        </is>
      </c>
      <c r="F2176" s="2" t="n">
        <v>0.001</v>
      </c>
      <c r="G2176" s="6" t="n">
        <v>57081.8</v>
      </c>
      <c r="H2176" s="6">
        <f>F2176*G2176</f>
        <v/>
      </c>
      <c r="I2176">
        <f>_xlfn.XLOOKUP(A2176,MktTitle,MktCat,"n/a")</f>
        <v/>
      </c>
      <c r="J2176" s="3">
        <f>_xlfn.XLOOKUP(A2176,MktTitle,MktTotVol,0)</f>
        <v/>
      </c>
      <c r="K2176">
        <f>IF(H2176&gt;WhaleThreshold,"WHALE","")</f>
        <v/>
      </c>
    </row>
    <row r="2177">
      <c r="A2177" t="inlineStr">
        <is>
          <t>Will Cape Verde win the 2026 FIFA World Cup?</t>
        </is>
      </c>
      <c r="B2177" s="4" t="n">
        <v>46205</v>
      </c>
      <c r="C2177" s="5" t="n">
        <v>46205.71841435185</v>
      </c>
      <c r="D2177" t="inlineStr">
        <is>
          <t>BUY</t>
        </is>
      </c>
      <c r="E2177" t="inlineStr">
        <is>
          <t>Yes</t>
        </is>
      </c>
      <c r="F2177" s="2" t="n">
        <v>0.001</v>
      </c>
      <c r="G2177" s="6" t="n">
        <v>4000</v>
      </c>
      <c r="H2177" s="6">
        <f>F2177*G2177</f>
        <v/>
      </c>
      <c r="I2177">
        <f>_xlfn.XLOOKUP(A2177,MktTitle,MktCat,"n/a")</f>
        <v/>
      </c>
      <c r="J2177" s="3">
        <f>_xlfn.XLOOKUP(A2177,MktTitle,MktTotVol,0)</f>
        <v/>
      </c>
      <c r="K2177">
        <f>IF(H2177&gt;WhaleThreshold,"WHALE","")</f>
        <v/>
      </c>
    </row>
    <row r="2178">
      <c r="A2178" t="inlineStr">
        <is>
          <t>Will Cape Verde win the 2026 FIFA World Cup?</t>
        </is>
      </c>
      <c r="B2178" s="4" t="n">
        <v>46205</v>
      </c>
      <c r="C2178" s="5" t="n">
        <v>46205.71758101852</v>
      </c>
      <c r="D2178" t="inlineStr">
        <is>
          <t>BUY</t>
        </is>
      </c>
      <c r="E2178" t="inlineStr">
        <is>
          <t>Yes</t>
        </is>
      </c>
      <c r="F2178" s="2" t="n">
        <v>0.001</v>
      </c>
      <c r="G2178" s="6" t="n">
        <v>1000</v>
      </c>
      <c r="H2178" s="6">
        <f>F2178*G2178</f>
        <v/>
      </c>
      <c r="I2178">
        <f>_xlfn.XLOOKUP(A2178,MktTitle,MktCat,"n/a")</f>
        <v/>
      </c>
      <c r="J2178" s="3">
        <f>_xlfn.XLOOKUP(A2178,MktTitle,MktTotVol,0)</f>
        <v/>
      </c>
      <c r="K2178">
        <f>IF(H2178&gt;WhaleThreshold,"WHALE","")</f>
        <v/>
      </c>
    </row>
    <row r="2179">
      <c r="A2179" t="inlineStr">
        <is>
          <t>Will Cape Verde win the 2026 FIFA World Cup?</t>
        </is>
      </c>
      <c r="B2179" s="4" t="n">
        <v>46205</v>
      </c>
      <c r="C2179" s="5" t="n">
        <v>46205.7156712963</v>
      </c>
      <c r="D2179" t="inlineStr">
        <is>
          <t>BUY</t>
        </is>
      </c>
      <c r="E2179" t="inlineStr">
        <is>
          <t>Yes</t>
        </is>
      </c>
      <c r="F2179" s="2" t="n">
        <v>0.001</v>
      </c>
      <c r="G2179" s="6" t="n">
        <v>4520</v>
      </c>
      <c r="H2179" s="6">
        <f>F2179*G2179</f>
        <v/>
      </c>
      <c r="I2179">
        <f>_xlfn.XLOOKUP(A2179,MktTitle,MktCat,"n/a")</f>
        <v/>
      </c>
      <c r="J2179" s="3">
        <f>_xlfn.XLOOKUP(A2179,MktTitle,MktTotVol,0)</f>
        <v/>
      </c>
      <c r="K2179">
        <f>IF(H2179&gt;WhaleThreshold,"WHALE","")</f>
        <v/>
      </c>
    </row>
    <row r="2180">
      <c r="A2180" t="inlineStr">
        <is>
          <t>Will Cape Verde win the 2026 FIFA World Cup?</t>
        </is>
      </c>
      <c r="B2180" s="4" t="n">
        <v>46205</v>
      </c>
      <c r="C2180" s="5" t="n">
        <v>46205.71244212963</v>
      </c>
      <c r="D2180" t="inlineStr">
        <is>
          <t>BUY</t>
        </is>
      </c>
      <c r="E2180" t="inlineStr">
        <is>
          <t>Yes</t>
        </is>
      </c>
      <c r="F2180" s="2" t="n">
        <v>0.001</v>
      </c>
      <c r="G2180" s="6" t="n">
        <v>9700</v>
      </c>
      <c r="H2180" s="6">
        <f>F2180*G2180</f>
        <v/>
      </c>
      <c r="I2180">
        <f>_xlfn.XLOOKUP(A2180,MktTitle,MktCat,"n/a")</f>
        <v/>
      </c>
      <c r="J2180" s="3">
        <f>_xlfn.XLOOKUP(A2180,MktTitle,MktTotVol,0)</f>
        <v/>
      </c>
      <c r="K2180">
        <f>IF(H2180&gt;WhaleThreshold,"WHALE","")</f>
        <v/>
      </c>
    </row>
    <row r="2181">
      <c r="A2181" t="inlineStr">
        <is>
          <t>Will Cape Verde win the 2026 FIFA World Cup?</t>
        </is>
      </c>
      <c r="B2181" s="4" t="n">
        <v>46205</v>
      </c>
      <c r="C2181" s="5" t="n">
        <v>46205.71179398148</v>
      </c>
      <c r="D2181" t="inlineStr">
        <is>
          <t>BUY</t>
        </is>
      </c>
      <c r="E2181" t="inlineStr">
        <is>
          <t>Yes</t>
        </is>
      </c>
      <c r="F2181" s="2" t="n">
        <v>0.001</v>
      </c>
      <c r="G2181" s="6" t="n">
        <v>5000</v>
      </c>
      <c r="H2181" s="6">
        <f>F2181*G2181</f>
        <v/>
      </c>
      <c r="I2181">
        <f>_xlfn.XLOOKUP(A2181,MktTitle,MktCat,"n/a")</f>
        <v/>
      </c>
      <c r="J2181" s="3">
        <f>_xlfn.XLOOKUP(A2181,MktTitle,MktTotVol,0)</f>
        <v/>
      </c>
      <c r="K2181">
        <f>IF(H2181&gt;WhaleThreshold,"WHALE","")</f>
        <v/>
      </c>
    </row>
    <row r="2182">
      <c r="A2182" t="inlineStr">
        <is>
          <t>Will Cape Verde win the 2026 FIFA World Cup?</t>
        </is>
      </c>
      <c r="B2182" s="4" t="n">
        <v>46205</v>
      </c>
      <c r="C2182" s="5" t="n">
        <v>46205.70759259259</v>
      </c>
      <c r="D2182" t="inlineStr">
        <is>
          <t>BUY</t>
        </is>
      </c>
      <c r="E2182" t="inlineStr">
        <is>
          <t>Yes</t>
        </is>
      </c>
      <c r="F2182" s="2" t="n">
        <v>0.001</v>
      </c>
      <c r="G2182" s="6" t="n">
        <v>1000</v>
      </c>
      <c r="H2182" s="6">
        <f>F2182*G2182</f>
        <v/>
      </c>
      <c r="I2182">
        <f>_xlfn.XLOOKUP(A2182,MktTitle,MktCat,"n/a")</f>
        <v/>
      </c>
      <c r="J2182" s="3">
        <f>_xlfn.XLOOKUP(A2182,MktTitle,MktTotVol,0)</f>
        <v/>
      </c>
      <c r="K2182">
        <f>IF(H2182&gt;WhaleThreshold,"WHALE","")</f>
        <v/>
      </c>
    </row>
    <row r="2183">
      <c r="A2183" t="inlineStr">
        <is>
          <t>Will Cape Verde win the 2026 FIFA World Cup?</t>
        </is>
      </c>
      <c r="B2183" s="4" t="n">
        <v>46205</v>
      </c>
      <c r="C2183" s="5" t="n">
        <v>46205.70271990741</v>
      </c>
      <c r="D2183" t="inlineStr">
        <is>
          <t>BUY</t>
        </is>
      </c>
      <c r="E2183" t="inlineStr">
        <is>
          <t>Yes</t>
        </is>
      </c>
      <c r="F2183" s="2" t="n">
        <v>0.001</v>
      </c>
      <c r="G2183" s="6" t="n">
        <v>19000</v>
      </c>
      <c r="H2183" s="6">
        <f>F2183*G2183</f>
        <v/>
      </c>
      <c r="I2183">
        <f>_xlfn.XLOOKUP(A2183,MktTitle,MktCat,"n/a")</f>
        <v/>
      </c>
      <c r="J2183" s="3">
        <f>_xlfn.XLOOKUP(A2183,MktTitle,MktTotVol,0)</f>
        <v/>
      </c>
      <c r="K2183">
        <f>IF(H2183&gt;WhaleThreshold,"WHALE","")</f>
        <v/>
      </c>
    </row>
    <row r="2184">
      <c r="A2184" t="inlineStr">
        <is>
          <t>Will Cape Verde win the 2026 FIFA World Cup?</t>
        </is>
      </c>
      <c r="B2184" s="4" t="n">
        <v>46205</v>
      </c>
      <c r="C2184" s="5" t="n">
        <v>46205.69678240741</v>
      </c>
      <c r="D2184" t="inlineStr">
        <is>
          <t>BUY</t>
        </is>
      </c>
      <c r="E2184" t="inlineStr">
        <is>
          <t>Yes</t>
        </is>
      </c>
      <c r="F2184" s="2" t="n">
        <v>0.001</v>
      </c>
      <c r="G2184" s="6" t="n">
        <v>1000</v>
      </c>
      <c r="H2184" s="6">
        <f>F2184*G2184</f>
        <v/>
      </c>
      <c r="I2184">
        <f>_xlfn.XLOOKUP(A2184,MktTitle,MktCat,"n/a")</f>
        <v/>
      </c>
      <c r="J2184" s="3">
        <f>_xlfn.XLOOKUP(A2184,MktTitle,MktTotVol,0)</f>
        <v/>
      </c>
      <c r="K2184">
        <f>IF(H2184&gt;WhaleThreshold,"WHALE","")</f>
        <v/>
      </c>
    </row>
    <row r="2185">
      <c r="A2185" t="inlineStr">
        <is>
          <t>Will Cape Verde win the 2026 FIFA World Cup?</t>
        </is>
      </c>
      <c r="B2185" s="4" t="n">
        <v>46205</v>
      </c>
      <c r="C2185" s="5" t="n">
        <v>46205.68706018518</v>
      </c>
      <c r="D2185" t="inlineStr">
        <is>
          <t>BUY</t>
        </is>
      </c>
      <c r="E2185" t="inlineStr">
        <is>
          <t>Yes</t>
        </is>
      </c>
      <c r="F2185" s="2" t="n">
        <v>0.001</v>
      </c>
      <c r="G2185" s="6" t="n">
        <v>1000</v>
      </c>
      <c r="H2185" s="6">
        <f>F2185*G2185</f>
        <v/>
      </c>
      <c r="I2185">
        <f>_xlfn.XLOOKUP(A2185,MktTitle,MktCat,"n/a")</f>
        <v/>
      </c>
      <c r="J2185" s="3">
        <f>_xlfn.XLOOKUP(A2185,MktTitle,MktTotVol,0)</f>
        <v/>
      </c>
      <c r="K2185">
        <f>IF(H2185&gt;WhaleThreshold,"WHALE","")</f>
        <v/>
      </c>
    </row>
    <row r="2186">
      <c r="A2186" t="inlineStr">
        <is>
          <t>Will Cape Verde win the 2026 FIFA World Cup?</t>
        </is>
      </c>
      <c r="B2186" s="4" t="n">
        <v>46205</v>
      </c>
      <c r="C2186" s="5" t="n">
        <v>46205.68591435185</v>
      </c>
      <c r="D2186" t="inlineStr">
        <is>
          <t>BUY</t>
        </is>
      </c>
      <c r="E2186" t="inlineStr">
        <is>
          <t>Yes</t>
        </is>
      </c>
      <c r="F2186" s="2" t="n">
        <v>0.001</v>
      </c>
      <c r="G2186" s="6" t="n">
        <v>1940</v>
      </c>
      <c r="H2186" s="6">
        <f>F2186*G2186</f>
        <v/>
      </c>
      <c r="I2186">
        <f>_xlfn.XLOOKUP(A2186,MktTitle,MktCat,"n/a")</f>
        <v/>
      </c>
      <c r="J2186" s="3">
        <f>_xlfn.XLOOKUP(A2186,MktTitle,MktTotVol,0)</f>
        <v/>
      </c>
      <c r="K2186">
        <f>IF(H2186&gt;WhaleThreshold,"WHALE","")</f>
        <v/>
      </c>
    </row>
    <row r="2187">
      <c r="A2187" t="inlineStr">
        <is>
          <t>Will Cape Verde win the 2026 FIFA World Cup?</t>
        </is>
      </c>
      <c r="B2187" s="4" t="n">
        <v>46205</v>
      </c>
      <c r="C2187" s="5" t="n">
        <v>46205.67056712963</v>
      </c>
      <c r="D2187" t="inlineStr">
        <is>
          <t>BUY</t>
        </is>
      </c>
      <c r="E2187" t="inlineStr">
        <is>
          <t>Yes</t>
        </is>
      </c>
      <c r="F2187" s="2" t="n">
        <v>0.001</v>
      </c>
      <c r="G2187" s="6" t="n">
        <v>3883.49</v>
      </c>
      <c r="H2187" s="6">
        <f>F2187*G2187</f>
        <v/>
      </c>
      <c r="I2187">
        <f>_xlfn.XLOOKUP(A2187,MktTitle,MktCat,"n/a")</f>
        <v/>
      </c>
      <c r="J2187" s="3">
        <f>_xlfn.XLOOKUP(A2187,MktTitle,MktTotVol,0)</f>
        <v/>
      </c>
      <c r="K2187">
        <f>IF(H2187&gt;WhaleThreshold,"WHALE","")</f>
        <v/>
      </c>
    </row>
    <row r="2188">
      <c r="A2188" t="inlineStr">
        <is>
          <t>Will Cape Verde win the 2026 FIFA World Cup?</t>
        </is>
      </c>
      <c r="B2188" s="4" t="n">
        <v>46205</v>
      </c>
      <c r="C2188" s="5" t="n">
        <v>46205.66914351852</v>
      </c>
      <c r="D2188" t="inlineStr">
        <is>
          <t>BUY</t>
        </is>
      </c>
      <c r="E2188" t="inlineStr">
        <is>
          <t>Yes</t>
        </is>
      </c>
      <c r="F2188" s="2" t="n">
        <v>0.001</v>
      </c>
      <c r="G2188" s="6" t="n">
        <v>1000</v>
      </c>
      <c r="H2188" s="6">
        <f>F2188*G2188</f>
        <v/>
      </c>
      <c r="I2188">
        <f>_xlfn.XLOOKUP(A2188,MktTitle,MktCat,"n/a")</f>
        <v/>
      </c>
      <c r="J2188" s="3">
        <f>_xlfn.XLOOKUP(A2188,MktTitle,MktTotVol,0)</f>
        <v/>
      </c>
      <c r="K2188">
        <f>IF(H2188&gt;WhaleThreshold,"WHALE","")</f>
        <v/>
      </c>
    </row>
    <row r="2189">
      <c r="A2189" t="inlineStr">
        <is>
          <t>Will Cape Verde win the 2026 FIFA World Cup?</t>
        </is>
      </c>
      <c r="B2189" s="4" t="n">
        <v>46205</v>
      </c>
      <c r="C2189" s="5" t="n">
        <v>46205.6672800926</v>
      </c>
      <c r="D2189" t="inlineStr">
        <is>
          <t>BUY</t>
        </is>
      </c>
      <c r="E2189" t="inlineStr">
        <is>
          <t>Yes</t>
        </is>
      </c>
      <c r="F2189" s="2" t="n">
        <v>0.001</v>
      </c>
      <c r="G2189" s="6" t="n">
        <v>1000</v>
      </c>
      <c r="H2189" s="6">
        <f>F2189*G2189</f>
        <v/>
      </c>
      <c r="I2189">
        <f>_xlfn.XLOOKUP(A2189,MktTitle,MktCat,"n/a")</f>
        <v/>
      </c>
      <c r="J2189" s="3">
        <f>_xlfn.XLOOKUP(A2189,MktTitle,MktTotVol,0)</f>
        <v/>
      </c>
      <c r="K2189">
        <f>IF(H2189&gt;WhaleThreshold,"WHALE","")</f>
        <v/>
      </c>
    </row>
    <row r="2190">
      <c r="A2190" t="inlineStr">
        <is>
          <t>Will Cape Verde win the 2026 FIFA World Cup?</t>
        </is>
      </c>
      <c r="B2190" s="4" t="n">
        <v>46205</v>
      </c>
      <c r="C2190" s="5" t="n">
        <v>46205.66646990741</v>
      </c>
      <c r="D2190" t="inlineStr">
        <is>
          <t>BUY</t>
        </is>
      </c>
      <c r="E2190" t="inlineStr">
        <is>
          <t>Yes</t>
        </is>
      </c>
      <c r="F2190" s="2" t="n">
        <v>0.001</v>
      </c>
      <c r="G2190" s="6" t="n">
        <v>1000</v>
      </c>
      <c r="H2190" s="6">
        <f>F2190*G2190</f>
        <v/>
      </c>
      <c r="I2190">
        <f>_xlfn.XLOOKUP(A2190,MktTitle,MktCat,"n/a")</f>
        <v/>
      </c>
      <c r="J2190" s="3">
        <f>_xlfn.XLOOKUP(A2190,MktTitle,MktTotVol,0)</f>
        <v/>
      </c>
      <c r="K2190">
        <f>IF(H2190&gt;WhaleThreshold,"WHALE","")</f>
        <v/>
      </c>
    </row>
    <row r="2191">
      <c r="A2191" t="inlineStr">
        <is>
          <t>Will Cape Verde win the 2026 FIFA World Cup?</t>
        </is>
      </c>
      <c r="B2191" s="4" t="n">
        <v>46205</v>
      </c>
      <c r="C2191" s="5" t="n">
        <v>46205.66237268518</v>
      </c>
      <c r="D2191" t="inlineStr">
        <is>
          <t>BUY</t>
        </is>
      </c>
      <c r="E2191" t="inlineStr">
        <is>
          <t>Yes</t>
        </is>
      </c>
      <c r="F2191" s="2" t="n">
        <v>0.001</v>
      </c>
      <c r="G2191" s="6" t="n">
        <v>2550</v>
      </c>
      <c r="H2191" s="6">
        <f>F2191*G2191</f>
        <v/>
      </c>
      <c r="I2191">
        <f>_xlfn.XLOOKUP(A2191,MktTitle,MktCat,"n/a")</f>
        <v/>
      </c>
      <c r="J2191" s="3">
        <f>_xlfn.XLOOKUP(A2191,MktTitle,MktTotVol,0)</f>
        <v/>
      </c>
      <c r="K2191">
        <f>IF(H2191&gt;WhaleThreshold,"WHALE","")</f>
        <v/>
      </c>
    </row>
    <row r="2192">
      <c r="A2192" t="inlineStr">
        <is>
          <t>Will Cape Verde win the 2026 FIFA World Cup?</t>
        </is>
      </c>
      <c r="B2192" s="4" t="n">
        <v>46205</v>
      </c>
      <c r="C2192" s="5" t="n">
        <v>46205.65908564815</v>
      </c>
      <c r="D2192" t="inlineStr">
        <is>
          <t>BUY</t>
        </is>
      </c>
      <c r="E2192" t="inlineStr">
        <is>
          <t>Yes</t>
        </is>
      </c>
      <c r="F2192" s="2" t="n">
        <v>0.001</v>
      </c>
      <c r="G2192" s="6" t="n">
        <v>1450</v>
      </c>
      <c r="H2192" s="6">
        <f>F2192*G2192</f>
        <v/>
      </c>
      <c r="I2192">
        <f>_xlfn.XLOOKUP(A2192,MktTitle,MktCat,"n/a")</f>
        <v/>
      </c>
      <c r="J2192" s="3">
        <f>_xlfn.XLOOKUP(A2192,MktTitle,MktTotVol,0)</f>
        <v/>
      </c>
      <c r="K2192">
        <f>IF(H2192&gt;WhaleThreshold,"WHALE","")</f>
        <v/>
      </c>
    </row>
    <row r="2193">
      <c r="A2193" t="inlineStr">
        <is>
          <t>Will Cape Verde win the 2026 FIFA World Cup?</t>
        </is>
      </c>
      <c r="B2193" s="4" t="n">
        <v>46205</v>
      </c>
      <c r="C2193" s="5" t="n">
        <v>46205.65768518519</v>
      </c>
      <c r="D2193" t="inlineStr">
        <is>
          <t>SELL</t>
        </is>
      </c>
      <c r="E2193" t="inlineStr">
        <is>
          <t>No</t>
        </is>
      </c>
      <c r="F2193" s="2" t="n">
        <v>0.999</v>
      </c>
      <c r="G2193" s="6" t="n">
        <v>30.24</v>
      </c>
      <c r="H2193" s="6">
        <f>F2193*G2193</f>
        <v/>
      </c>
      <c r="I2193">
        <f>_xlfn.XLOOKUP(A2193,MktTitle,MktCat,"n/a")</f>
        <v/>
      </c>
      <c r="J2193" s="3">
        <f>_xlfn.XLOOKUP(A2193,MktTitle,MktTotVol,0)</f>
        <v/>
      </c>
      <c r="K2193">
        <f>IF(H2193&gt;WhaleThreshold,"WHALE","")</f>
        <v/>
      </c>
    </row>
    <row r="2194">
      <c r="A2194" t="inlineStr">
        <is>
          <t>Will Cape Verde win the 2026 FIFA World Cup?</t>
        </is>
      </c>
      <c r="B2194" s="4" t="n">
        <v>46205</v>
      </c>
      <c r="C2194" s="5" t="n">
        <v>46205.65768518519</v>
      </c>
      <c r="D2194" t="inlineStr">
        <is>
          <t>SELL</t>
        </is>
      </c>
      <c r="E2194" t="inlineStr">
        <is>
          <t>No</t>
        </is>
      </c>
      <c r="F2194" s="2" t="n">
        <v>0.999</v>
      </c>
      <c r="G2194" s="6" t="n">
        <v>19.91</v>
      </c>
      <c r="H2194" s="6">
        <f>F2194*G2194</f>
        <v/>
      </c>
      <c r="I2194">
        <f>_xlfn.XLOOKUP(A2194,MktTitle,MktCat,"n/a")</f>
        <v/>
      </c>
      <c r="J2194" s="3">
        <f>_xlfn.XLOOKUP(A2194,MktTitle,MktTotVol,0)</f>
        <v/>
      </c>
      <c r="K2194">
        <f>IF(H2194&gt;WhaleThreshold,"WHALE","")</f>
        <v/>
      </c>
    </row>
    <row r="2195">
      <c r="A2195" t="inlineStr">
        <is>
          <t>Will Cape Verde win the 2026 FIFA World Cup?</t>
        </is>
      </c>
      <c r="B2195" s="4" t="n">
        <v>46205</v>
      </c>
      <c r="C2195" s="5" t="n">
        <v>46205.65766203704</v>
      </c>
      <c r="D2195" t="inlineStr">
        <is>
          <t>BUY</t>
        </is>
      </c>
      <c r="E2195" t="inlineStr">
        <is>
          <t>Yes</t>
        </is>
      </c>
      <c r="F2195" s="2" t="n">
        <v>0.001</v>
      </c>
      <c r="G2195" s="6" t="n">
        <v>5820</v>
      </c>
      <c r="H2195" s="6">
        <f>F2195*G2195</f>
        <v/>
      </c>
      <c r="I2195">
        <f>_xlfn.XLOOKUP(A2195,MktTitle,MktCat,"n/a")</f>
        <v/>
      </c>
      <c r="J2195" s="3">
        <f>_xlfn.XLOOKUP(A2195,MktTitle,MktTotVol,0)</f>
        <v/>
      </c>
      <c r="K2195">
        <f>IF(H2195&gt;WhaleThreshold,"WHALE","")</f>
        <v/>
      </c>
    </row>
    <row r="2196">
      <c r="A2196" t="inlineStr">
        <is>
          <t>Will Cape Verde win the 2026 FIFA World Cup?</t>
        </is>
      </c>
      <c r="B2196" s="4" t="n">
        <v>46205</v>
      </c>
      <c r="C2196" s="5" t="n">
        <v>46205.63703703704</v>
      </c>
      <c r="D2196" t="inlineStr">
        <is>
          <t>BUY</t>
        </is>
      </c>
      <c r="E2196" t="inlineStr">
        <is>
          <t>Yes</t>
        </is>
      </c>
      <c r="F2196" s="2" t="n">
        <v>0.001</v>
      </c>
      <c r="G2196" s="6" t="n">
        <v>2000</v>
      </c>
      <c r="H2196" s="6">
        <f>F2196*G2196</f>
        <v/>
      </c>
      <c r="I2196">
        <f>_xlfn.XLOOKUP(A2196,MktTitle,MktCat,"n/a")</f>
        <v/>
      </c>
      <c r="J2196" s="3">
        <f>_xlfn.XLOOKUP(A2196,MktTitle,MktTotVol,0)</f>
        <v/>
      </c>
      <c r="K2196">
        <f>IF(H2196&gt;WhaleThreshold,"WHALE","")</f>
        <v/>
      </c>
    </row>
    <row r="2197">
      <c r="A2197" t="inlineStr">
        <is>
          <t>Will Cape Verde win the 2026 FIFA World Cup?</t>
        </is>
      </c>
      <c r="B2197" s="4" t="n">
        <v>46205</v>
      </c>
      <c r="C2197" s="5" t="n">
        <v>46205.63596064815</v>
      </c>
      <c r="D2197" t="inlineStr">
        <is>
          <t>BUY</t>
        </is>
      </c>
      <c r="E2197" t="inlineStr">
        <is>
          <t>Yes</t>
        </is>
      </c>
      <c r="F2197" s="2" t="n">
        <v>0.001</v>
      </c>
      <c r="G2197" s="6" t="n">
        <v>1000</v>
      </c>
      <c r="H2197" s="6">
        <f>F2197*G2197</f>
        <v/>
      </c>
      <c r="I2197">
        <f>_xlfn.XLOOKUP(A2197,MktTitle,MktCat,"n/a")</f>
        <v/>
      </c>
      <c r="J2197" s="3">
        <f>_xlfn.XLOOKUP(A2197,MktTitle,MktTotVol,0)</f>
        <v/>
      </c>
      <c r="K2197">
        <f>IF(H2197&gt;WhaleThreshold,"WHALE","")</f>
        <v/>
      </c>
    </row>
    <row r="2198">
      <c r="A2198" t="inlineStr">
        <is>
          <t>Will Cape Verde win the 2026 FIFA World Cup?</t>
        </is>
      </c>
      <c r="B2198" s="4" t="n">
        <v>46205</v>
      </c>
      <c r="C2198" s="5" t="n">
        <v>46205.62723379629</v>
      </c>
      <c r="D2198" t="inlineStr">
        <is>
          <t>BUY</t>
        </is>
      </c>
      <c r="E2198" t="inlineStr">
        <is>
          <t>Yes</t>
        </is>
      </c>
      <c r="F2198" s="2" t="n">
        <v>0.001</v>
      </c>
      <c r="G2198" s="6" t="n">
        <v>1000</v>
      </c>
      <c r="H2198" s="6">
        <f>F2198*G2198</f>
        <v/>
      </c>
      <c r="I2198">
        <f>_xlfn.XLOOKUP(A2198,MktTitle,MktCat,"n/a")</f>
        <v/>
      </c>
      <c r="J2198" s="3">
        <f>_xlfn.XLOOKUP(A2198,MktTitle,MktTotVol,0)</f>
        <v/>
      </c>
      <c r="K2198">
        <f>IF(H2198&gt;WhaleThreshold,"WHALE","")</f>
        <v/>
      </c>
    </row>
    <row r="2199">
      <c r="A2199" t="inlineStr">
        <is>
          <t>Will Cape Verde win the 2026 FIFA World Cup?</t>
        </is>
      </c>
      <c r="B2199" s="4" t="n">
        <v>46205</v>
      </c>
      <c r="C2199" s="5" t="n">
        <v>46205.62549768519</v>
      </c>
      <c r="D2199" t="inlineStr">
        <is>
          <t>BUY</t>
        </is>
      </c>
      <c r="E2199" t="inlineStr">
        <is>
          <t>Yes</t>
        </is>
      </c>
      <c r="F2199" s="2" t="n">
        <v>0.001</v>
      </c>
      <c r="G2199" s="6" t="n">
        <v>2000</v>
      </c>
      <c r="H2199" s="6">
        <f>F2199*G2199</f>
        <v/>
      </c>
      <c r="I2199">
        <f>_xlfn.XLOOKUP(A2199,MktTitle,MktCat,"n/a")</f>
        <v/>
      </c>
      <c r="J2199" s="3">
        <f>_xlfn.XLOOKUP(A2199,MktTitle,MktTotVol,0)</f>
        <v/>
      </c>
      <c r="K2199">
        <f>IF(H2199&gt;WhaleThreshold,"WHALE","")</f>
        <v/>
      </c>
    </row>
    <row r="2200">
      <c r="A2200" t="inlineStr">
        <is>
          <t>Will Cape Verde win the 2026 FIFA World Cup?</t>
        </is>
      </c>
      <c r="B2200" s="4" t="n">
        <v>46205</v>
      </c>
      <c r="C2200" s="5" t="n">
        <v>46205.62502314815</v>
      </c>
      <c r="D2200" t="inlineStr">
        <is>
          <t>SELL</t>
        </is>
      </c>
      <c r="E2200" t="inlineStr">
        <is>
          <t>No</t>
        </is>
      </c>
      <c r="F2200" s="2" t="n">
        <v>0.999</v>
      </c>
      <c r="G2200" s="6" t="n">
        <v>19.58</v>
      </c>
      <c r="H2200" s="6">
        <f>F2200*G2200</f>
        <v/>
      </c>
      <c r="I2200">
        <f>_xlfn.XLOOKUP(A2200,MktTitle,MktCat,"n/a")</f>
        <v/>
      </c>
      <c r="J2200" s="3">
        <f>_xlfn.XLOOKUP(A2200,MktTitle,MktTotVol,0)</f>
        <v/>
      </c>
      <c r="K2200">
        <f>IF(H2200&gt;WhaleThreshold,"WHALE","")</f>
        <v/>
      </c>
    </row>
    <row r="2201">
      <c r="A2201" t="inlineStr">
        <is>
          <t>Will Cape Verde win the 2026 FIFA World Cup?</t>
        </is>
      </c>
      <c r="B2201" s="4" t="n">
        <v>46205</v>
      </c>
      <c r="C2201" s="5" t="n">
        <v>46205.62502314815</v>
      </c>
      <c r="D2201" t="inlineStr">
        <is>
          <t>SELL</t>
        </is>
      </c>
      <c r="E2201" t="inlineStr">
        <is>
          <t>No</t>
        </is>
      </c>
      <c r="F2201" s="2" t="n">
        <v>0.999</v>
      </c>
      <c r="G2201" s="6" t="n">
        <v>20.36</v>
      </c>
      <c r="H2201" s="6">
        <f>F2201*G2201</f>
        <v/>
      </c>
      <c r="I2201">
        <f>_xlfn.XLOOKUP(A2201,MktTitle,MktCat,"n/a")</f>
        <v/>
      </c>
      <c r="J2201" s="3">
        <f>_xlfn.XLOOKUP(A2201,MktTitle,MktTotVol,0)</f>
        <v/>
      </c>
      <c r="K2201">
        <f>IF(H2201&gt;WhaleThreshold,"WHALE","")</f>
        <v/>
      </c>
    </row>
    <row r="2202">
      <c r="A2202" t="inlineStr">
        <is>
          <t>Will Cape Verde win the 2026 FIFA World Cup?</t>
        </is>
      </c>
      <c r="B2202" s="4" t="n">
        <v>46205</v>
      </c>
      <c r="C2202" s="5" t="n">
        <v>46205.62501157408</v>
      </c>
      <c r="D2202" t="inlineStr">
        <is>
          <t>SELL</t>
        </is>
      </c>
      <c r="E2202" t="inlineStr">
        <is>
          <t>No</t>
        </is>
      </c>
      <c r="F2202" s="2" t="n">
        <v>0.999</v>
      </c>
      <c r="G2202" s="6" t="n">
        <v>19.59</v>
      </c>
      <c r="H2202" s="6">
        <f>F2202*G2202</f>
        <v/>
      </c>
      <c r="I2202">
        <f>_xlfn.XLOOKUP(A2202,MktTitle,MktCat,"n/a")</f>
        <v/>
      </c>
      <c r="J2202" s="3">
        <f>_xlfn.XLOOKUP(A2202,MktTitle,MktTotVol,0)</f>
        <v/>
      </c>
      <c r="K2202">
        <f>IF(H2202&gt;WhaleThreshold,"WHALE","")</f>
        <v/>
      </c>
    </row>
    <row r="2203">
      <c r="A2203" t="inlineStr">
        <is>
          <t>Will Cape Verde win the 2026 FIFA World Cup?</t>
        </is>
      </c>
      <c r="B2203" s="4" t="n">
        <v>46205</v>
      </c>
      <c r="C2203" s="5" t="n">
        <v>46205.62501157408</v>
      </c>
      <c r="D2203" t="inlineStr">
        <is>
          <t>SELL</t>
        </is>
      </c>
      <c r="E2203" t="inlineStr">
        <is>
          <t>No</t>
        </is>
      </c>
      <c r="F2203" s="2" t="n">
        <v>0.999</v>
      </c>
      <c r="G2203" s="6" t="n">
        <v>20.39</v>
      </c>
      <c r="H2203" s="6">
        <f>F2203*G2203</f>
        <v/>
      </c>
      <c r="I2203">
        <f>_xlfn.XLOOKUP(A2203,MktTitle,MktCat,"n/a")</f>
        <v/>
      </c>
      <c r="J2203" s="3">
        <f>_xlfn.XLOOKUP(A2203,MktTitle,MktTotVol,0)</f>
        <v/>
      </c>
      <c r="K2203">
        <f>IF(H2203&gt;WhaleThreshold,"WHALE","")</f>
        <v/>
      </c>
    </row>
    <row r="2204">
      <c r="A2204" t="inlineStr">
        <is>
          <t>Will Cape Verde win the 2026 FIFA World Cup?</t>
        </is>
      </c>
      <c r="B2204" s="4" t="n">
        <v>46205</v>
      </c>
      <c r="C2204" s="5" t="n">
        <v>46205.62498842592</v>
      </c>
      <c r="D2204" t="inlineStr">
        <is>
          <t>BUY</t>
        </is>
      </c>
      <c r="E2204" t="inlineStr">
        <is>
          <t>Yes</t>
        </is>
      </c>
      <c r="F2204" s="2" t="n">
        <v>0.001</v>
      </c>
      <c r="G2204" s="6" t="n">
        <v>1456.31</v>
      </c>
      <c r="H2204" s="6">
        <f>F2204*G2204</f>
        <v/>
      </c>
      <c r="I2204">
        <f>_xlfn.XLOOKUP(A2204,MktTitle,MktCat,"n/a")</f>
        <v/>
      </c>
      <c r="J2204" s="3">
        <f>_xlfn.XLOOKUP(A2204,MktTitle,MktTotVol,0)</f>
        <v/>
      </c>
      <c r="K2204">
        <f>IF(H2204&gt;WhaleThreshold,"WHALE","")</f>
        <v/>
      </c>
    </row>
    <row r="2205">
      <c r="A2205" t="inlineStr">
        <is>
          <t>Will Cape Verde win the 2026 FIFA World Cup?</t>
        </is>
      </c>
      <c r="B2205" s="4" t="n">
        <v>46205</v>
      </c>
      <c r="C2205" s="5" t="n">
        <v>46205.61283564815</v>
      </c>
      <c r="D2205" t="inlineStr">
        <is>
          <t>BUY</t>
        </is>
      </c>
      <c r="E2205" t="inlineStr">
        <is>
          <t>Yes</t>
        </is>
      </c>
      <c r="F2205" s="2" t="n">
        <v>0.001</v>
      </c>
      <c r="G2205" s="6" t="n">
        <v>1000</v>
      </c>
      <c r="H2205" s="6">
        <f>F2205*G2205</f>
        <v/>
      </c>
      <c r="I2205">
        <f>_xlfn.XLOOKUP(A2205,MktTitle,MktCat,"n/a")</f>
        <v/>
      </c>
      <c r="J2205" s="3">
        <f>_xlfn.XLOOKUP(A2205,MktTitle,MktTotVol,0)</f>
        <v/>
      </c>
      <c r="K2205">
        <f>IF(H2205&gt;WhaleThreshold,"WHALE","")</f>
        <v/>
      </c>
    </row>
    <row r="2206">
      <c r="A2206" t="inlineStr">
        <is>
          <t>Will Cape Verde win the 2026 FIFA World Cup?</t>
        </is>
      </c>
      <c r="B2206" s="4" t="n">
        <v>46205</v>
      </c>
      <c r="C2206" s="5" t="n">
        <v>46205.60931712963</v>
      </c>
      <c r="D2206" t="inlineStr">
        <is>
          <t>BUY</t>
        </is>
      </c>
      <c r="E2206" t="inlineStr">
        <is>
          <t>Yes</t>
        </is>
      </c>
      <c r="F2206" s="2" t="n">
        <v>0.001</v>
      </c>
      <c r="G2206" s="6" t="n">
        <v>6000</v>
      </c>
      <c r="H2206" s="6">
        <f>F2206*G2206</f>
        <v/>
      </c>
      <c r="I2206">
        <f>_xlfn.XLOOKUP(A2206,MktTitle,MktCat,"n/a")</f>
        <v/>
      </c>
      <c r="J2206" s="3">
        <f>_xlfn.XLOOKUP(A2206,MktTitle,MktTotVol,0)</f>
        <v/>
      </c>
      <c r="K2206">
        <f>IF(H2206&gt;WhaleThreshold,"WHALE","")</f>
        <v/>
      </c>
    </row>
    <row r="2207">
      <c r="A2207" t="inlineStr">
        <is>
          <t>Will Cape Verde win the 2026 FIFA World Cup?</t>
        </is>
      </c>
      <c r="B2207" s="4" t="n">
        <v>46205</v>
      </c>
      <c r="C2207" s="5" t="n">
        <v>46205.60518518519</v>
      </c>
      <c r="D2207" t="inlineStr">
        <is>
          <t>BUY</t>
        </is>
      </c>
      <c r="E2207" t="inlineStr">
        <is>
          <t>Yes</t>
        </is>
      </c>
      <c r="F2207" s="2" t="n">
        <v>0.001</v>
      </c>
      <c r="G2207" s="6" t="n">
        <v>1000</v>
      </c>
      <c r="H2207" s="6">
        <f>F2207*G2207</f>
        <v/>
      </c>
      <c r="I2207">
        <f>_xlfn.XLOOKUP(A2207,MktTitle,MktCat,"n/a")</f>
        <v/>
      </c>
      <c r="J2207" s="3">
        <f>_xlfn.XLOOKUP(A2207,MktTitle,MktTotVol,0)</f>
        <v/>
      </c>
      <c r="K2207">
        <f>IF(H2207&gt;WhaleThreshold,"WHALE","")</f>
        <v/>
      </c>
    </row>
    <row r="2208">
      <c r="A2208" t="inlineStr">
        <is>
          <t>Will Cape Verde win the 2026 FIFA World Cup?</t>
        </is>
      </c>
      <c r="B2208" s="4" t="n">
        <v>46205</v>
      </c>
      <c r="C2208" s="5" t="n">
        <v>46205.60174768518</v>
      </c>
      <c r="D2208" t="inlineStr">
        <is>
          <t>BUY</t>
        </is>
      </c>
      <c r="E2208" t="inlineStr">
        <is>
          <t>Yes</t>
        </is>
      </c>
      <c r="F2208" s="2" t="n">
        <v>0.001</v>
      </c>
      <c r="G2208" s="6" t="n">
        <v>58250</v>
      </c>
      <c r="H2208" s="6">
        <f>F2208*G2208</f>
        <v/>
      </c>
      <c r="I2208">
        <f>_xlfn.XLOOKUP(A2208,MktTitle,MktCat,"n/a")</f>
        <v/>
      </c>
      <c r="J2208" s="3">
        <f>_xlfn.XLOOKUP(A2208,MktTitle,MktTotVol,0)</f>
        <v/>
      </c>
      <c r="K2208">
        <f>IF(H2208&gt;WhaleThreshold,"WHALE","")</f>
        <v/>
      </c>
    </row>
    <row r="2209">
      <c r="A2209" t="inlineStr">
        <is>
          <t>Will Cape Verde win the 2026 FIFA World Cup?</t>
        </is>
      </c>
      <c r="B2209" s="4" t="n">
        <v>46205</v>
      </c>
      <c r="C2209" s="5" t="n">
        <v>46205.5949537037</v>
      </c>
      <c r="D2209" t="inlineStr">
        <is>
          <t>BUY</t>
        </is>
      </c>
      <c r="E2209" t="inlineStr">
        <is>
          <t>Yes</t>
        </is>
      </c>
      <c r="F2209" s="2" t="n">
        <v>0.001</v>
      </c>
      <c r="G2209" s="6" t="n">
        <v>9708.73</v>
      </c>
      <c r="H2209" s="6">
        <f>F2209*G2209</f>
        <v/>
      </c>
      <c r="I2209">
        <f>_xlfn.XLOOKUP(A2209,MktTitle,MktCat,"n/a")</f>
        <v/>
      </c>
      <c r="J2209" s="3">
        <f>_xlfn.XLOOKUP(A2209,MktTitle,MktTotVol,0)</f>
        <v/>
      </c>
      <c r="K2209">
        <f>IF(H2209&gt;WhaleThreshold,"WHALE","")</f>
        <v/>
      </c>
    </row>
    <row r="2210">
      <c r="A2210" t="inlineStr">
        <is>
          <t>Will Cape Verde win the 2026 FIFA World Cup?</t>
        </is>
      </c>
      <c r="B2210" s="4" t="n">
        <v>46205</v>
      </c>
      <c r="C2210" s="5" t="n">
        <v>46205.58287037037</v>
      </c>
      <c r="D2210" t="inlineStr">
        <is>
          <t>BUY</t>
        </is>
      </c>
      <c r="E2210" t="inlineStr">
        <is>
          <t>Yes</t>
        </is>
      </c>
      <c r="F2210" s="2" t="n">
        <v>0.001</v>
      </c>
      <c r="G2210" s="6" t="n">
        <v>4850</v>
      </c>
      <c r="H2210" s="6">
        <f>F2210*G2210</f>
        <v/>
      </c>
      <c r="I2210">
        <f>_xlfn.XLOOKUP(A2210,MktTitle,MktCat,"n/a")</f>
        <v/>
      </c>
      <c r="J2210" s="3">
        <f>_xlfn.XLOOKUP(A2210,MktTitle,MktTotVol,0)</f>
        <v/>
      </c>
      <c r="K2210">
        <f>IF(H2210&gt;WhaleThreshold,"WHALE","")</f>
        <v/>
      </c>
    </row>
    <row r="2211">
      <c r="A2211" t="inlineStr">
        <is>
          <t>Will Cape Verde win the 2026 FIFA World Cup?</t>
        </is>
      </c>
      <c r="B2211" s="4" t="n">
        <v>46205</v>
      </c>
      <c r="C2211" s="5" t="n">
        <v>46205.57855324074</v>
      </c>
      <c r="D2211" t="inlineStr">
        <is>
          <t>BUY</t>
        </is>
      </c>
      <c r="E2211" t="inlineStr">
        <is>
          <t>Yes</t>
        </is>
      </c>
      <c r="F2211" s="2" t="n">
        <v>0.001</v>
      </c>
      <c r="G2211" s="6" t="n">
        <v>5446.6</v>
      </c>
      <c r="H2211" s="6">
        <f>F2211*G2211</f>
        <v/>
      </c>
      <c r="I2211">
        <f>_xlfn.XLOOKUP(A2211,MktTitle,MktCat,"n/a")</f>
        <v/>
      </c>
      <c r="J2211" s="3">
        <f>_xlfn.XLOOKUP(A2211,MktTitle,MktTotVol,0)</f>
        <v/>
      </c>
      <c r="K2211">
        <f>IF(H2211&gt;WhaleThreshold,"WHALE","")</f>
        <v/>
      </c>
    </row>
    <row r="2212">
      <c r="A2212" t="inlineStr">
        <is>
          <t>Will Cape Verde win the 2026 FIFA World Cup?</t>
        </is>
      </c>
      <c r="B2212" s="4" t="n">
        <v>46205</v>
      </c>
      <c r="C2212" s="5" t="n">
        <v>46205.57248842593</v>
      </c>
      <c r="D2212" t="inlineStr">
        <is>
          <t>BUY</t>
        </is>
      </c>
      <c r="E2212" t="inlineStr">
        <is>
          <t>Yes</t>
        </is>
      </c>
      <c r="F2212" s="2" t="n">
        <v>0.001</v>
      </c>
      <c r="G2212" s="6" t="n">
        <v>1940</v>
      </c>
      <c r="H2212" s="6">
        <f>F2212*G2212</f>
        <v/>
      </c>
      <c r="I2212">
        <f>_xlfn.XLOOKUP(A2212,MktTitle,MktCat,"n/a")</f>
        <v/>
      </c>
      <c r="J2212" s="3">
        <f>_xlfn.XLOOKUP(A2212,MktTitle,MktTotVol,0)</f>
        <v/>
      </c>
      <c r="K2212">
        <f>IF(H2212&gt;WhaleThreshold,"WHALE","")</f>
        <v/>
      </c>
    </row>
    <row r="2213">
      <c r="A2213" t="inlineStr">
        <is>
          <t>Will Cape Verde win the 2026 FIFA World Cup?</t>
        </is>
      </c>
      <c r="B2213" s="4" t="n">
        <v>46205</v>
      </c>
      <c r="C2213" s="5" t="n">
        <v>46205.57094907408</v>
      </c>
      <c r="D2213" t="inlineStr">
        <is>
          <t>BUY</t>
        </is>
      </c>
      <c r="E2213" t="inlineStr">
        <is>
          <t>Yes</t>
        </is>
      </c>
      <c r="F2213" s="2" t="n">
        <v>0.001</v>
      </c>
      <c r="G2213" s="6" t="n">
        <v>50900</v>
      </c>
      <c r="H2213" s="6">
        <f>F2213*G2213</f>
        <v/>
      </c>
      <c r="I2213">
        <f>_xlfn.XLOOKUP(A2213,MktTitle,MktCat,"n/a")</f>
        <v/>
      </c>
      <c r="J2213" s="3">
        <f>_xlfn.XLOOKUP(A2213,MktTitle,MktTotVol,0)</f>
        <v/>
      </c>
      <c r="K2213">
        <f>IF(H2213&gt;WhaleThreshold,"WHALE","")</f>
        <v/>
      </c>
    </row>
    <row r="2214">
      <c r="A2214" t="inlineStr">
        <is>
          <t>Will Cape Verde win the 2026 FIFA World Cup?</t>
        </is>
      </c>
      <c r="B2214" s="4" t="n">
        <v>46205</v>
      </c>
      <c r="C2214" s="5" t="n">
        <v>46205.56799768518</v>
      </c>
      <c r="D2214" t="inlineStr">
        <is>
          <t>BUY</t>
        </is>
      </c>
      <c r="E2214" t="inlineStr">
        <is>
          <t>Yes</t>
        </is>
      </c>
      <c r="F2214" s="2" t="n">
        <v>0.001</v>
      </c>
      <c r="G2214" s="6" t="n">
        <v>2910</v>
      </c>
      <c r="H2214" s="6">
        <f>F2214*G2214</f>
        <v/>
      </c>
      <c r="I2214">
        <f>_xlfn.XLOOKUP(A2214,MktTitle,MktCat,"n/a")</f>
        <v/>
      </c>
      <c r="J2214" s="3">
        <f>_xlfn.XLOOKUP(A2214,MktTitle,MktTotVol,0)</f>
        <v/>
      </c>
      <c r="K2214">
        <f>IF(H2214&gt;WhaleThreshold,"WHALE","")</f>
        <v/>
      </c>
    </row>
    <row r="2215">
      <c r="A2215" t="inlineStr">
        <is>
          <t>Will Cape Verde win the 2026 FIFA World Cup?</t>
        </is>
      </c>
      <c r="B2215" s="4" t="n">
        <v>46205</v>
      </c>
      <c r="C2215" s="5" t="n">
        <v>46205.5625462963</v>
      </c>
      <c r="D2215" t="inlineStr">
        <is>
          <t>SELL</t>
        </is>
      </c>
      <c r="E2215" t="inlineStr">
        <is>
          <t>No</t>
        </is>
      </c>
      <c r="F2215" s="2" t="n">
        <v>0.999</v>
      </c>
      <c r="G2215" s="6" t="n">
        <v>193</v>
      </c>
      <c r="H2215" s="6">
        <f>F2215*G2215</f>
        <v/>
      </c>
      <c r="I2215">
        <f>_xlfn.XLOOKUP(A2215,MktTitle,MktCat,"n/a")</f>
        <v/>
      </c>
      <c r="J2215" s="3">
        <f>_xlfn.XLOOKUP(A2215,MktTitle,MktTotVol,0)</f>
        <v/>
      </c>
      <c r="K2215">
        <f>IF(H2215&gt;WhaleThreshold,"WHALE","")</f>
        <v/>
      </c>
    </row>
    <row r="2216">
      <c r="A2216" t="inlineStr">
        <is>
          <t>Will Cape Verde win the 2026 FIFA World Cup?</t>
        </is>
      </c>
      <c r="B2216" s="4" t="n">
        <v>46205</v>
      </c>
      <c r="C2216" s="5" t="n">
        <v>46205.5496412037</v>
      </c>
      <c r="D2216" t="inlineStr">
        <is>
          <t>BUY</t>
        </is>
      </c>
      <c r="E2216" t="inlineStr">
        <is>
          <t>Yes</t>
        </is>
      </c>
      <c r="F2216" s="2" t="n">
        <v>0.001</v>
      </c>
      <c r="G2216" s="6" t="n">
        <v>1940</v>
      </c>
      <c r="H2216" s="6">
        <f>F2216*G2216</f>
        <v/>
      </c>
      <c r="I2216">
        <f>_xlfn.XLOOKUP(A2216,MktTitle,MktCat,"n/a")</f>
        <v/>
      </c>
      <c r="J2216" s="3">
        <f>_xlfn.XLOOKUP(A2216,MktTitle,MktTotVol,0)</f>
        <v/>
      </c>
      <c r="K2216">
        <f>IF(H2216&gt;WhaleThreshold,"WHALE","")</f>
        <v/>
      </c>
    </row>
    <row r="2217">
      <c r="A2217" t="inlineStr">
        <is>
          <t>Will Cape Verde win the 2026 FIFA World Cup?</t>
        </is>
      </c>
      <c r="B2217" s="4" t="n">
        <v>46205</v>
      </c>
      <c r="C2217" s="5" t="n">
        <v>46205.54914351852</v>
      </c>
      <c r="D2217" t="inlineStr">
        <is>
          <t>BUY</t>
        </is>
      </c>
      <c r="E2217" t="inlineStr">
        <is>
          <t>Yes</t>
        </is>
      </c>
      <c r="F2217" s="2" t="n">
        <v>0.001</v>
      </c>
      <c r="G2217" s="6" t="n">
        <v>1450</v>
      </c>
      <c r="H2217" s="6">
        <f>F2217*G2217</f>
        <v/>
      </c>
      <c r="I2217">
        <f>_xlfn.XLOOKUP(A2217,MktTitle,MktCat,"n/a")</f>
        <v/>
      </c>
      <c r="J2217" s="3">
        <f>_xlfn.XLOOKUP(A2217,MktTitle,MktTotVol,0)</f>
        <v/>
      </c>
      <c r="K2217">
        <f>IF(H2217&gt;WhaleThreshold,"WHALE","")</f>
        <v/>
      </c>
    </row>
    <row r="2218">
      <c r="A2218" t="inlineStr">
        <is>
          <t>Will Cape Verde win the 2026 FIFA World Cup?</t>
        </is>
      </c>
      <c r="B2218" s="4" t="n">
        <v>46205</v>
      </c>
      <c r="C2218" s="5" t="n">
        <v>46205.54863425926</v>
      </c>
      <c r="D2218" t="inlineStr">
        <is>
          <t>BUY</t>
        </is>
      </c>
      <c r="E2218" t="inlineStr">
        <is>
          <t>Yes</t>
        </is>
      </c>
      <c r="F2218" s="2" t="n">
        <v>0.001</v>
      </c>
      <c r="G2218" s="6" t="n">
        <v>30000</v>
      </c>
      <c r="H2218" s="6">
        <f>F2218*G2218</f>
        <v/>
      </c>
      <c r="I2218">
        <f>_xlfn.XLOOKUP(A2218,MktTitle,MktCat,"n/a")</f>
        <v/>
      </c>
      <c r="J2218" s="3">
        <f>_xlfn.XLOOKUP(A2218,MktTitle,MktTotVol,0)</f>
        <v/>
      </c>
      <c r="K2218">
        <f>IF(H2218&gt;WhaleThreshold,"WHALE","")</f>
        <v/>
      </c>
    </row>
    <row r="2219">
      <c r="A2219" t="inlineStr">
        <is>
          <t>Will Cape Verde win the 2026 FIFA World Cup?</t>
        </is>
      </c>
      <c r="B2219" s="4" t="n">
        <v>46205</v>
      </c>
      <c r="C2219" s="5" t="n">
        <v>46205.54733796296</v>
      </c>
      <c r="D2219" t="inlineStr">
        <is>
          <t>BUY</t>
        </is>
      </c>
      <c r="E2219" t="inlineStr">
        <is>
          <t>Yes</t>
        </is>
      </c>
      <c r="F2219" s="2" t="n">
        <v>0.001</v>
      </c>
      <c r="G2219" s="6" t="n">
        <v>1000</v>
      </c>
      <c r="H2219" s="6">
        <f>F2219*G2219</f>
        <v/>
      </c>
      <c r="I2219">
        <f>_xlfn.XLOOKUP(A2219,MktTitle,MktCat,"n/a")</f>
        <v/>
      </c>
      <c r="J2219" s="3">
        <f>_xlfn.XLOOKUP(A2219,MktTitle,MktTotVol,0)</f>
        <v/>
      </c>
      <c r="K2219">
        <f>IF(H2219&gt;WhaleThreshold,"WHALE","")</f>
        <v/>
      </c>
    </row>
    <row r="2220">
      <c r="A2220" t="inlineStr">
        <is>
          <t>Will Cape Verde win the 2026 FIFA World Cup?</t>
        </is>
      </c>
      <c r="B2220" s="4" t="n">
        <v>46205</v>
      </c>
      <c r="C2220" s="5" t="n">
        <v>46205.53665509259</v>
      </c>
      <c r="D2220" t="inlineStr">
        <is>
          <t>BUY</t>
        </is>
      </c>
      <c r="E2220" t="inlineStr">
        <is>
          <t>Yes</t>
        </is>
      </c>
      <c r="F2220" s="2" t="n">
        <v>0.001</v>
      </c>
      <c r="G2220" s="6" t="n">
        <v>1940</v>
      </c>
      <c r="H2220" s="6">
        <f>F2220*G2220</f>
        <v/>
      </c>
      <c r="I2220">
        <f>_xlfn.XLOOKUP(A2220,MktTitle,MktCat,"n/a")</f>
        <v/>
      </c>
      <c r="J2220" s="3">
        <f>_xlfn.XLOOKUP(A2220,MktTitle,MktTotVol,0)</f>
        <v/>
      </c>
      <c r="K2220">
        <f>IF(H2220&gt;WhaleThreshold,"WHALE","")</f>
        <v/>
      </c>
    </row>
    <row r="2221">
      <c r="A2221" t="inlineStr">
        <is>
          <t>Will Cape Verde win the 2026 FIFA World Cup?</t>
        </is>
      </c>
      <c r="B2221" s="4" t="n">
        <v>46205</v>
      </c>
      <c r="C2221" s="5" t="n">
        <v>46205.53568287037</v>
      </c>
      <c r="D2221" t="inlineStr">
        <is>
          <t>BUY</t>
        </is>
      </c>
      <c r="E2221" t="inlineStr">
        <is>
          <t>Yes</t>
        </is>
      </c>
      <c r="F2221" s="2" t="n">
        <v>0.001</v>
      </c>
      <c r="G2221" s="6" t="n">
        <v>9700</v>
      </c>
      <c r="H2221" s="6">
        <f>F2221*G2221</f>
        <v/>
      </c>
      <c r="I2221">
        <f>_xlfn.XLOOKUP(A2221,MktTitle,MktCat,"n/a")</f>
        <v/>
      </c>
      <c r="J2221" s="3">
        <f>_xlfn.XLOOKUP(A2221,MktTitle,MktTotVol,0)</f>
        <v/>
      </c>
      <c r="K2221">
        <f>IF(H2221&gt;WhaleThreshold,"WHALE","")</f>
        <v/>
      </c>
    </row>
    <row r="2222">
      <c r="A2222" t="inlineStr">
        <is>
          <t>Will Cape Verde win the 2026 FIFA World Cup?</t>
        </is>
      </c>
      <c r="B2222" s="4" t="n">
        <v>46205</v>
      </c>
      <c r="C2222" s="5" t="n">
        <v>46205.53233796296</v>
      </c>
      <c r="D2222" t="inlineStr">
        <is>
          <t>BUY</t>
        </is>
      </c>
      <c r="E2222" t="inlineStr">
        <is>
          <t>Yes</t>
        </is>
      </c>
      <c r="F2222" s="2" t="n">
        <v>0.001</v>
      </c>
      <c r="G2222" s="6" t="n">
        <v>2000</v>
      </c>
      <c r="H2222" s="6">
        <f>F2222*G2222</f>
        <v/>
      </c>
      <c r="I2222">
        <f>_xlfn.XLOOKUP(A2222,MktTitle,MktCat,"n/a")</f>
        <v/>
      </c>
      <c r="J2222" s="3">
        <f>_xlfn.XLOOKUP(A2222,MktTitle,MktTotVol,0)</f>
        <v/>
      </c>
      <c r="K2222">
        <f>IF(H2222&gt;WhaleThreshold,"WHALE","")</f>
        <v/>
      </c>
    </row>
    <row r="2223">
      <c r="A2223" t="inlineStr">
        <is>
          <t>Will Cape Verde win the 2026 FIFA World Cup?</t>
        </is>
      </c>
      <c r="B2223" s="4" t="n">
        <v>46205</v>
      </c>
      <c r="C2223" s="5" t="n">
        <v>46205.52827546297</v>
      </c>
      <c r="D2223" t="inlineStr">
        <is>
          <t>BUY</t>
        </is>
      </c>
      <c r="E2223" t="inlineStr">
        <is>
          <t>Yes</t>
        </is>
      </c>
      <c r="F2223" s="2" t="n">
        <v>0.001</v>
      </c>
      <c r="G2223" s="6" t="n">
        <v>100000</v>
      </c>
      <c r="H2223" s="6">
        <f>F2223*G2223</f>
        <v/>
      </c>
      <c r="I2223">
        <f>_xlfn.XLOOKUP(A2223,MktTitle,MktCat,"n/a")</f>
        <v/>
      </c>
      <c r="J2223" s="3">
        <f>_xlfn.XLOOKUP(A2223,MktTitle,MktTotVol,0)</f>
        <v/>
      </c>
      <c r="K2223">
        <f>IF(H2223&gt;WhaleThreshold,"WHALE","")</f>
        <v/>
      </c>
    </row>
    <row r="2224">
      <c r="A2224" t="inlineStr">
        <is>
          <t>Will Cape Verde win the 2026 FIFA World Cup?</t>
        </is>
      </c>
      <c r="B2224" s="4" t="n">
        <v>46205</v>
      </c>
      <c r="C2224" s="5" t="n">
        <v>46205.52478009259</v>
      </c>
      <c r="D2224" t="inlineStr">
        <is>
          <t>BUY</t>
        </is>
      </c>
      <c r="E2224" t="inlineStr">
        <is>
          <t>Yes</t>
        </is>
      </c>
      <c r="F2224" s="2" t="n">
        <v>0.001</v>
      </c>
      <c r="G2224" s="6" t="n">
        <v>3000</v>
      </c>
      <c r="H2224" s="6">
        <f>F2224*G2224</f>
        <v/>
      </c>
      <c r="I2224">
        <f>_xlfn.XLOOKUP(A2224,MktTitle,MktCat,"n/a")</f>
        <v/>
      </c>
      <c r="J2224" s="3">
        <f>_xlfn.XLOOKUP(A2224,MktTitle,MktTotVol,0)</f>
        <v/>
      </c>
      <c r="K2224">
        <f>IF(H2224&gt;WhaleThreshold,"WHALE","")</f>
        <v/>
      </c>
    </row>
    <row r="2225">
      <c r="A2225" t="inlineStr">
        <is>
          <t>Will Cape Verde win the 2026 FIFA World Cup?</t>
        </is>
      </c>
      <c r="B2225" s="4" t="n">
        <v>46205</v>
      </c>
      <c r="C2225" s="5" t="n">
        <v>46205.51931712963</v>
      </c>
      <c r="D2225" t="inlineStr">
        <is>
          <t>BUY</t>
        </is>
      </c>
      <c r="E2225" t="inlineStr">
        <is>
          <t>Yes</t>
        </is>
      </c>
      <c r="F2225" s="2" t="n">
        <v>0.001</v>
      </c>
      <c r="G2225" s="6" t="n">
        <v>10000</v>
      </c>
      <c r="H2225" s="6">
        <f>F2225*G2225</f>
        <v/>
      </c>
      <c r="I2225">
        <f>_xlfn.XLOOKUP(A2225,MktTitle,MktCat,"n/a")</f>
        <v/>
      </c>
      <c r="J2225" s="3">
        <f>_xlfn.XLOOKUP(A2225,MktTitle,MktTotVol,0)</f>
        <v/>
      </c>
      <c r="K2225">
        <f>IF(H2225&gt;WhaleThreshold,"WHALE","")</f>
        <v/>
      </c>
    </row>
    <row r="2226">
      <c r="A2226" t="inlineStr">
        <is>
          <t>Will Cape Verde win the 2026 FIFA World Cup?</t>
        </is>
      </c>
      <c r="B2226" s="4" t="n">
        <v>46205</v>
      </c>
      <c r="C2226" s="5" t="n">
        <v>46205.51528935185</v>
      </c>
      <c r="D2226" t="inlineStr">
        <is>
          <t>BUY</t>
        </is>
      </c>
      <c r="E2226" t="inlineStr">
        <is>
          <t>Yes</t>
        </is>
      </c>
      <c r="F2226" s="2" t="n">
        <v>0.001</v>
      </c>
      <c r="G2226" s="6" t="n">
        <v>5000</v>
      </c>
      <c r="H2226" s="6">
        <f>F2226*G2226</f>
        <v/>
      </c>
      <c r="I2226">
        <f>_xlfn.XLOOKUP(A2226,MktTitle,MktCat,"n/a")</f>
        <v/>
      </c>
      <c r="J2226" s="3">
        <f>_xlfn.XLOOKUP(A2226,MktTitle,MktTotVol,0)</f>
        <v/>
      </c>
      <c r="K2226">
        <f>IF(H2226&gt;WhaleThreshold,"WHALE","")</f>
        <v/>
      </c>
    </row>
    <row r="2227">
      <c r="A2227" t="inlineStr">
        <is>
          <t>Will Cape Verde win the 2026 FIFA World Cup?</t>
        </is>
      </c>
      <c r="B2227" s="4" t="n">
        <v>46205</v>
      </c>
      <c r="C2227" s="5" t="n">
        <v>46205.50879629629</v>
      </c>
      <c r="D2227" t="inlineStr">
        <is>
          <t>BUY</t>
        </is>
      </c>
      <c r="E2227" t="inlineStr">
        <is>
          <t>Yes</t>
        </is>
      </c>
      <c r="F2227" s="2" t="n">
        <v>0.001</v>
      </c>
      <c r="G2227" s="6" t="n">
        <v>7910</v>
      </c>
      <c r="H2227" s="6">
        <f>F2227*G2227</f>
        <v/>
      </c>
      <c r="I2227">
        <f>_xlfn.XLOOKUP(A2227,MktTitle,MktCat,"n/a")</f>
        <v/>
      </c>
      <c r="J2227" s="3">
        <f>_xlfn.XLOOKUP(A2227,MktTitle,MktTotVol,0)</f>
        <v/>
      </c>
      <c r="K2227">
        <f>IF(H2227&gt;WhaleThreshold,"WHALE","")</f>
        <v/>
      </c>
    </row>
    <row r="2228">
      <c r="A2228" t="inlineStr">
        <is>
          <t>Will Cape Verde win the 2026 FIFA World Cup?</t>
        </is>
      </c>
      <c r="B2228" s="4" t="n">
        <v>46205</v>
      </c>
      <c r="C2228" s="5" t="n">
        <v>46205.50528935185</v>
      </c>
      <c r="D2228" t="inlineStr">
        <is>
          <t>BUY</t>
        </is>
      </c>
      <c r="E2228" t="inlineStr">
        <is>
          <t>Yes</t>
        </is>
      </c>
      <c r="F2228" s="2" t="n">
        <v>0.001</v>
      </c>
      <c r="G2228" s="6" t="n">
        <v>1000</v>
      </c>
      <c r="H2228" s="6">
        <f>F2228*G2228</f>
        <v/>
      </c>
      <c r="I2228">
        <f>_xlfn.XLOOKUP(A2228,MktTitle,MktCat,"n/a")</f>
        <v/>
      </c>
      <c r="J2228" s="3">
        <f>_xlfn.XLOOKUP(A2228,MktTitle,MktTotVol,0)</f>
        <v/>
      </c>
      <c r="K2228">
        <f>IF(H2228&gt;WhaleThreshold,"WHALE","")</f>
        <v/>
      </c>
    </row>
    <row r="2229">
      <c r="A2229" t="inlineStr">
        <is>
          <t>Will Cape Verde win the 2026 FIFA World Cup?</t>
        </is>
      </c>
      <c r="B2229" s="4" t="n">
        <v>46205</v>
      </c>
      <c r="C2229" s="5" t="n">
        <v>46205.50436342593</v>
      </c>
      <c r="D2229" t="inlineStr">
        <is>
          <t>BUY</t>
        </is>
      </c>
      <c r="E2229" t="inlineStr">
        <is>
          <t>Yes</t>
        </is>
      </c>
      <c r="F2229" s="2" t="n">
        <v>0.001</v>
      </c>
      <c r="G2229" s="6" t="n">
        <v>14360</v>
      </c>
      <c r="H2229" s="6">
        <f>F2229*G2229</f>
        <v/>
      </c>
      <c r="I2229">
        <f>_xlfn.XLOOKUP(A2229,MktTitle,MktCat,"n/a")</f>
        <v/>
      </c>
      <c r="J2229" s="3">
        <f>_xlfn.XLOOKUP(A2229,MktTitle,MktTotVol,0)</f>
        <v/>
      </c>
      <c r="K2229">
        <f>IF(H2229&gt;WhaleThreshold,"WHALE","")</f>
        <v/>
      </c>
    </row>
    <row r="2230">
      <c r="A2230" t="inlineStr">
        <is>
          <t>Will Cape Verde win the 2026 FIFA World Cup?</t>
        </is>
      </c>
      <c r="B2230" s="4" t="n">
        <v>46205</v>
      </c>
      <c r="C2230" s="5" t="n">
        <v>46205.4957175926</v>
      </c>
      <c r="D2230" t="inlineStr">
        <is>
          <t>BUY</t>
        </is>
      </c>
      <c r="E2230" t="inlineStr">
        <is>
          <t>Yes</t>
        </is>
      </c>
      <c r="F2230" s="2" t="n">
        <v>0.001</v>
      </c>
      <c r="G2230" s="6" t="n">
        <v>3880</v>
      </c>
      <c r="H2230" s="6">
        <f>F2230*G2230</f>
        <v/>
      </c>
      <c r="I2230">
        <f>_xlfn.XLOOKUP(A2230,MktTitle,MktCat,"n/a")</f>
        <v/>
      </c>
      <c r="J2230" s="3">
        <f>_xlfn.XLOOKUP(A2230,MktTitle,MktTotVol,0)</f>
        <v/>
      </c>
      <c r="K2230">
        <f>IF(H2230&gt;WhaleThreshold,"WHALE","")</f>
        <v/>
      </c>
    </row>
    <row r="2231">
      <c r="A2231" t="inlineStr">
        <is>
          <t>Will Cape Verde win the 2026 FIFA World Cup?</t>
        </is>
      </c>
      <c r="B2231" s="4" t="n">
        <v>46205</v>
      </c>
      <c r="C2231" s="5" t="n">
        <v>46205.49289351852</v>
      </c>
      <c r="D2231" t="inlineStr">
        <is>
          <t>BUY</t>
        </is>
      </c>
      <c r="E2231" t="inlineStr">
        <is>
          <t>Yes</t>
        </is>
      </c>
      <c r="F2231" s="2" t="n">
        <v>0.001</v>
      </c>
      <c r="G2231" s="6" t="n">
        <v>5000</v>
      </c>
      <c r="H2231" s="6">
        <f>F2231*G2231</f>
        <v/>
      </c>
      <c r="I2231">
        <f>_xlfn.XLOOKUP(A2231,MktTitle,MktCat,"n/a")</f>
        <v/>
      </c>
      <c r="J2231" s="3">
        <f>_xlfn.XLOOKUP(A2231,MktTitle,MktTotVol,0)</f>
        <v/>
      </c>
      <c r="K2231">
        <f>IF(H2231&gt;WhaleThreshold,"WHALE","")</f>
        <v/>
      </c>
    </row>
    <row r="2232">
      <c r="A2232" t="inlineStr">
        <is>
          <t>Will Cape Verde win the 2026 FIFA World Cup?</t>
        </is>
      </c>
      <c r="B2232" s="4" t="n">
        <v>46205</v>
      </c>
      <c r="C2232" s="5" t="n">
        <v>46205.49109953704</v>
      </c>
      <c r="D2232" t="inlineStr">
        <is>
          <t>BUY</t>
        </is>
      </c>
      <c r="E2232" t="inlineStr">
        <is>
          <t>Yes</t>
        </is>
      </c>
      <c r="F2232" s="2" t="n">
        <v>0.001</v>
      </c>
      <c r="G2232" s="6" t="n">
        <v>1000</v>
      </c>
      <c r="H2232" s="6">
        <f>F2232*G2232</f>
        <v/>
      </c>
      <c r="I2232">
        <f>_xlfn.XLOOKUP(A2232,MktTitle,MktCat,"n/a")</f>
        <v/>
      </c>
      <c r="J2232" s="3">
        <f>_xlfn.XLOOKUP(A2232,MktTitle,MktTotVol,0)</f>
        <v/>
      </c>
      <c r="K2232">
        <f>IF(H2232&gt;WhaleThreshold,"WHALE","")</f>
        <v/>
      </c>
    </row>
    <row r="2233">
      <c r="A2233" t="inlineStr">
        <is>
          <t>Will Cape Verde win the 2026 FIFA World Cup?</t>
        </is>
      </c>
      <c r="B2233" s="4" t="n">
        <v>46205</v>
      </c>
      <c r="C2233" s="5" t="n">
        <v>46205.48914351852</v>
      </c>
      <c r="D2233" t="inlineStr">
        <is>
          <t>BUY</t>
        </is>
      </c>
      <c r="E2233" t="inlineStr">
        <is>
          <t>Yes</t>
        </is>
      </c>
      <c r="F2233" s="2" t="n">
        <v>0.001</v>
      </c>
      <c r="G2233" s="6" t="n">
        <v>1000</v>
      </c>
      <c r="H2233" s="6">
        <f>F2233*G2233</f>
        <v/>
      </c>
      <c r="I2233">
        <f>_xlfn.XLOOKUP(A2233,MktTitle,MktCat,"n/a")</f>
        <v/>
      </c>
      <c r="J2233" s="3">
        <f>_xlfn.XLOOKUP(A2233,MktTitle,MktTotVol,0)</f>
        <v/>
      </c>
      <c r="K2233">
        <f>IF(H2233&gt;WhaleThreshold,"WHALE","")</f>
        <v/>
      </c>
    </row>
    <row r="2234">
      <c r="A2234" t="inlineStr">
        <is>
          <t>Will Cape Verde win the 2026 FIFA World Cup?</t>
        </is>
      </c>
      <c r="B2234" s="4" t="n">
        <v>46205</v>
      </c>
      <c r="C2234" s="5" t="n">
        <v>46205.4883449074</v>
      </c>
      <c r="D2234" t="inlineStr">
        <is>
          <t>BUY</t>
        </is>
      </c>
      <c r="E2234" t="inlineStr">
        <is>
          <t>Yes</t>
        </is>
      </c>
      <c r="F2234" s="2" t="n">
        <v>0.001</v>
      </c>
      <c r="G2234" s="6" t="n">
        <v>1100</v>
      </c>
      <c r="H2234" s="6">
        <f>F2234*G2234</f>
        <v/>
      </c>
      <c r="I2234">
        <f>_xlfn.XLOOKUP(A2234,MktTitle,MktCat,"n/a")</f>
        <v/>
      </c>
      <c r="J2234" s="3">
        <f>_xlfn.XLOOKUP(A2234,MktTitle,MktTotVol,0)</f>
        <v/>
      </c>
      <c r="K2234">
        <f>IF(H2234&gt;WhaleThreshold,"WHALE","")</f>
        <v/>
      </c>
    </row>
    <row r="2235">
      <c r="A2235" t="inlineStr">
        <is>
          <t>Will Cape Verde win the 2026 FIFA World Cup?</t>
        </is>
      </c>
      <c r="B2235" s="4" t="n">
        <v>46205</v>
      </c>
      <c r="C2235" s="5" t="n">
        <v>46205.48710648148</v>
      </c>
      <c r="D2235" t="inlineStr">
        <is>
          <t>BUY</t>
        </is>
      </c>
      <c r="E2235" t="inlineStr">
        <is>
          <t>Yes</t>
        </is>
      </c>
      <c r="F2235" s="2" t="n">
        <v>0.001</v>
      </c>
      <c r="G2235" s="6" t="n">
        <v>2230</v>
      </c>
      <c r="H2235" s="6">
        <f>F2235*G2235</f>
        <v/>
      </c>
      <c r="I2235">
        <f>_xlfn.XLOOKUP(A2235,MktTitle,MktCat,"n/a")</f>
        <v/>
      </c>
      <c r="J2235" s="3">
        <f>_xlfn.XLOOKUP(A2235,MktTitle,MktTotVol,0)</f>
        <v/>
      </c>
      <c r="K2235">
        <f>IF(H2235&gt;WhaleThreshold,"WHALE","")</f>
        <v/>
      </c>
    </row>
    <row r="2236">
      <c r="A2236" t="inlineStr">
        <is>
          <t>Will Cape Verde win the 2026 FIFA World Cup?</t>
        </is>
      </c>
      <c r="B2236" s="4" t="n">
        <v>46205</v>
      </c>
      <c r="C2236" s="5" t="n">
        <v>46205.48143518518</v>
      </c>
      <c r="D2236" t="inlineStr">
        <is>
          <t>BUY</t>
        </is>
      </c>
      <c r="E2236" t="inlineStr">
        <is>
          <t>Yes</t>
        </is>
      </c>
      <c r="F2236" s="2" t="n">
        <v>0.001</v>
      </c>
      <c r="G2236" s="6" t="n">
        <v>19410</v>
      </c>
      <c r="H2236" s="6">
        <f>F2236*G2236</f>
        <v/>
      </c>
      <c r="I2236">
        <f>_xlfn.XLOOKUP(A2236,MktTitle,MktCat,"n/a")</f>
        <v/>
      </c>
      <c r="J2236" s="3">
        <f>_xlfn.XLOOKUP(A2236,MktTitle,MktTotVol,0)</f>
        <v/>
      </c>
      <c r="K2236">
        <f>IF(H2236&gt;WhaleThreshold,"WHALE","")</f>
        <v/>
      </c>
    </row>
    <row r="2237">
      <c r="A2237" t="inlineStr">
        <is>
          <t>Will Cape Verde win the 2026 FIFA World Cup?</t>
        </is>
      </c>
      <c r="B2237" s="4" t="n">
        <v>46205</v>
      </c>
      <c r="C2237" s="5" t="n">
        <v>46205.47324074074</v>
      </c>
      <c r="D2237" t="inlineStr">
        <is>
          <t>BUY</t>
        </is>
      </c>
      <c r="E2237" t="inlineStr">
        <is>
          <t>Yes</t>
        </is>
      </c>
      <c r="F2237" s="2" t="n">
        <v>0.001</v>
      </c>
      <c r="G2237" s="6" t="n">
        <v>1000</v>
      </c>
      <c r="H2237" s="6">
        <f>F2237*G2237</f>
        <v/>
      </c>
      <c r="I2237">
        <f>_xlfn.XLOOKUP(A2237,MktTitle,MktCat,"n/a")</f>
        <v/>
      </c>
      <c r="J2237" s="3">
        <f>_xlfn.XLOOKUP(A2237,MktTitle,MktTotVol,0)</f>
        <v/>
      </c>
      <c r="K2237">
        <f>IF(H2237&gt;WhaleThreshold,"WHALE","")</f>
        <v/>
      </c>
    </row>
    <row r="2238">
      <c r="A2238" t="inlineStr">
        <is>
          <t>Will Cape Verde win the 2026 FIFA World Cup?</t>
        </is>
      </c>
      <c r="B2238" s="4" t="n">
        <v>46205</v>
      </c>
      <c r="C2238" s="5" t="n">
        <v>46205.47266203703</v>
      </c>
      <c r="D2238" t="inlineStr">
        <is>
          <t>BUY</t>
        </is>
      </c>
      <c r="E2238" t="inlineStr">
        <is>
          <t>Yes</t>
        </is>
      </c>
      <c r="F2238" s="2" t="n">
        <v>0.001</v>
      </c>
      <c r="G2238" s="6" t="n">
        <v>24270</v>
      </c>
      <c r="H2238" s="6">
        <f>F2238*G2238</f>
        <v/>
      </c>
      <c r="I2238">
        <f>_xlfn.XLOOKUP(A2238,MktTitle,MktCat,"n/a")</f>
        <v/>
      </c>
      <c r="J2238" s="3">
        <f>_xlfn.XLOOKUP(A2238,MktTitle,MktTotVol,0)</f>
        <v/>
      </c>
      <c r="K2238">
        <f>IF(H2238&gt;WhaleThreshold,"WHALE","")</f>
        <v/>
      </c>
    </row>
    <row r="2239">
      <c r="A2239" t="inlineStr">
        <is>
          <t>Will Cape Verde win the 2026 FIFA World Cup?</t>
        </is>
      </c>
      <c r="B2239" s="4" t="n">
        <v>46205</v>
      </c>
      <c r="C2239" s="5" t="n">
        <v>46205.46719907408</v>
      </c>
      <c r="D2239" t="inlineStr">
        <is>
          <t>BUY</t>
        </is>
      </c>
      <c r="E2239" t="inlineStr">
        <is>
          <t>Yes</t>
        </is>
      </c>
      <c r="F2239" s="2" t="n">
        <v>0.001</v>
      </c>
      <c r="G2239" s="6" t="n">
        <v>10000</v>
      </c>
      <c r="H2239" s="6">
        <f>F2239*G2239</f>
        <v/>
      </c>
      <c r="I2239">
        <f>_xlfn.XLOOKUP(A2239,MktTitle,MktCat,"n/a")</f>
        <v/>
      </c>
      <c r="J2239" s="3">
        <f>_xlfn.XLOOKUP(A2239,MktTitle,MktTotVol,0)</f>
        <v/>
      </c>
      <c r="K2239">
        <f>IF(H2239&gt;WhaleThreshold,"WHALE","")</f>
        <v/>
      </c>
    </row>
    <row r="2240">
      <c r="A2240" t="inlineStr">
        <is>
          <t>Will Cape Verde win the 2026 FIFA World Cup?</t>
        </is>
      </c>
      <c r="B2240" s="4" t="n">
        <v>46205</v>
      </c>
      <c r="C2240" s="5" t="n">
        <v>46205.46568287037</v>
      </c>
      <c r="D2240" t="inlineStr">
        <is>
          <t>BUY</t>
        </is>
      </c>
      <c r="E2240" t="inlineStr">
        <is>
          <t>Yes</t>
        </is>
      </c>
      <c r="F2240" s="2" t="n">
        <v>0.001</v>
      </c>
      <c r="G2240" s="6" t="n">
        <v>1000</v>
      </c>
      <c r="H2240" s="6">
        <f>F2240*G2240</f>
        <v/>
      </c>
      <c r="I2240">
        <f>_xlfn.XLOOKUP(A2240,MktTitle,MktCat,"n/a")</f>
        <v/>
      </c>
      <c r="J2240" s="3">
        <f>_xlfn.XLOOKUP(A2240,MktTitle,MktTotVol,0)</f>
        <v/>
      </c>
      <c r="K2240">
        <f>IF(H2240&gt;WhaleThreshold,"WHALE","")</f>
        <v/>
      </c>
    </row>
    <row r="2241">
      <c r="A2241" t="inlineStr">
        <is>
          <t>Will Cape Verde win the 2026 FIFA World Cup?</t>
        </is>
      </c>
      <c r="B2241" s="4" t="n">
        <v>46205</v>
      </c>
      <c r="C2241" s="5" t="n">
        <v>46205.46438657407</v>
      </c>
      <c r="D2241" t="inlineStr">
        <is>
          <t>BUY</t>
        </is>
      </c>
      <c r="E2241" t="inlineStr">
        <is>
          <t>Yes</t>
        </is>
      </c>
      <c r="F2241" s="2" t="n">
        <v>0.001</v>
      </c>
      <c r="G2241" s="6" t="n">
        <v>250000</v>
      </c>
      <c r="H2241" s="6">
        <f>F2241*G2241</f>
        <v/>
      </c>
      <c r="I2241">
        <f>_xlfn.XLOOKUP(A2241,MktTitle,MktCat,"n/a")</f>
        <v/>
      </c>
      <c r="J2241" s="3">
        <f>_xlfn.XLOOKUP(A2241,MktTitle,MktTotVol,0)</f>
        <v/>
      </c>
      <c r="K2241">
        <f>IF(H2241&gt;WhaleThreshold,"WHALE","")</f>
        <v/>
      </c>
    </row>
    <row r="2242">
      <c r="A2242" t="inlineStr">
        <is>
          <t>Will Cape Verde win the 2026 FIFA World Cup?</t>
        </is>
      </c>
      <c r="B2242" s="4" t="n">
        <v>46205</v>
      </c>
      <c r="C2242" s="5" t="n">
        <v>46205.45890046296</v>
      </c>
      <c r="D2242" t="inlineStr">
        <is>
          <t>BUY</t>
        </is>
      </c>
      <c r="E2242" t="inlineStr">
        <is>
          <t>Yes</t>
        </is>
      </c>
      <c r="F2242" s="2" t="n">
        <v>0.001</v>
      </c>
      <c r="G2242" s="6" t="n">
        <v>9680</v>
      </c>
      <c r="H2242" s="6">
        <f>F2242*G2242</f>
        <v/>
      </c>
      <c r="I2242">
        <f>_xlfn.XLOOKUP(A2242,MktTitle,MktCat,"n/a")</f>
        <v/>
      </c>
      <c r="J2242" s="3">
        <f>_xlfn.XLOOKUP(A2242,MktTitle,MktTotVol,0)</f>
        <v/>
      </c>
      <c r="K2242">
        <f>IF(H2242&gt;WhaleThreshold,"WHALE","")</f>
        <v/>
      </c>
    </row>
    <row r="2243">
      <c r="A2243" t="inlineStr">
        <is>
          <t>Will Cape Verde win the 2026 FIFA World Cup?</t>
        </is>
      </c>
      <c r="B2243" s="4" t="n">
        <v>46205</v>
      </c>
      <c r="C2243" s="5" t="n">
        <v>46205.45856481481</v>
      </c>
      <c r="D2243" t="inlineStr">
        <is>
          <t>BUY</t>
        </is>
      </c>
      <c r="E2243" t="inlineStr">
        <is>
          <t>Yes</t>
        </is>
      </c>
      <c r="F2243" s="2" t="n">
        <v>0.001</v>
      </c>
      <c r="G2243" s="6" t="n">
        <v>6000</v>
      </c>
      <c r="H2243" s="6">
        <f>F2243*G2243</f>
        <v/>
      </c>
      <c r="I2243">
        <f>_xlfn.XLOOKUP(A2243,MktTitle,MktCat,"n/a")</f>
        <v/>
      </c>
      <c r="J2243" s="3">
        <f>_xlfn.XLOOKUP(A2243,MktTitle,MktTotVol,0)</f>
        <v/>
      </c>
      <c r="K2243">
        <f>IF(H2243&gt;WhaleThreshold,"WHALE","")</f>
        <v/>
      </c>
    </row>
    <row r="2244">
      <c r="A2244" t="inlineStr">
        <is>
          <t>Will Cape Verde win the 2026 FIFA World Cup?</t>
        </is>
      </c>
      <c r="B2244" s="4" t="n">
        <v>46205</v>
      </c>
      <c r="C2244" s="5" t="n">
        <v>46205.44703703704</v>
      </c>
      <c r="D2244" t="inlineStr">
        <is>
          <t>BUY</t>
        </is>
      </c>
      <c r="E2244" t="inlineStr">
        <is>
          <t>Yes</t>
        </is>
      </c>
      <c r="F2244" s="2" t="n">
        <v>0.001</v>
      </c>
      <c r="G2244" s="6" t="n">
        <v>1940</v>
      </c>
      <c r="H2244" s="6">
        <f>F2244*G2244</f>
        <v/>
      </c>
      <c r="I2244">
        <f>_xlfn.XLOOKUP(A2244,MktTitle,MktCat,"n/a")</f>
        <v/>
      </c>
      <c r="J2244" s="3">
        <f>_xlfn.XLOOKUP(A2244,MktTitle,MktTotVol,0)</f>
        <v/>
      </c>
      <c r="K2244">
        <f>IF(H2244&gt;WhaleThreshold,"WHALE","")</f>
        <v/>
      </c>
    </row>
    <row r="2245">
      <c r="A2245" t="inlineStr">
        <is>
          <t>Will Cape Verde win the 2026 FIFA World Cup?</t>
        </is>
      </c>
      <c r="B2245" s="4" t="n">
        <v>46205</v>
      </c>
      <c r="C2245" s="5" t="n">
        <v>46205.44053240741</v>
      </c>
      <c r="D2245" t="inlineStr">
        <is>
          <t>BUY</t>
        </is>
      </c>
      <c r="E2245" t="inlineStr">
        <is>
          <t>Yes</t>
        </is>
      </c>
      <c r="F2245" s="2" t="n">
        <v>0.001</v>
      </c>
      <c r="G2245" s="6" t="n">
        <v>5000</v>
      </c>
      <c r="H2245" s="6">
        <f>F2245*G2245</f>
        <v/>
      </c>
      <c r="I2245">
        <f>_xlfn.XLOOKUP(A2245,MktTitle,MktCat,"n/a")</f>
        <v/>
      </c>
      <c r="J2245" s="3">
        <f>_xlfn.XLOOKUP(A2245,MktTitle,MktTotVol,0)</f>
        <v/>
      </c>
      <c r="K2245">
        <f>IF(H2245&gt;WhaleThreshold,"WHALE","")</f>
        <v/>
      </c>
    </row>
    <row r="2246">
      <c r="A2246" t="inlineStr">
        <is>
          <t>Will Cape Verde win the 2026 FIFA World Cup?</t>
        </is>
      </c>
      <c r="B2246" s="4" t="n">
        <v>46205</v>
      </c>
      <c r="C2246" s="5" t="n">
        <v>46205.42855324074</v>
      </c>
      <c r="D2246" t="inlineStr">
        <is>
          <t>BUY</t>
        </is>
      </c>
      <c r="E2246" t="inlineStr">
        <is>
          <t>Yes</t>
        </is>
      </c>
      <c r="F2246" s="2" t="n">
        <v>0.001</v>
      </c>
      <c r="G2246" s="6" t="n">
        <v>10000</v>
      </c>
      <c r="H2246" s="6">
        <f>F2246*G2246</f>
        <v/>
      </c>
      <c r="I2246">
        <f>_xlfn.XLOOKUP(A2246,MktTitle,MktCat,"n/a")</f>
        <v/>
      </c>
      <c r="J2246" s="3">
        <f>_xlfn.XLOOKUP(A2246,MktTitle,MktTotVol,0)</f>
        <v/>
      </c>
      <c r="K2246">
        <f>IF(H2246&gt;WhaleThreshold,"WHALE","")</f>
        <v/>
      </c>
    </row>
    <row r="2247">
      <c r="A2247" t="inlineStr">
        <is>
          <t>Will Cape Verde win the 2026 FIFA World Cup?</t>
        </is>
      </c>
      <c r="B2247" s="4" t="n">
        <v>46205</v>
      </c>
      <c r="C2247" s="5" t="n">
        <v>46205.42435185185</v>
      </c>
      <c r="D2247" t="inlineStr">
        <is>
          <t>BUY</t>
        </is>
      </c>
      <c r="E2247" t="inlineStr">
        <is>
          <t>Yes</t>
        </is>
      </c>
      <c r="F2247" s="2" t="n">
        <v>0.001</v>
      </c>
      <c r="G2247" s="6" t="n">
        <v>2150</v>
      </c>
      <c r="H2247" s="6">
        <f>F2247*G2247</f>
        <v/>
      </c>
      <c r="I2247">
        <f>_xlfn.XLOOKUP(A2247,MktTitle,MktCat,"n/a")</f>
        <v/>
      </c>
      <c r="J2247" s="3">
        <f>_xlfn.XLOOKUP(A2247,MktTitle,MktTotVol,0)</f>
        <v/>
      </c>
      <c r="K2247">
        <f>IF(H2247&gt;WhaleThreshold,"WHALE","")</f>
        <v/>
      </c>
    </row>
    <row r="2248">
      <c r="A2248" t="inlineStr">
        <is>
          <t>Will Cape Verde win the 2026 FIFA World Cup?</t>
        </is>
      </c>
      <c r="B2248" s="4" t="n">
        <v>46205</v>
      </c>
      <c r="C2248" s="5" t="n">
        <v>46205.41755787037</v>
      </c>
      <c r="D2248" t="inlineStr">
        <is>
          <t>BUY</t>
        </is>
      </c>
      <c r="E2248" t="inlineStr">
        <is>
          <t>Yes</t>
        </is>
      </c>
      <c r="F2248" s="2" t="n">
        <v>0.001</v>
      </c>
      <c r="G2248" s="6" t="n">
        <v>1450</v>
      </c>
      <c r="H2248" s="6">
        <f>F2248*G2248</f>
        <v/>
      </c>
      <c r="I2248">
        <f>_xlfn.XLOOKUP(A2248,MktTitle,MktCat,"n/a")</f>
        <v/>
      </c>
      <c r="J2248" s="3">
        <f>_xlfn.XLOOKUP(A2248,MktTitle,MktTotVol,0)</f>
        <v/>
      </c>
      <c r="K2248">
        <f>IF(H2248&gt;WhaleThreshold,"WHALE","")</f>
        <v/>
      </c>
    </row>
    <row r="2249">
      <c r="A2249" t="inlineStr">
        <is>
          <t>Will Cape Verde win the 2026 FIFA World Cup?</t>
        </is>
      </c>
      <c r="B2249" s="4" t="n">
        <v>46205</v>
      </c>
      <c r="C2249" s="5" t="n">
        <v>46205.41480324074</v>
      </c>
      <c r="D2249" t="inlineStr">
        <is>
          <t>BUY</t>
        </is>
      </c>
      <c r="E2249" t="inlineStr">
        <is>
          <t>Yes</t>
        </is>
      </c>
      <c r="F2249" s="2" t="n">
        <v>0.001</v>
      </c>
      <c r="G2249" s="6" t="n">
        <v>300000</v>
      </c>
      <c r="H2249" s="6">
        <f>F2249*G2249</f>
        <v/>
      </c>
      <c r="I2249">
        <f>_xlfn.XLOOKUP(A2249,MktTitle,MktCat,"n/a")</f>
        <v/>
      </c>
      <c r="J2249" s="3">
        <f>_xlfn.XLOOKUP(A2249,MktTitle,MktTotVol,0)</f>
        <v/>
      </c>
      <c r="K2249">
        <f>IF(H2249&gt;WhaleThreshold,"WHALE","")</f>
        <v/>
      </c>
    </row>
    <row r="2250">
      <c r="A2250" t="inlineStr">
        <is>
          <t>Will Cape Verde win the 2026 FIFA World Cup?</t>
        </is>
      </c>
      <c r="B2250" s="4" t="n">
        <v>46205</v>
      </c>
      <c r="C2250" s="5" t="n">
        <v>46205.41101851852</v>
      </c>
      <c r="D2250" t="inlineStr">
        <is>
          <t>BUY</t>
        </is>
      </c>
      <c r="E2250" t="inlineStr">
        <is>
          <t>Yes</t>
        </is>
      </c>
      <c r="F2250" s="2" t="n">
        <v>0.001</v>
      </c>
      <c r="G2250" s="6" t="n">
        <v>10670</v>
      </c>
      <c r="H2250" s="6">
        <f>F2250*G2250</f>
        <v/>
      </c>
      <c r="I2250">
        <f>_xlfn.XLOOKUP(A2250,MktTitle,MktCat,"n/a")</f>
        <v/>
      </c>
      <c r="J2250" s="3">
        <f>_xlfn.XLOOKUP(A2250,MktTitle,MktTotVol,0)</f>
        <v/>
      </c>
      <c r="K2250">
        <f>IF(H2250&gt;WhaleThreshold,"WHALE","")</f>
        <v/>
      </c>
    </row>
    <row r="2251">
      <c r="A2251" t="inlineStr">
        <is>
          <t>Will Cape Verde win the 2026 FIFA World Cup?</t>
        </is>
      </c>
      <c r="B2251" s="4" t="n">
        <v>46205</v>
      </c>
      <c r="C2251" s="5" t="n">
        <v>46205.40699074074</v>
      </c>
      <c r="D2251" t="inlineStr">
        <is>
          <t>BUY</t>
        </is>
      </c>
      <c r="E2251" t="inlineStr">
        <is>
          <t>Yes</t>
        </is>
      </c>
      <c r="F2251" s="2" t="n">
        <v>0.001</v>
      </c>
      <c r="G2251" s="6" t="n">
        <v>30000</v>
      </c>
      <c r="H2251" s="6">
        <f>F2251*G2251</f>
        <v/>
      </c>
      <c r="I2251">
        <f>_xlfn.XLOOKUP(A2251,MktTitle,MktCat,"n/a")</f>
        <v/>
      </c>
      <c r="J2251" s="3">
        <f>_xlfn.XLOOKUP(A2251,MktTitle,MktTotVol,0)</f>
        <v/>
      </c>
      <c r="K2251">
        <f>IF(H2251&gt;WhaleThreshold,"WHALE","")</f>
        <v/>
      </c>
    </row>
    <row r="2252">
      <c r="A2252" t="inlineStr">
        <is>
          <t>Will Cape Verde win the 2026 FIFA World Cup?</t>
        </is>
      </c>
      <c r="B2252" s="4" t="n">
        <v>46205</v>
      </c>
      <c r="C2252" s="5" t="n">
        <v>46205.38747685185</v>
      </c>
      <c r="D2252" t="inlineStr">
        <is>
          <t>SELL</t>
        </is>
      </c>
      <c r="E2252" t="inlineStr">
        <is>
          <t>No</t>
        </is>
      </c>
      <c r="F2252" s="2" t="n">
        <v>0.999</v>
      </c>
      <c r="G2252" s="6" t="n">
        <v>2.7</v>
      </c>
      <c r="H2252" s="6">
        <f>F2252*G2252</f>
        <v/>
      </c>
      <c r="I2252">
        <f>_xlfn.XLOOKUP(A2252,MktTitle,MktCat,"n/a")</f>
        <v/>
      </c>
      <c r="J2252" s="3">
        <f>_xlfn.XLOOKUP(A2252,MktTitle,MktTotVol,0)</f>
        <v/>
      </c>
      <c r="K2252">
        <f>IF(H2252&gt;WhaleThreshold,"WHALE","")</f>
        <v/>
      </c>
    </row>
    <row r="2253">
      <c r="A2253" t="inlineStr">
        <is>
          <t>Will Cape Verde win the 2026 FIFA World Cup?</t>
        </is>
      </c>
      <c r="B2253" s="4" t="n">
        <v>46205</v>
      </c>
      <c r="C2253" s="5" t="n">
        <v>46205.38741898148</v>
      </c>
      <c r="D2253" t="inlineStr">
        <is>
          <t>BUY</t>
        </is>
      </c>
      <c r="E2253" t="inlineStr">
        <is>
          <t>Yes</t>
        </is>
      </c>
      <c r="F2253" s="2" t="n">
        <v>0.001</v>
      </c>
      <c r="G2253" s="6" t="n">
        <v>1000</v>
      </c>
      <c r="H2253" s="6">
        <f>F2253*G2253</f>
        <v/>
      </c>
      <c r="I2253">
        <f>_xlfn.XLOOKUP(A2253,MktTitle,MktCat,"n/a")</f>
        <v/>
      </c>
      <c r="J2253" s="3">
        <f>_xlfn.XLOOKUP(A2253,MktTitle,MktTotVol,0)</f>
        <v/>
      </c>
      <c r="K2253">
        <f>IF(H2253&gt;WhaleThreshold,"WHALE","")</f>
        <v/>
      </c>
    </row>
    <row r="2254">
      <c r="A2254" t="inlineStr">
        <is>
          <t>Will Cape Verde win the 2026 FIFA World Cup?</t>
        </is>
      </c>
      <c r="B2254" s="4" t="n">
        <v>46205</v>
      </c>
      <c r="C2254" s="5" t="n">
        <v>46205.38505787037</v>
      </c>
      <c r="D2254" t="inlineStr">
        <is>
          <t>BUY</t>
        </is>
      </c>
      <c r="E2254" t="inlineStr">
        <is>
          <t>Yes</t>
        </is>
      </c>
      <c r="F2254" s="2" t="n">
        <v>0.001</v>
      </c>
      <c r="G2254" s="6" t="n">
        <v>1000</v>
      </c>
      <c r="H2254" s="6">
        <f>F2254*G2254</f>
        <v/>
      </c>
      <c r="I2254">
        <f>_xlfn.XLOOKUP(A2254,MktTitle,MktCat,"n/a")</f>
        <v/>
      </c>
      <c r="J2254" s="3">
        <f>_xlfn.XLOOKUP(A2254,MktTitle,MktTotVol,0)</f>
        <v/>
      </c>
      <c r="K2254">
        <f>IF(H2254&gt;WhaleThreshold,"WHALE","")</f>
        <v/>
      </c>
    </row>
    <row r="2255">
      <c r="A2255" t="inlineStr">
        <is>
          <t>Will Cape Verde win the 2026 FIFA World Cup?</t>
        </is>
      </c>
      <c r="B2255" s="4" t="n">
        <v>46205</v>
      </c>
      <c r="C2255" s="5" t="n">
        <v>46205.38081018518</v>
      </c>
      <c r="D2255" t="inlineStr">
        <is>
          <t>BUY</t>
        </is>
      </c>
      <c r="E2255" t="inlineStr">
        <is>
          <t>Yes</t>
        </is>
      </c>
      <c r="F2255" s="2" t="n">
        <v>0.001</v>
      </c>
      <c r="G2255" s="6" t="n">
        <v>5000</v>
      </c>
      <c r="H2255" s="6">
        <f>F2255*G2255</f>
        <v/>
      </c>
      <c r="I2255">
        <f>_xlfn.XLOOKUP(A2255,MktTitle,MktCat,"n/a")</f>
        <v/>
      </c>
      <c r="J2255" s="3">
        <f>_xlfn.XLOOKUP(A2255,MktTitle,MktTotVol,0)</f>
        <v/>
      </c>
      <c r="K2255">
        <f>IF(H2255&gt;WhaleThreshold,"WHALE","")</f>
        <v/>
      </c>
    </row>
    <row r="2256">
      <c r="A2256" t="inlineStr">
        <is>
          <t>Will Cape Verde win the 2026 FIFA World Cup?</t>
        </is>
      </c>
      <c r="B2256" s="4" t="n">
        <v>46205</v>
      </c>
      <c r="C2256" s="5" t="n">
        <v>46205.38077546296</v>
      </c>
      <c r="D2256" t="inlineStr">
        <is>
          <t>BUY</t>
        </is>
      </c>
      <c r="E2256" t="inlineStr">
        <is>
          <t>Yes</t>
        </is>
      </c>
      <c r="F2256" s="2" t="n">
        <v>0.001</v>
      </c>
      <c r="G2256" s="6" t="n">
        <v>1000</v>
      </c>
      <c r="H2256" s="6">
        <f>F2256*G2256</f>
        <v/>
      </c>
      <c r="I2256">
        <f>_xlfn.XLOOKUP(A2256,MktTitle,MktCat,"n/a")</f>
        <v/>
      </c>
      <c r="J2256" s="3">
        <f>_xlfn.XLOOKUP(A2256,MktTitle,MktTotVol,0)</f>
        <v/>
      </c>
      <c r="K2256">
        <f>IF(H2256&gt;WhaleThreshold,"WHALE","")</f>
        <v/>
      </c>
    </row>
    <row r="2257">
      <c r="A2257" t="inlineStr">
        <is>
          <t>Will Cape Verde win the 2026 FIFA World Cup?</t>
        </is>
      </c>
      <c r="B2257" s="4" t="n">
        <v>46205</v>
      </c>
      <c r="C2257" s="5" t="n">
        <v>46205.37773148148</v>
      </c>
      <c r="D2257" t="inlineStr">
        <is>
          <t>BUY</t>
        </is>
      </c>
      <c r="E2257" t="inlineStr">
        <is>
          <t>Yes</t>
        </is>
      </c>
      <c r="F2257" s="2" t="n">
        <v>0.001</v>
      </c>
      <c r="G2257" s="6" t="n">
        <v>1000</v>
      </c>
      <c r="H2257" s="6">
        <f>F2257*G2257</f>
        <v/>
      </c>
      <c r="I2257">
        <f>_xlfn.XLOOKUP(A2257,MktTitle,MktCat,"n/a")</f>
        <v/>
      </c>
      <c r="J2257" s="3">
        <f>_xlfn.XLOOKUP(A2257,MktTitle,MktTotVol,0)</f>
        <v/>
      </c>
      <c r="K2257">
        <f>IF(H2257&gt;WhaleThreshold,"WHALE","")</f>
        <v/>
      </c>
    </row>
    <row r="2258">
      <c r="A2258" t="inlineStr">
        <is>
          <t>Will Cape Verde win the 2026 FIFA World Cup?</t>
        </is>
      </c>
      <c r="B2258" s="4" t="n">
        <v>46205</v>
      </c>
      <c r="C2258" s="5" t="n">
        <v>46205.37237268518</v>
      </c>
      <c r="D2258" t="inlineStr">
        <is>
          <t>BUY</t>
        </is>
      </c>
      <c r="E2258" t="inlineStr">
        <is>
          <t>Yes</t>
        </is>
      </c>
      <c r="F2258" s="2" t="n">
        <v>0.001</v>
      </c>
      <c r="G2258" s="6" t="n">
        <v>3000</v>
      </c>
      <c r="H2258" s="6">
        <f>F2258*G2258</f>
        <v/>
      </c>
      <c r="I2258">
        <f>_xlfn.XLOOKUP(A2258,MktTitle,MktCat,"n/a")</f>
        <v/>
      </c>
      <c r="J2258" s="3">
        <f>_xlfn.XLOOKUP(A2258,MktTitle,MktTotVol,0)</f>
        <v/>
      </c>
      <c r="K2258">
        <f>IF(H2258&gt;WhaleThreshold,"WHALE","")</f>
        <v/>
      </c>
    </row>
    <row r="2259">
      <c r="A2259" t="inlineStr">
        <is>
          <t>Will Cape Verde win the 2026 FIFA World Cup?</t>
        </is>
      </c>
      <c r="B2259" s="4" t="n">
        <v>46205</v>
      </c>
      <c r="C2259" s="5" t="n">
        <v>46205.36255787037</v>
      </c>
      <c r="D2259" t="inlineStr">
        <is>
          <t>BUY</t>
        </is>
      </c>
      <c r="E2259" t="inlineStr">
        <is>
          <t>Yes</t>
        </is>
      </c>
      <c r="F2259" s="2" t="n">
        <v>0.001</v>
      </c>
      <c r="G2259" s="6" t="n">
        <v>2000</v>
      </c>
      <c r="H2259" s="6">
        <f>F2259*G2259</f>
        <v/>
      </c>
      <c r="I2259">
        <f>_xlfn.XLOOKUP(A2259,MktTitle,MktCat,"n/a")</f>
        <v/>
      </c>
      <c r="J2259" s="3">
        <f>_xlfn.XLOOKUP(A2259,MktTitle,MktTotVol,0)</f>
        <v/>
      </c>
      <c r="K2259">
        <f>IF(H2259&gt;WhaleThreshold,"WHALE","")</f>
        <v/>
      </c>
    </row>
    <row r="2260">
      <c r="A2260" t="inlineStr">
        <is>
          <t>Will Cape Verde win the 2026 FIFA World Cup?</t>
        </is>
      </c>
      <c r="B2260" s="4" t="n">
        <v>46205</v>
      </c>
      <c r="C2260" s="5" t="n">
        <v>46205.35601851852</v>
      </c>
      <c r="D2260" t="inlineStr">
        <is>
          <t>BUY</t>
        </is>
      </c>
      <c r="E2260" t="inlineStr">
        <is>
          <t>Yes</t>
        </is>
      </c>
      <c r="F2260" s="2" t="n">
        <v>0.001</v>
      </c>
      <c r="G2260" s="6" t="n">
        <v>9700</v>
      </c>
      <c r="H2260" s="6">
        <f>F2260*G2260</f>
        <v/>
      </c>
      <c r="I2260">
        <f>_xlfn.XLOOKUP(A2260,MktTitle,MktCat,"n/a")</f>
        <v/>
      </c>
      <c r="J2260" s="3">
        <f>_xlfn.XLOOKUP(A2260,MktTitle,MktTotVol,0)</f>
        <v/>
      </c>
      <c r="K2260">
        <f>IF(H2260&gt;WhaleThreshold,"WHALE","")</f>
        <v/>
      </c>
    </row>
    <row r="2261">
      <c r="A2261" t="inlineStr">
        <is>
          <t>Will Cape Verde win the 2026 FIFA World Cup?</t>
        </is>
      </c>
      <c r="B2261" s="4" t="n">
        <v>46205</v>
      </c>
      <c r="C2261" s="5" t="n">
        <v>46205.34818287037</v>
      </c>
      <c r="D2261" t="inlineStr">
        <is>
          <t>BUY</t>
        </is>
      </c>
      <c r="E2261" t="inlineStr">
        <is>
          <t>Yes</t>
        </is>
      </c>
      <c r="F2261" s="2" t="n">
        <v>0.001</v>
      </c>
      <c r="G2261" s="6" t="n">
        <v>1000</v>
      </c>
      <c r="H2261" s="6">
        <f>F2261*G2261</f>
        <v/>
      </c>
      <c r="I2261">
        <f>_xlfn.XLOOKUP(A2261,MktTitle,MktCat,"n/a")</f>
        <v/>
      </c>
      <c r="J2261" s="3">
        <f>_xlfn.XLOOKUP(A2261,MktTitle,MktTotVol,0)</f>
        <v/>
      </c>
      <c r="K2261">
        <f>IF(H2261&gt;WhaleThreshold,"WHALE","")</f>
        <v/>
      </c>
    </row>
    <row r="2262">
      <c r="A2262" t="inlineStr">
        <is>
          <t>Will Cape Verde win the 2026 FIFA World Cup?</t>
        </is>
      </c>
      <c r="B2262" s="4" t="n">
        <v>46205</v>
      </c>
      <c r="C2262" s="5" t="n">
        <v>46205.33994212963</v>
      </c>
      <c r="D2262" t="inlineStr">
        <is>
          <t>BUY</t>
        </is>
      </c>
      <c r="E2262" t="inlineStr">
        <is>
          <t>Yes</t>
        </is>
      </c>
      <c r="F2262" s="2" t="n">
        <v>0.001</v>
      </c>
      <c r="G2262" s="6" t="n">
        <v>1450</v>
      </c>
      <c r="H2262" s="6">
        <f>F2262*G2262</f>
        <v/>
      </c>
      <c r="I2262">
        <f>_xlfn.XLOOKUP(A2262,MktTitle,MktCat,"n/a")</f>
        <v/>
      </c>
      <c r="J2262" s="3">
        <f>_xlfn.XLOOKUP(A2262,MktTitle,MktTotVol,0)</f>
        <v/>
      </c>
      <c r="K2262">
        <f>IF(H2262&gt;WhaleThreshold,"WHALE","")</f>
        <v/>
      </c>
    </row>
    <row r="2263">
      <c r="A2263" t="inlineStr">
        <is>
          <t>Will Cape Verde win the 2026 FIFA World Cup?</t>
        </is>
      </c>
      <c r="B2263" s="4" t="n">
        <v>46205</v>
      </c>
      <c r="C2263" s="5" t="n">
        <v>46205.32578703704</v>
      </c>
      <c r="D2263" t="inlineStr">
        <is>
          <t>BUY</t>
        </is>
      </c>
      <c r="E2263" t="inlineStr">
        <is>
          <t>Yes</t>
        </is>
      </c>
      <c r="F2263" s="2" t="n">
        <v>0.001</v>
      </c>
      <c r="G2263" s="6" t="n">
        <v>9700</v>
      </c>
      <c r="H2263" s="6">
        <f>F2263*G2263</f>
        <v/>
      </c>
      <c r="I2263">
        <f>_xlfn.XLOOKUP(A2263,MktTitle,MktCat,"n/a")</f>
        <v/>
      </c>
      <c r="J2263" s="3">
        <f>_xlfn.XLOOKUP(A2263,MktTitle,MktTotVol,0)</f>
        <v/>
      </c>
      <c r="K2263">
        <f>IF(H2263&gt;WhaleThreshold,"WHALE","")</f>
        <v/>
      </c>
    </row>
    <row r="2264">
      <c r="A2264" t="inlineStr">
        <is>
          <t>Will Cape Verde win the 2026 FIFA World Cup?</t>
        </is>
      </c>
      <c r="B2264" s="4" t="n">
        <v>46205</v>
      </c>
      <c r="C2264" s="5" t="n">
        <v>46205.32488425926</v>
      </c>
      <c r="D2264" t="inlineStr">
        <is>
          <t>BUY</t>
        </is>
      </c>
      <c r="E2264" t="inlineStr">
        <is>
          <t>Yes</t>
        </is>
      </c>
      <c r="F2264" s="2" t="n">
        <v>0.001</v>
      </c>
      <c r="G2264" s="6" t="n">
        <v>19410</v>
      </c>
      <c r="H2264" s="6">
        <f>F2264*G2264</f>
        <v/>
      </c>
      <c r="I2264">
        <f>_xlfn.XLOOKUP(A2264,MktTitle,MktCat,"n/a")</f>
        <v/>
      </c>
      <c r="J2264" s="3">
        <f>_xlfn.XLOOKUP(A2264,MktTitle,MktTotVol,0)</f>
        <v/>
      </c>
      <c r="K2264">
        <f>IF(H2264&gt;WhaleThreshold,"WHALE","")</f>
        <v/>
      </c>
    </row>
    <row r="2265">
      <c r="A2265" t="inlineStr">
        <is>
          <t>Will Cape Verde win the 2026 FIFA World Cup?</t>
        </is>
      </c>
      <c r="B2265" s="4" t="n">
        <v>46205</v>
      </c>
      <c r="C2265" s="5" t="n">
        <v>46205.32320601852</v>
      </c>
      <c r="D2265" t="inlineStr">
        <is>
          <t>BUY</t>
        </is>
      </c>
      <c r="E2265" t="inlineStr">
        <is>
          <t>Yes</t>
        </is>
      </c>
      <c r="F2265" s="2" t="n">
        <v>0.001</v>
      </c>
      <c r="G2265" s="6" t="n">
        <v>1000</v>
      </c>
      <c r="H2265" s="6">
        <f>F2265*G2265</f>
        <v/>
      </c>
      <c r="I2265">
        <f>_xlfn.XLOOKUP(A2265,MktTitle,MktCat,"n/a")</f>
        <v/>
      </c>
      <c r="J2265" s="3">
        <f>_xlfn.XLOOKUP(A2265,MktTitle,MktTotVol,0)</f>
        <v/>
      </c>
      <c r="K2265">
        <f>IF(H2265&gt;WhaleThreshold,"WHALE","")</f>
        <v/>
      </c>
    </row>
    <row r="2266">
      <c r="A2266" t="inlineStr">
        <is>
          <t>Will Cape Verde win the 2026 FIFA World Cup?</t>
        </is>
      </c>
      <c r="B2266" s="4" t="n">
        <v>46205</v>
      </c>
      <c r="C2266" s="5" t="n">
        <v>46205.31956018518</v>
      </c>
      <c r="D2266" t="inlineStr">
        <is>
          <t>BUY</t>
        </is>
      </c>
      <c r="E2266" t="inlineStr">
        <is>
          <t>Yes</t>
        </is>
      </c>
      <c r="F2266" s="2" t="n">
        <v>0.001</v>
      </c>
      <c r="G2266" s="6" t="n">
        <v>5000</v>
      </c>
      <c r="H2266" s="6">
        <f>F2266*G2266</f>
        <v/>
      </c>
      <c r="I2266">
        <f>_xlfn.XLOOKUP(A2266,MktTitle,MktCat,"n/a")</f>
        <v/>
      </c>
      <c r="J2266" s="3">
        <f>_xlfn.XLOOKUP(A2266,MktTitle,MktTotVol,0)</f>
        <v/>
      </c>
      <c r="K2266">
        <f>IF(H2266&gt;WhaleThreshold,"WHALE","")</f>
        <v/>
      </c>
    </row>
    <row r="2267">
      <c r="A2267" t="inlineStr">
        <is>
          <t>Will Cape Verde win the 2026 FIFA World Cup?</t>
        </is>
      </c>
      <c r="B2267" s="4" t="n">
        <v>46205</v>
      </c>
      <c r="C2267" s="5" t="n">
        <v>46205.31883101852</v>
      </c>
      <c r="D2267" t="inlineStr">
        <is>
          <t>BUY</t>
        </is>
      </c>
      <c r="E2267" t="inlineStr">
        <is>
          <t>Yes</t>
        </is>
      </c>
      <c r="F2267" s="2" t="n">
        <v>0.001</v>
      </c>
      <c r="G2267" s="6" t="n">
        <v>1000</v>
      </c>
      <c r="H2267" s="6">
        <f>F2267*G2267</f>
        <v/>
      </c>
      <c r="I2267">
        <f>_xlfn.XLOOKUP(A2267,MktTitle,MktCat,"n/a")</f>
        <v/>
      </c>
      <c r="J2267" s="3">
        <f>_xlfn.XLOOKUP(A2267,MktTitle,MktTotVol,0)</f>
        <v/>
      </c>
      <c r="K2267">
        <f>IF(H2267&gt;WhaleThreshold,"WHALE","")</f>
        <v/>
      </c>
    </row>
    <row r="2268">
      <c r="A2268" t="inlineStr">
        <is>
          <t>Will Cape Verde win the 2026 FIFA World Cup?</t>
        </is>
      </c>
      <c r="B2268" s="4" t="n">
        <v>46205</v>
      </c>
      <c r="C2268" s="5" t="n">
        <v>46205.31189814815</v>
      </c>
      <c r="D2268" t="inlineStr">
        <is>
          <t>BUY</t>
        </is>
      </c>
      <c r="E2268" t="inlineStr">
        <is>
          <t>Yes</t>
        </is>
      </c>
      <c r="F2268" s="2" t="n">
        <v>0.001</v>
      </c>
      <c r="G2268" s="6" t="n">
        <v>10000</v>
      </c>
      <c r="H2268" s="6">
        <f>F2268*G2268</f>
        <v/>
      </c>
      <c r="I2268">
        <f>_xlfn.XLOOKUP(A2268,MktTitle,MktCat,"n/a")</f>
        <v/>
      </c>
      <c r="J2268" s="3">
        <f>_xlfn.XLOOKUP(A2268,MktTitle,MktTotVol,0)</f>
        <v/>
      </c>
      <c r="K2268">
        <f>IF(H2268&gt;WhaleThreshold,"WHALE","")</f>
        <v/>
      </c>
    </row>
    <row r="2269">
      <c r="A2269" t="inlineStr">
        <is>
          <t>Will Cape Verde win the 2026 FIFA World Cup?</t>
        </is>
      </c>
      <c r="B2269" s="4" t="n">
        <v>46205</v>
      </c>
      <c r="C2269" s="5" t="n">
        <v>46205.30851851852</v>
      </c>
      <c r="D2269" t="inlineStr">
        <is>
          <t>BUY</t>
        </is>
      </c>
      <c r="E2269" t="inlineStr">
        <is>
          <t>Yes</t>
        </is>
      </c>
      <c r="F2269" s="2" t="n">
        <v>0.001</v>
      </c>
      <c r="G2269" s="6" t="n">
        <v>1000</v>
      </c>
      <c r="H2269" s="6">
        <f>F2269*G2269</f>
        <v/>
      </c>
      <c r="I2269">
        <f>_xlfn.XLOOKUP(A2269,MktTitle,MktCat,"n/a")</f>
        <v/>
      </c>
      <c r="J2269" s="3">
        <f>_xlfn.XLOOKUP(A2269,MktTitle,MktTotVol,0)</f>
        <v/>
      </c>
      <c r="K2269">
        <f>IF(H2269&gt;WhaleThreshold,"WHALE","")</f>
        <v/>
      </c>
    </row>
    <row r="2270">
      <c r="A2270" t="inlineStr">
        <is>
          <t>Will Cape Verde win the 2026 FIFA World Cup?</t>
        </is>
      </c>
      <c r="B2270" s="4" t="n">
        <v>46205</v>
      </c>
      <c r="C2270" s="5" t="n">
        <v>46205.30498842592</v>
      </c>
      <c r="D2270" t="inlineStr">
        <is>
          <t>BUY</t>
        </is>
      </c>
      <c r="E2270" t="inlineStr">
        <is>
          <t>Yes</t>
        </is>
      </c>
      <c r="F2270" s="2" t="n">
        <v>0.001</v>
      </c>
      <c r="G2270" s="6" t="n">
        <v>1130</v>
      </c>
      <c r="H2270" s="6">
        <f>F2270*G2270</f>
        <v/>
      </c>
      <c r="I2270">
        <f>_xlfn.XLOOKUP(A2270,MktTitle,MktCat,"n/a")</f>
        <v/>
      </c>
      <c r="J2270" s="3">
        <f>_xlfn.XLOOKUP(A2270,MktTitle,MktTotVol,0)</f>
        <v/>
      </c>
      <c r="K2270">
        <f>IF(H2270&gt;WhaleThreshold,"WHALE","")</f>
        <v/>
      </c>
    </row>
    <row r="2271">
      <c r="A2271" t="inlineStr">
        <is>
          <t>Will Cape Verde win the 2026 FIFA World Cup?</t>
        </is>
      </c>
      <c r="B2271" s="4" t="n">
        <v>46205</v>
      </c>
      <c r="C2271" s="5" t="n">
        <v>46205.30483796296</v>
      </c>
      <c r="D2271" t="inlineStr">
        <is>
          <t>BUY</t>
        </is>
      </c>
      <c r="E2271" t="inlineStr">
        <is>
          <t>Yes</t>
        </is>
      </c>
      <c r="F2271" s="2" t="n">
        <v>0.001</v>
      </c>
      <c r="G2271" s="6" t="n">
        <v>1130</v>
      </c>
      <c r="H2271" s="6">
        <f>F2271*G2271</f>
        <v/>
      </c>
      <c r="I2271">
        <f>_xlfn.XLOOKUP(A2271,MktTitle,MktCat,"n/a")</f>
        <v/>
      </c>
      <c r="J2271" s="3">
        <f>_xlfn.XLOOKUP(A2271,MktTitle,MktTotVol,0)</f>
        <v/>
      </c>
      <c r="K2271">
        <f>IF(H2271&gt;WhaleThreshold,"WHALE","")</f>
        <v/>
      </c>
    </row>
    <row r="2272">
      <c r="A2272" t="inlineStr">
        <is>
          <t>Will Cape Verde win the 2026 FIFA World Cup?</t>
        </is>
      </c>
      <c r="B2272" s="4" t="n">
        <v>46205</v>
      </c>
      <c r="C2272" s="5" t="n">
        <v>46205.2950462963</v>
      </c>
      <c r="D2272" t="inlineStr">
        <is>
          <t>BUY</t>
        </is>
      </c>
      <c r="E2272" t="inlineStr">
        <is>
          <t>Yes</t>
        </is>
      </c>
      <c r="F2272" s="2" t="n">
        <v>0.001</v>
      </c>
      <c r="G2272" s="6" t="n">
        <v>4850</v>
      </c>
      <c r="H2272" s="6">
        <f>F2272*G2272</f>
        <v/>
      </c>
      <c r="I2272">
        <f>_xlfn.XLOOKUP(A2272,MktTitle,MktCat,"n/a")</f>
        <v/>
      </c>
      <c r="J2272" s="3">
        <f>_xlfn.XLOOKUP(A2272,MktTitle,MktTotVol,0)</f>
        <v/>
      </c>
      <c r="K2272">
        <f>IF(H2272&gt;WhaleThreshold,"WHALE","")</f>
        <v/>
      </c>
    </row>
    <row r="2273">
      <c r="A2273" t="inlineStr">
        <is>
          <t>Will Cape Verde win the 2026 FIFA World Cup?</t>
        </is>
      </c>
      <c r="B2273" s="4" t="n">
        <v>46205</v>
      </c>
      <c r="C2273" s="5" t="n">
        <v>46205.28707175926</v>
      </c>
      <c r="D2273" t="inlineStr">
        <is>
          <t>BUY</t>
        </is>
      </c>
      <c r="E2273" t="inlineStr">
        <is>
          <t>Yes</t>
        </is>
      </c>
      <c r="F2273" s="2" t="n">
        <v>0.001</v>
      </c>
      <c r="G2273" s="6" t="n">
        <v>2910</v>
      </c>
      <c r="H2273" s="6">
        <f>F2273*G2273</f>
        <v/>
      </c>
      <c r="I2273">
        <f>_xlfn.XLOOKUP(A2273,MktTitle,MktCat,"n/a")</f>
        <v/>
      </c>
      <c r="J2273" s="3">
        <f>_xlfn.XLOOKUP(A2273,MktTitle,MktTotVol,0)</f>
        <v/>
      </c>
      <c r="K2273">
        <f>IF(H2273&gt;WhaleThreshold,"WHALE","")</f>
        <v/>
      </c>
    </row>
    <row r="2274">
      <c r="A2274" t="inlineStr">
        <is>
          <t>Will Cape Verde win the 2026 FIFA World Cup?</t>
        </is>
      </c>
      <c r="B2274" s="4" t="n">
        <v>46205</v>
      </c>
      <c r="C2274" s="5" t="n">
        <v>46205.2855324074</v>
      </c>
      <c r="D2274" t="inlineStr">
        <is>
          <t>BUY</t>
        </is>
      </c>
      <c r="E2274" t="inlineStr">
        <is>
          <t>Yes</t>
        </is>
      </c>
      <c r="F2274" s="2" t="n">
        <v>0.001</v>
      </c>
      <c r="G2274" s="6" t="n">
        <v>2330</v>
      </c>
      <c r="H2274" s="6">
        <f>F2274*G2274</f>
        <v/>
      </c>
      <c r="I2274">
        <f>_xlfn.XLOOKUP(A2274,MktTitle,MktCat,"n/a")</f>
        <v/>
      </c>
      <c r="J2274" s="3">
        <f>_xlfn.XLOOKUP(A2274,MktTitle,MktTotVol,0)</f>
        <v/>
      </c>
      <c r="K2274">
        <f>IF(H2274&gt;WhaleThreshold,"WHALE","")</f>
        <v/>
      </c>
    </row>
    <row r="2275">
      <c r="A2275" t="inlineStr">
        <is>
          <t>Will Cape Verde win the 2026 FIFA World Cup?</t>
        </is>
      </c>
      <c r="B2275" s="4" t="n">
        <v>46205</v>
      </c>
      <c r="C2275" s="5" t="n">
        <v>46205.27178240741</v>
      </c>
      <c r="D2275" t="inlineStr">
        <is>
          <t>BUY</t>
        </is>
      </c>
      <c r="E2275" t="inlineStr">
        <is>
          <t>Yes</t>
        </is>
      </c>
      <c r="F2275" s="2" t="n">
        <v>0.001</v>
      </c>
      <c r="G2275" s="6" t="n">
        <v>1941.74</v>
      </c>
      <c r="H2275" s="6">
        <f>F2275*G2275</f>
        <v/>
      </c>
      <c r="I2275">
        <f>_xlfn.XLOOKUP(A2275,MktTitle,MktCat,"n/a")</f>
        <v/>
      </c>
      <c r="J2275" s="3">
        <f>_xlfn.XLOOKUP(A2275,MktTitle,MktTotVol,0)</f>
        <v/>
      </c>
      <c r="K2275">
        <f>IF(H2275&gt;WhaleThreshold,"WHALE","")</f>
        <v/>
      </c>
    </row>
    <row r="2276">
      <c r="A2276" t="inlineStr">
        <is>
          <t>Will Cape Verde win the 2026 FIFA World Cup?</t>
        </is>
      </c>
      <c r="B2276" s="4" t="n">
        <v>46205</v>
      </c>
      <c r="C2276" s="5" t="n">
        <v>46205.25248842593</v>
      </c>
      <c r="D2276" t="inlineStr">
        <is>
          <t>BUY</t>
        </is>
      </c>
      <c r="E2276" t="inlineStr">
        <is>
          <t>Yes</t>
        </is>
      </c>
      <c r="F2276" s="2" t="n">
        <v>0.001</v>
      </c>
      <c r="G2276" s="6" t="n">
        <v>1450</v>
      </c>
      <c r="H2276" s="6">
        <f>F2276*G2276</f>
        <v/>
      </c>
      <c r="I2276">
        <f>_xlfn.XLOOKUP(A2276,MktTitle,MktCat,"n/a")</f>
        <v/>
      </c>
      <c r="J2276" s="3">
        <f>_xlfn.XLOOKUP(A2276,MktTitle,MktTotVol,0)</f>
        <v/>
      </c>
      <c r="K2276">
        <f>IF(H2276&gt;WhaleThreshold,"WHALE","")</f>
        <v/>
      </c>
    </row>
    <row r="2277">
      <c r="A2277" t="inlineStr">
        <is>
          <t>Will Cape Verde win the 2026 FIFA World Cup?</t>
        </is>
      </c>
      <c r="B2277" s="4" t="n">
        <v>46205</v>
      </c>
      <c r="C2277" s="5" t="n">
        <v>46205.25005787037</v>
      </c>
      <c r="D2277" t="inlineStr">
        <is>
          <t>BUY</t>
        </is>
      </c>
      <c r="E2277" t="inlineStr">
        <is>
          <t>Yes</t>
        </is>
      </c>
      <c r="F2277" s="2" t="n">
        <v>0.001</v>
      </c>
      <c r="G2277" s="6" t="n">
        <v>1941.74</v>
      </c>
      <c r="H2277" s="6">
        <f>F2277*G2277</f>
        <v/>
      </c>
      <c r="I2277">
        <f>_xlfn.XLOOKUP(A2277,MktTitle,MktCat,"n/a")</f>
        <v/>
      </c>
      <c r="J2277" s="3">
        <f>_xlfn.XLOOKUP(A2277,MktTitle,MktTotVol,0)</f>
        <v/>
      </c>
      <c r="K2277">
        <f>IF(H2277&gt;WhaleThreshold,"WHALE","")</f>
        <v/>
      </c>
    </row>
    <row r="2278">
      <c r="A2278" t="inlineStr">
        <is>
          <t>Will Cape Verde win the 2026 FIFA World Cup?</t>
        </is>
      </c>
      <c r="B2278" s="4" t="n">
        <v>46205</v>
      </c>
      <c r="C2278" s="5" t="n">
        <v>46205.24997685185</v>
      </c>
      <c r="D2278" t="inlineStr">
        <is>
          <t>BUY</t>
        </is>
      </c>
      <c r="E2278" t="inlineStr">
        <is>
          <t>Yes</t>
        </is>
      </c>
      <c r="F2278" s="2" t="n">
        <v>0.001</v>
      </c>
      <c r="G2278" s="6" t="n">
        <v>28340</v>
      </c>
      <c r="H2278" s="6">
        <f>F2278*G2278</f>
        <v/>
      </c>
      <c r="I2278">
        <f>_xlfn.XLOOKUP(A2278,MktTitle,MktCat,"n/a")</f>
        <v/>
      </c>
      <c r="J2278" s="3">
        <f>_xlfn.XLOOKUP(A2278,MktTitle,MktTotVol,0)</f>
        <v/>
      </c>
      <c r="K2278">
        <f>IF(H2278&gt;WhaleThreshold,"WHALE","")</f>
        <v/>
      </c>
    </row>
    <row r="2279">
      <c r="A2279" t="inlineStr">
        <is>
          <t>Will Cape Verde win the 2026 FIFA World Cup?</t>
        </is>
      </c>
      <c r="B2279" s="4" t="n">
        <v>46205</v>
      </c>
      <c r="C2279" s="5" t="n">
        <v>46205.23747685185</v>
      </c>
      <c r="D2279" t="inlineStr">
        <is>
          <t>BUY</t>
        </is>
      </c>
      <c r="E2279" t="inlineStr">
        <is>
          <t>Yes</t>
        </is>
      </c>
      <c r="F2279" s="2" t="n">
        <v>0.001</v>
      </c>
      <c r="G2279" s="6" t="n">
        <v>100000</v>
      </c>
      <c r="H2279" s="6">
        <f>F2279*G2279</f>
        <v/>
      </c>
      <c r="I2279">
        <f>_xlfn.XLOOKUP(A2279,MktTitle,MktCat,"n/a")</f>
        <v/>
      </c>
      <c r="J2279" s="3">
        <f>_xlfn.XLOOKUP(A2279,MktTitle,MktTotVol,0)</f>
        <v/>
      </c>
      <c r="K2279">
        <f>IF(H2279&gt;WhaleThreshold,"WHALE","")</f>
        <v/>
      </c>
    </row>
    <row r="2280">
      <c r="A2280" t="inlineStr">
        <is>
          <t>Will Cape Verde win the 2026 FIFA World Cup?</t>
        </is>
      </c>
      <c r="B2280" s="4" t="n">
        <v>46205</v>
      </c>
      <c r="C2280" s="5" t="n">
        <v>46205.23733796296</v>
      </c>
      <c r="D2280" t="inlineStr">
        <is>
          <t>BUY</t>
        </is>
      </c>
      <c r="E2280" t="inlineStr">
        <is>
          <t>Yes</t>
        </is>
      </c>
      <c r="F2280" s="2" t="n">
        <v>0.001</v>
      </c>
      <c r="G2280" s="6" t="n">
        <v>1940</v>
      </c>
      <c r="H2280" s="6">
        <f>F2280*G2280</f>
        <v/>
      </c>
      <c r="I2280">
        <f>_xlfn.XLOOKUP(A2280,MktTitle,MktCat,"n/a")</f>
        <v/>
      </c>
      <c r="J2280" s="3">
        <f>_xlfn.XLOOKUP(A2280,MktTitle,MktTotVol,0)</f>
        <v/>
      </c>
      <c r="K2280">
        <f>IF(H2280&gt;WhaleThreshold,"WHALE","")</f>
        <v/>
      </c>
    </row>
    <row r="2281">
      <c r="A2281" t="inlineStr">
        <is>
          <t>Will Cape Verde win the 2026 FIFA World Cup?</t>
        </is>
      </c>
      <c r="B2281" s="4" t="n">
        <v>46205</v>
      </c>
      <c r="C2281" s="5" t="n">
        <v>46205.23265046296</v>
      </c>
      <c r="D2281" t="inlineStr">
        <is>
          <t>BUY</t>
        </is>
      </c>
      <c r="E2281" t="inlineStr">
        <is>
          <t>Yes</t>
        </is>
      </c>
      <c r="F2281" s="2" t="n">
        <v>0.001</v>
      </c>
      <c r="G2281" s="6" t="n">
        <v>10000</v>
      </c>
      <c r="H2281" s="6">
        <f>F2281*G2281</f>
        <v/>
      </c>
      <c r="I2281">
        <f>_xlfn.XLOOKUP(A2281,MktTitle,MktCat,"n/a")</f>
        <v/>
      </c>
      <c r="J2281" s="3">
        <f>_xlfn.XLOOKUP(A2281,MktTitle,MktTotVol,0)</f>
        <v/>
      </c>
      <c r="K2281">
        <f>IF(H2281&gt;WhaleThreshold,"WHALE","")</f>
        <v/>
      </c>
    </row>
    <row r="2282">
      <c r="A2282" t="inlineStr">
        <is>
          <t>Will Cape Verde win the 2026 FIFA World Cup?</t>
        </is>
      </c>
      <c r="B2282" s="4" t="n">
        <v>46205</v>
      </c>
      <c r="C2282" s="5" t="n">
        <v>46205.23207175926</v>
      </c>
      <c r="D2282" t="inlineStr">
        <is>
          <t>BUY</t>
        </is>
      </c>
      <c r="E2282" t="inlineStr">
        <is>
          <t>Yes</t>
        </is>
      </c>
      <c r="F2282" s="2" t="n">
        <v>0.001</v>
      </c>
      <c r="G2282" s="6" t="n">
        <v>14200</v>
      </c>
      <c r="H2282" s="6">
        <f>F2282*G2282</f>
        <v/>
      </c>
      <c r="I2282">
        <f>_xlfn.XLOOKUP(A2282,MktTitle,MktCat,"n/a")</f>
        <v/>
      </c>
      <c r="J2282" s="3">
        <f>_xlfn.XLOOKUP(A2282,MktTitle,MktTotVol,0)</f>
        <v/>
      </c>
      <c r="K2282">
        <f>IF(H2282&gt;WhaleThreshold,"WHALE","")</f>
        <v/>
      </c>
    </row>
    <row r="2283">
      <c r="A2283" t="inlineStr">
        <is>
          <t>Will Cape Verde win the 2026 FIFA World Cup?</t>
        </is>
      </c>
      <c r="B2283" s="4" t="n">
        <v>46205</v>
      </c>
      <c r="C2283" s="5" t="n">
        <v>46205.22848379629</v>
      </c>
      <c r="D2283" t="inlineStr">
        <is>
          <t>BUY</t>
        </is>
      </c>
      <c r="E2283" t="inlineStr">
        <is>
          <t>Yes</t>
        </is>
      </c>
      <c r="F2283" s="2" t="n">
        <v>0.001</v>
      </c>
      <c r="G2283" s="6" t="n">
        <v>1940</v>
      </c>
      <c r="H2283" s="6">
        <f>F2283*G2283</f>
        <v/>
      </c>
      <c r="I2283">
        <f>_xlfn.XLOOKUP(A2283,MktTitle,MktCat,"n/a")</f>
        <v/>
      </c>
      <c r="J2283" s="3">
        <f>_xlfn.XLOOKUP(A2283,MktTitle,MktTotVol,0)</f>
        <v/>
      </c>
      <c r="K2283">
        <f>IF(H2283&gt;WhaleThreshold,"WHALE","")</f>
        <v/>
      </c>
    </row>
    <row r="2284">
      <c r="A2284" t="inlineStr">
        <is>
          <t>Will Cape Verde win the 2026 FIFA World Cup?</t>
        </is>
      </c>
      <c r="B2284" s="4" t="n">
        <v>46205</v>
      </c>
      <c r="C2284" s="5" t="n">
        <v>46205.22589120371</v>
      </c>
      <c r="D2284" t="inlineStr">
        <is>
          <t>BUY</t>
        </is>
      </c>
      <c r="E2284" t="inlineStr">
        <is>
          <t>Yes</t>
        </is>
      </c>
      <c r="F2284" s="2" t="n">
        <v>0.001</v>
      </c>
      <c r="G2284" s="6" t="n">
        <v>1000</v>
      </c>
      <c r="H2284" s="6">
        <f>F2284*G2284</f>
        <v/>
      </c>
      <c r="I2284">
        <f>_xlfn.XLOOKUP(A2284,MktTitle,MktCat,"n/a")</f>
        <v/>
      </c>
      <c r="J2284" s="3">
        <f>_xlfn.XLOOKUP(A2284,MktTitle,MktTotVol,0)</f>
        <v/>
      </c>
      <c r="K2284">
        <f>IF(H2284&gt;WhaleThreshold,"WHALE","")</f>
        <v/>
      </c>
    </row>
    <row r="2285">
      <c r="A2285" t="inlineStr">
        <is>
          <t>Will Cape Verde win the 2026 FIFA World Cup?</t>
        </is>
      </c>
      <c r="B2285" s="4" t="n">
        <v>46205</v>
      </c>
      <c r="C2285" s="5" t="n">
        <v>46205.22119212963</v>
      </c>
      <c r="D2285" t="inlineStr">
        <is>
          <t>BUY</t>
        </is>
      </c>
      <c r="E2285" t="inlineStr">
        <is>
          <t>Yes</t>
        </is>
      </c>
      <c r="F2285" s="2" t="n">
        <v>0.001</v>
      </c>
      <c r="G2285" s="6" t="n">
        <v>5000</v>
      </c>
      <c r="H2285" s="6">
        <f>F2285*G2285</f>
        <v/>
      </c>
      <c r="I2285">
        <f>_xlfn.XLOOKUP(A2285,MktTitle,MktCat,"n/a")</f>
        <v/>
      </c>
      <c r="J2285" s="3">
        <f>_xlfn.XLOOKUP(A2285,MktTitle,MktTotVol,0)</f>
        <v/>
      </c>
      <c r="K2285">
        <f>IF(H2285&gt;WhaleThreshold,"WHALE","")</f>
        <v/>
      </c>
    </row>
    <row r="2286">
      <c r="A2286" t="inlineStr">
        <is>
          <t>Will Cape Verde win the 2026 FIFA World Cup?</t>
        </is>
      </c>
      <c r="B2286" s="4" t="n">
        <v>46205</v>
      </c>
      <c r="C2286" s="5" t="n">
        <v>46205.20971064815</v>
      </c>
      <c r="D2286" t="inlineStr">
        <is>
          <t>BUY</t>
        </is>
      </c>
      <c r="E2286" t="inlineStr">
        <is>
          <t>Yes</t>
        </is>
      </c>
      <c r="F2286" s="2" t="n">
        <v>0.001</v>
      </c>
      <c r="G2286" s="6" t="n">
        <v>1450</v>
      </c>
      <c r="H2286" s="6">
        <f>F2286*G2286</f>
        <v/>
      </c>
      <c r="I2286">
        <f>_xlfn.XLOOKUP(A2286,MktTitle,MktCat,"n/a")</f>
        <v/>
      </c>
      <c r="J2286" s="3">
        <f>_xlfn.XLOOKUP(A2286,MktTitle,MktTotVol,0)</f>
        <v/>
      </c>
      <c r="K2286">
        <f>IF(H2286&gt;WhaleThreshold,"WHALE","")</f>
        <v/>
      </c>
    </row>
    <row r="2287">
      <c r="A2287" t="inlineStr">
        <is>
          <t>Will Cape Verde win the 2026 FIFA World Cup?</t>
        </is>
      </c>
      <c r="B2287" s="4" t="n">
        <v>46205</v>
      </c>
      <c r="C2287" s="5" t="n">
        <v>46205.20896990741</v>
      </c>
      <c r="D2287" t="inlineStr">
        <is>
          <t>BUY</t>
        </is>
      </c>
      <c r="E2287" t="inlineStr">
        <is>
          <t>Yes</t>
        </is>
      </c>
      <c r="F2287" s="2" t="n">
        <v>0.001</v>
      </c>
      <c r="G2287" s="6" t="n">
        <v>6140</v>
      </c>
      <c r="H2287" s="6">
        <f>F2287*G2287</f>
        <v/>
      </c>
      <c r="I2287">
        <f>_xlfn.XLOOKUP(A2287,MktTitle,MktCat,"n/a")</f>
        <v/>
      </c>
      <c r="J2287" s="3">
        <f>_xlfn.XLOOKUP(A2287,MktTitle,MktTotVol,0)</f>
        <v/>
      </c>
      <c r="K2287">
        <f>IF(H2287&gt;WhaleThreshold,"WHALE","")</f>
        <v/>
      </c>
    </row>
    <row r="2288">
      <c r="A2288" t="inlineStr">
        <is>
          <t>Will Cape Verde win the 2026 FIFA World Cup?</t>
        </is>
      </c>
      <c r="B2288" s="4" t="n">
        <v>46205</v>
      </c>
      <c r="C2288" s="5" t="n">
        <v>46205.20146990741</v>
      </c>
      <c r="D2288" t="inlineStr">
        <is>
          <t>BUY</t>
        </is>
      </c>
      <c r="E2288" t="inlineStr">
        <is>
          <t>Yes</t>
        </is>
      </c>
      <c r="F2288" s="2" t="n">
        <v>0.001</v>
      </c>
      <c r="G2288" s="6" t="n">
        <v>23120</v>
      </c>
      <c r="H2288" s="6">
        <f>F2288*G2288</f>
        <v/>
      </c>
      <c r="I2288">
        <f>_xlfn.XLOOKUP(A2288,MktTitle,MktCat,"n/a")</f>
        <v/>
      </c>
      <c r="J2288" s="3">
        <f>_xlfn.XLOOKUP(A2288,MktTitle,MktTotVol,0)</f>
        <v/>
      </c>
      <c r="K2288">
        <f>IF(H2288&gt;WhaleThreshold,"WHALE","")</f>
        <v/>
      </c>
    </row>
    <row r="2289">
      <c r="A2289" t="inlineStr">
        <is>
          <t>Will Cape Verde win the 2026 FIFA World Cup?</t>
        </is>
      </c>
      <c r="B2289" s="4" t="n">
        <v>46205</v>
      </c>
      <c r="C2289" s="5" t="n">
        <v>46205.19898148148</v>
      </c>
      <c r="D2289" t="inlineStr">
        <is>
          <t>BUY</t>
        </is>
      </c>
      <c r="E2289" t="inlineStr">
        <is>
          <t>Yes</t>
        </is>
      </c>
      <c r="F2289" s="2" t="n">
        <v>0.001</v>
      </c>
      <c r="G2289" s="6" t="n">
        <v>1941.74</v>
      </c>
      <c r="H2289" s="6">
        <f>F2289*G2289</f>
        <v/>
      </c>
      <c r="I2289">
        <f>_xlfn.XLOOKUP(A2289,MktTitle,MktCat,"n/a")</f>
        <v/>
      </c>
      <c r="J2289" s="3">
        <f>_xlfn.XLOOKUP(A2289,MktTitle,MktTotVol,0)</f>
        <v/>
      </c>
      <c r="K2289">
        <f>IF(H2289&gt;WhaleThreshold,"WHALE","")</f>
        <v/>
      </c>
    </row>
    <row r="2290">
      <c r="A2290" t="inlineStr">
        <is>
          <t>Will Cape Verde win the 2026 FIFA World Cup?</t>
        </is>
      </c>
      <c r="B2290" s="4" t="n">
        <v>46205</v>
      </c>
      <c r="C2290" s="5" t="n">
        <v>46205.18508101852</v>
      </c>
      <c r="D2290" t="inlineStr">
        <is>
          <t>BUY</t>
        </is>
      </c>
      <c r="E2290" t="inlineStr">
        <is>
          <t>Yes</t>
        </is>
      </c>
      <c r="F2290" s="2" t="n">
        <v>0.001</v>
      </c>
      <c r="G2290" s="6" t="n">
        <v>1000</v>
      </c>
      <c r="H2290" s="6">
        <f>F2290*G2290</f>
        <v/>
      </c>
      <c r="I2290">
        <f>_xlfn.XLOOKUP(A2290,MktTitle,MktCat,"n/a")</f>
        <v/>
      </c>
      <c r="J2290" s="3">
        <f>_xlfn.XLOOKUP(A2290,MktTitle,MktTotVol,0)</f>
        <v/>
      </c>
      <c r="K2290">
        <f>IF(H2290&gt;WhaleThreshold,"WHALE","")</f>
        <v/>
      </c>
    </row>
    <row r="2291">
      <c r="A2291" t="inlineStr">
        <is>
          <t>Will Cape Verde win the 2026 FIFA World Cup?</t>
        </is>
      </c>
      <c r="B2291" s="4" t="n">
        <v>46205</v>
      </c>
      <c r="C2291" s="5" t="n">
        <v>46205.18505787037</v>
      </c>
      <c r="D2291" t="inlineStr">
        <is>
          <t>BUY</t>
        </is>
      </c>
      <c r="E2291" t="inlineStr">
        <is>
          <t>Yes</t>
        </is>
      </c>
      <c r="F2291" s="2" t="n">
        <v>0.001</v>
      </c>
      <c r="G2291" s="6" t="n">
        <v>4650</v>
      </c>
      <c r="H2291" s="6">
        <f>F2291*G2291</f>
        <v/>
      </c>
      <c r="I2291">
        <f>_xlfn.XLOOKUP(A2291,MktTitle,MktCat,"n/a")</f>
        <v/>
      </c>
      <c r="J2291" s="3">
        <f>_xlfn.XLOOKUP(A2291,MktTitle,MktTotVol,0)</f>
        <v/>
      </c>
      <c r="K2291">
        <f>IF(H2291&gt;WhaleThreshold,"WHALE","")</f>
        <v/>
      </c>
    </row>
    <row r="2292">
      <c r="A2292" t="inlineStr">
        <is>
          <t>Will Cape Verde win the 2026 FIFA World Cup?</t>
        </is>
      </c>
      <c r="B2292" s="4" t="n">
        <v>46205</v>
      </c>
      <c r="C2292" s="5" t="n">
        <v>46205.18240740741</v>
      </c>
      <c r="D2292" t="inlineStr">
        <is>
          <t>BUY</t>
        </is>
      </c>
      <c r="E2292" t="inlineStr">
        <is>
          <t>Yes</t>
        </is>
      </c>
      <c r="F2292" s="2" t="n">
        <v>0.001</v>
      </c>
      <c r="G2292" s="6" t="n">
        <v>1000</v>
      </c>
      <c r="H2292" s="6">
        <f>F2292*G2292</f>
        <v/>
      </c>
      <c r="I2292">
        <f>_xlfn.XLOOKUP(A2292,MktTitle,MktCat,"n/a")</f>
        <v/>
      </c>
      <c r="J2292" s="3">
        <f>_xlfn.XLOOKUP(A2292,MktTitle,MktTotVol,0)</f>
        <v/>
      </c>
      <c r="K2292">
        <f>IF(H2292&gt;WhaleThreshold,"WHALE","")</f>
        <v/>
      </c>
    </row>
    <row r="2293">
      <c r="A2293" t="inlineStr">
        <is>
          <t>Will Cape Verde win the 2026 FIFA World Cup?</t>
        </is>
      </c>
      <c r="B2293" s="4" t="n">
        <v>46205</v>
      </c>
      <c r="C2293" s="5" t="n">
        <v>46205.1743287037</v>
      </c>
      <c r="D2293" t="inlineStr">
        <is>
          <t>BUY</t>
        </is>
      </c>
      <c r="E2293" t="inlineStr">
        <is>
          <t>Yes</t>
        </is>
      </c>
      <c r="F2293" s="2" t="n">
        <v>0.001</v>
      </c>
      <c r="G2293" s="6" t="n">
        <v>1710</v>
      </c>
      <c r="H2293" s="6">
        <f>F2293*G2293</f>
        <v/>
      </c>
      <c r="I2293">
        <f>_xlfn.XLOOKUP(A2293,MktTitle,MktCat,"n/a")</f>
        <v/>
      </c>
      <c r="J2293" s="3">
        <f>_xlfn.XLOOKUP(A2293,MktTitle,MktTotVol,0)</f>
        <v/>
      </c>
      <c r="K2293">
        <f>IF(H2293&gt;WhaleThreshold,"WHALE","")</f>
        <v/>
      </c>
    </row>
    <row r="2294">
      <c r="A2294" t="inlineStr">
        <is>
          <t>Will Cape Verde win the 2026 FIFA World Cup?</t>
        </is>
      </c>
      <c r="B2294" s="4" t="n">
        <v>46205</v>
      </c>
      <c r="C2294" s="5" t="n">
        <v>46205.17042824074</v>
      </c>
      <c r="D2294" t="inlineStr">
        <is>
          <t>BUY</t>
        </is>
      </c>
      <c r="E2294" t="inlineStr">
        <is>
          <t>Yes</t>
        </is>
      </c>
      <c r="F2294" s="2" t="n">
        <v>0.001</v>
      </c>
      <c r="G2294" s="6" t="n">
        <v>4260</v>
      </c>
      <c r="H2294" s="6">
        <f>F2294*G2294</f>
        <v/>
      </c>
      <c r="I2294">
        <f>_xlfn.XLOOKUP(A2294,MktTitle,MktCat,"n/a")</f>
        <v/>
      </c>
      <c r="J2294" s="3">
        <f>_xlfn.XLOOKUP(A2294,MktTitle,MktTotVol,0)</f>
        <v/>
      </c>
      <c r="K2294">
        <f>IF(H2294&gt;WhaleThreshold,"WHALE","")</f>
        <v/>
      </c>
    </row>
    <row r="2295">
      <c r="A2295" t="inlineStr">
        <is>
          <t>Will Cape Verde win the 2026 FIFA World Cup?</t>
        </is>
      </c>
      <c r="B2295" s="4" t="n">
        <v>46205</v>
      </c>
      <c r="C2295" s="5" t="n">
        <v>46205.15439814814</v>
      </c>
      <c r="D2295" t="inlineStr">
        <is>
          <t>BUY</t>
        </is>
      </c>
      <c r="E2295" t="inlineStr">
        <is>
          <t>Yes</t>
        </is>
      </c>
      <c r="F2295" s="2" t="n">
        <v>0.001</v>
      </c>
      <c r="G2295" s="6" t="n">
        <v>11000</v>
      </c>
      <c r="H2295" s="6">
        <f>F2295*G2295</f>
        <v/>
      </c>
      <c r="I2295">
        <f>_xlfn.XLOOKUP(A2295,MktTitle,MktCat,"n/a")</f>
        <v/>
      </c>
      <c r="J2295" s="3">
        <f>_xlfn.XLOOKUP(A2295,MktTitle,MktTotVol,0)</f>
        <v/>
      </c>
      <c r="K2295">
        <f>IF(H2295&gt;WhaleThreshold,"WHALE","")</f>
        <v/>
      </c>
    </row>
    <row r="2296">
      <c r="A2296" t="inlineStr">
        <is>
          <t>Will Cape Verde win the 2026 FIFA World Cup?</t>
        </is>
      </c>
      <c r="B2296" s="4" t="n">
        <v>46205</v>
      </c>
      <c r="C2296" s="5" t="n">
        <v>46205.15068287037</v>
      </c>
      <c r="D2296" t="inlineStr">
        <is>
          <t>BUY</t>
        </is>
      </c>
      <c r="E2296" t="inlineStr">
        <is>
          <t>Yes</t>
        </is>
      </c>
      <c r="F2296" s="2" t="n">
        <v>0.001</v>
      </c>
      <c r="G2296" s="6" t="n">
        <v>1000</v>
      </c>
      <c r="H2296" s="6">
        <f>F2296*G2296</f>
        <v/>
      </c>
      <c r="I2296">
        <f>_xlfn.XLOOKUP(A2296,MktTitle,MktCat,"n/a")</f>
        <v/>
      </c>
      <c r="J2296" s="3">
        <f>_xlfn.XLOOKUP(A2296,MktTitle,MktTotVol,0)</f>
        <v/>
      </c>
      <c r="K2296">
        <f>IF(H2296&gt;WhaleThreshold,"WHALE","")</f>
        <v/>
      </c>
    </row>
    <row r="2297">
      <c r="A2297" t="inlineStr">
        <is>
          <t>Will Cape Verde win the 2026 FIFA World Cup?</t>
        </is>
      </c>
      <c r="B2297" s="4" t="n">
        <v>46205</v>
      </c>
      <c r="C2297" s="5" t="n">
        <v>46205.14699074074</v>
      </c>
      <c r="D2297" t="inlineStr">
        <is>
          <t>BUY</t>
        </is>
      </c>
      <c r="E2297" t="inlineStr">
        <is>
          <t>Yes</t>
        </is>
      </c>
      <c r="F2297" s="2" t="n">
        <v>0.001</v>
      </c>
      <c r="G2297" s="6" t="n">
        <v>1941.74</v>
      </c>
      <c r="H2297" s="6">
        <f>F2297*G2297</f>
        <v/>
      </c>
      <c r="I2297">
        <f>_xlfn.XLOOKUP(A2297,MktTitle,MktCat,"n/a")</f>
        <v/>
      </c>
      <c r="J2297" s="3">
        <f>_xlfn.XLOOKUP(A2297,MktTitle,MktTotVol,0)</f>
        <v/>
      </c>
      <c r="K2297">
        <f>IF(H2297&gt;WhaleThreshold,"WHALE","")</f>
        <v/>
      </c>
    </row>
    <row r="2298">
      <c r="A2298" t="inlineStr">
        <is>
          <t>Will Cape Verde win the 2026 FIFA World Cup?</t>
        </is>
      </c>
      <c r="B2298" s="4" t="n">
        <v>46205</v>
      </c>
      <c r="C2298" s="5" t="n">
        <v>46205.1447800926</v>
      </c>
      <c r="D2298" t="inlineStr">
        <is>
          <t>BUY</t>
        </is>
      </c>
      <c r="E2298" t="inlineStr">
        <is>
          <t>Yes</t>
        </is>
      </c>
      <c r="F2298" s="2" t="n">
        <v>0.001</v>
      </c>
      <c r="G2298" s="6" t="n">
        <v>1450</v>
      </c>
      <c r="H2298" s="6">
        <f>F2298*G2298</f>
        <v/>
      </c>
      <c r="I2298">
        <f>_xlfn.XLOOKUP(A2298,MktTitle,MktCat,"n/a")</f>
        <v/>
      </c>
      <c r="J2298" s="3">
        <f>_xlfn.XLOOKUP(A2298,MktTitle,MktTotVol,0)</f>
        <v/>
      </c>
      <c r="K2298">
        <f>IF(H2298&gt;WhaleThreshold,"WHALE","")</f>
        <v/>
      </c>
    </row>
    <row r="2299">
      <c r="A2299" t="inlineStr">
        <is>
          <t>Will Cape Verde win the 2026 FIFA World Cup?</t>
        </is>
      </c>
      <c r="B2299" s="4" t="n">
        <v>46205</v>
      </c>
      <c r="C2299" s="5" t="n">
        <v>46205.14412037037</v>
      </c>
      <c r="D2299" t="inlineStr">
        <is>
          <t>BUY</t>
        </is>
      </c>
      <c r="E2299" t="inlineStr">
        <is>
          <t>Yes</t>
        </is>
      </c>
      <c r="F2299" s="2" t="n">
        <v>0.001</v>
      </c>
      <c r="G2299" s="6" t="n">
        <v>5000</v>
      </c>
      <c r="H2299" s="6">
        <f>F2299*G2299</f>
        <v/>
      </c>
      <c r="I2299">
        <f>_xlfn.XLOOKUP(A2299,MktTitle,MktCat,"n/a")</f>
        <v/>
      </c>
      <c r="J2299" s="3">
        <f>_xlfn.XLOOKUP(A2299,MktTitle,MktTotVol,0)</f>
        <v/>
      </c>
      <c r="K2299">
        <f>IF(H2299&gt;WhaleThreshold,"WHALE","")</f>
        <v/>
      </c>
    </row>
    <row r="2300">
      <c r="A2300" t="inlineStr">
        <is>
          <t>Will Cape Verde win the 2026 FIFA World Cup?</t>
        </is>
      </c>
      <c r="B2300" s="4" t="n">
        <v>46205</v>
      </c>
      <c r="C2300" s="5" t="n">
        <v>46205.12858796296</v>
      </c>
      <c r="D2300" t="inlineStr">
        <is>
          <t>BUY</t>
        </is>
      </c>
      <c r="E2300" t="inlineStr">
        <is>
          <t>Yes</t>
        </is>
      </c>
      <c r="F2300" s="2" t="n">
        <v>0.001</v>
      </c>
      <c r="G2300" s="6" t="n">
        <v>1000</v>
      </c>
      <c r="H2300" s="6">
        <f>F2300*G2300</f>
        <v/>
      </c>
      <c r="I2300">
        <f>_xlfn.XLOOKUP(A2300,MktTitle,MktCat,"n/a")</f>
        <v/>
      </c>
      <c r="J2300" s="3">
        <f>_xlfn.XLOOKUP(A2300,MktTitle,MktTotVol,0)</f>
        <v/>
      </c>
      <c r="K2300">
        <f>IF(H2300&gt;WhaleThreshold,"WHALE","")</f>
        <v/>
      </c>
    </row>
    <row r="2301">
      <c r="A2301" t="inlineStr">
        <is>
          <t>Will Cape Verde win the 2026 FIFA World Cup?</t>
        </is>
      </c>
      <c r="B2301" s="4" t="n">
        <v>46205</v>
      </c>
      <c r="C2301" s="5" t="n">
        <v>46205.12511574074</v>
      </c>
      <c r="D2301" t="inlineStr">
        <is>
          <t>BUY</t>
        </is>
      </c>
      <c r="E2301" t="inlineStr">
        <is>
          <t>Yes</t>
        </is>
      </c>
      <c r="F2301" s="2" t="n">
        <v>0.001</v>
      </c>
      <c r="G2301" s="6" t="n">
        <v>72000</v>
      </c>
      <c r="H2301" s="6">
        <f>F2301*G2301</f>
        <v/>
      </c>
      <c r="I2301">
        <f>_xlfn.XLOOKUP(A2301,MktTitle,MktCat,"n/a")</f>
        <v/>
      </c>
      <c r="J2301" s="3">
        <f>_xlfn.XLOOKUP(A2301,MktTitle,MktTotVol,0)</f>
        <v/>
      </c>
      <c r="K2301">
        <f>IF(H2301&gt;WhaleThreshold,"WHALE","")</f>
        <v/>
      </c>
    </row>
    <row r="2302">
      <c r="A2302" t="inlineStr">
        <is>
          <t>Will Cape Verde win the 2026 FIFA World Cup?</t>
        </is>
      </c>
      <c r="B2302" s="4" t="n">
        <v>46205</v>
      </c>
      <c r="C2302" s="5" t="n">
        <v>46205.12417824074</v>
      </c>
      <c r="D2302" t="inlineStr">
        <is>
          <t>BUY</t>
        </is>
      </c>
      <c r="E2302" t="inlineStr">
        <is>
          <t>Yes</t>
        </is>
      </c>
      <c r="F2302" s="2" t="n">
        <v>0.001</v>
      </c>
      <c r="G2302" s="6" t="n">
        <v>1000</v>
      </c>
      <c r="H2302" s="6">
        <f>F2302*G2302</f>
        <v/>
      </c>
      <c r="I2302">
        <f>_xlfn.XLOOKUP(A2302,MktTitle,MktCat,"n/a")</f>
        <v/>
      </c>
      <c r="J2302" s="3">
        <f>_xlfn.XLOOKUP(A2302,MktTitle,MktTotVol,0)</f>
        <v/>
      </c>
      <c r="K2302">
        <f>IF(H2302&gt;WhaleThreshold,"WHALE","")</f>
        <v/>
      </c>
    </row>
    <row r="2303">
      <c r="A2303" t="inlineStr">
        <is>
          <t>Will Cape Verde win the 2026 FIFA World Cup?</t>
        </is>
      </c>
      <c r="B2303" s="4" t="n">
        <v>46205</v>
      </c>
      <c r="C2303" s="5" t="n">
        <v>46205.11141203704</v>
      </c>
      <c r="D2303" t="inlineStr">
        <is>
          <t>BUY</t>
        </is>
      </c>
      <c r="E2303" t="inlineStr">
        <is>
          <t>Yes</t>
        </is>
      </c>
      <c r="F2303" s="2" t="n">
        <v>0.001</v>
      </c>
      <c r="G2303" s="6" t="n">
        <v>10000</v>
      </c>
      <c r="H2303" s="6">
        <f>F2303*G2303</f>
        <v/>
      </c>
      <c r="I2303">
        <f>_xlfn.XLOOKUP(A2303,MktTitle,MktCat,"n/a")</f>
        <v/>
      </c>
      <c r="J2303" s="3">
        <f>_xlfn.XLOOKUP(A2303,MktTitle,MktTotVol,0)</f>
        <v/>
      </c>
      <c r="K2303">
        <f>IF(H2303&gt;WhaleThreshold,"WHALE","")</f>
        <v/>
      </c>
    </row>
    <row r="2304">
      <c r="A2304" t="inlineStr">
        <is>
          <t>Will Cape Verde win the 2026 FIFA World Cup?</t>
        </is>
      </c>
      <c r="B2304" s="4" t="n">
        <v>46205</v>
      </c>
      <c r="C2304" s="5" t="n">
        <v>46205.10306712963</v>
      </c>
      <c r="D2304" t="inlineStr">
        <is>
          <t>BUY</t>
        </is>
      </c>
      <c r="E2304" t="inlineStr">
        <is>
          <t>Yes</t>
        </is>
      </c>
      <c r="F2304" s="2" t="n">
        <v>0.001</v>
      </c>
      <c r="G2304" s="6" t="n">
        <v>20000</v>
      </c>
      <c r="H2304" s="6">
        <f>F2304*G2304</f>
        <v/>
      </c>
      <c r="I2304">
        <f>_xlfn.XLOOKUP(A2304,MktTitle,MktCat,"n/a")</f>
        <v/>
      </c>
      <c r="J2304" s="3">
        <f>_xlfn.XLOOKUP(A2304,MktTitle,MktTotVol,0)</f>
        <v/>
      </c>
      <c r="K2304">
        <f>IF(H2304&gt;WhaleThreshold,"WHALE","")</f>
        <v/>
      </c>
    </row>
    <row r="2305">
      <c r="A2305" t="inlineStr">
        <is>
          <t>Will Cape Verde win the 2026 FIFA World Cup?</t>
        </is>
      </c>
      <c r="B2305" s="4" t="n">
        <v>46205</v>
      </c>
      <c r="C2305" s="5" t="n">
        <v>46205.09724537037</v>
      </c>
      <c r="D2305" t="inlineStr">
        <is>
          <t>BUY</t>
        </is>
      </c>
      <c r="E2305" t="inlineStr">
        <is>
          <t>Yes</t>
        </is>
      </c>
      <c r="F2305" s="2" t="n">
        <v>0.001</v>
      </c>
      <c r="G2305" s="6" t="n">
        <v>5000</v>
      </c>
      <c r="H2305" s="6">
        <f>F2305*G2305</f>
        <v/>
      </c>
      <c r="I2305">
        <f>_xlfn.XLOOKUP(A2305,MktTitle,MktCat,"n/a")</f>
        <v/>
      </c>
      <c r="J2305" s="3">
        <f>_xlfn.XLOOKUP(A2305,MktTitle,MktTotVol,0)</f>
        <v/>
      </c>
      <c r="K2305">
        <f>IF(H2305&gt;WhaleThreshold,"WHALE","")</f>
        <v/>
      </c>
    </row>
    <row r="2306">
      <c r="A2306" t="inlineStr">
        <is>
          <t>Will Cape Verde win the 2026 FIFA World Cup?</t>
        </is>
      </c>
      <c r="B2306" s="4" t="n">
        <v>46205</v>
      </c>
      <c r="C2306" s="5" t="n">
        <v>46205.09703703703</v>
      </c>
      <c r="D2306" t="inlineStr">
        <is>
          <t>BUY</t>
        </is>
      </c>
      <c r="E2306" t="inlineStr">
        <is>
          <t>Yes</t>
        </is>
      </c>
      <c r="F2306" s="2" t="n">
        <v>0.001</v>
      </c>
      <c r="G2306" s="6" t="n">
        <v>57840</v>
      </c>
      <c r="H2306" s="6">
        <f>F2306*G2306</f>
        <v/>
      </c>
      <c r="I2306">
        <f>_xlfn.XLOOKUP(A2306,MktTitle,MktCat,"n/a")</f>
        <v/>
      </c>
      <c r="J2306" s="3">
        <f>_xlfn.XLOOKUP(A2306,MktTitle,MktTotVol,0)</f>
        <v/>
      </c>
      <c r="K2306">
        <f>IF(H2306&gt;WhaleThreshold,"WHALE","")</f>
        <v/>
      </c>
    </row>
    <row r="2307">
      <c r="A2307" t="inlineStr">
        <is>
          <t>Will Cape Verde win the 2026 FIFA World Cup?</t>
        </is>
      </c>
      <c r="B2307" s="4" t="n">
        <v>46205</v>
      </c>
      <c r="C2307" s="5" t="n">
        <v>46205.09608796296</v>
      </c>
      <c r="D2307" t="inlineStr">
        <is>
          <t>BUY</t>
        </is>
      </c>
      <c r="E2307" t="inlineStr">
        <is>
          <t>Yes</t>
        </is>
      </c>
      <c r="F2307" s="2" t="n">
        <v>0.001</v>
      </c>
      <c r="G2307" s="6" t="n">
        <v>1000</v>
      </c>
      <c r="H2307" s="6">
        <f>F2307*G2307</f>
        <v/>
      </c>
      <c r="I2307">
        <f>_xlfn.XLOOKUP(A2307,MktTitle,MktCat,"n/a")</f>
        <v/>
      </c>
      <c r="J2307" s="3">
        <f>_xlfn.XLOOKUP(A2307,MktTitle,MktTotVol,0)</f>
        <v/>
      </c>
      <c r="K2307">
        <f>IF(H2307&gt;WhaleThreshold,"WHALE","")</f>
        <v/>
      </c>
    </row>
    <row r="2308">
      <c r="A2308" t="inlineStr">
        <is>
          <t>Will Cape Verde win the 2026 FIFA World Cup?</t>
        </is>
      </c>
      <c r="B2308" s="4" t="n">
        <v>46205</v>
      </c>
      <c r="C2308" s="5" t="n">
        <v>46205.09331018518</v>
      </c>
      <c r="D2308" t="inlineStr">
        <is>
          <t>BUY</t>
        </is>
      </c>
      <c r="E2308" t="inlineStr">
        <is>
          <t>Yes</t>
        </is>
      </c>
      <c r="F2308" s="2" t="n">
        <v>0.001</v>
      </c>
      <c r="G2308" s="6" t="n">
        <v>4000</v>
      </c>
      <c r="H2308" s="6">
        <f>F2308*G2308</f>
        <v/>
      </c>
      <c r="I2308">
        <f>_xlfn.XLOOKUP(A2308,MktTitle,MktCat,"n/a")</f>
        <v/>
      </c>
      <c r="J2308" s="3">
        <f>_xlfn.XLOOKUP(A2308,MktTitle,MktTotVol,0)</f>
        <v/>
      </c>
      <c r="K2308">
        <f>IF(H2308&gt;WhaleThreshold,"WHALE","")</f>
        <v/>
      </c>
    </row>
    <row r="2309">
      <c r="A2309" t="inlineStr">
        <is>
          <t>Will Cape Verde win the 2026 FIFA World Cup?</t>
        </is>
      </c>
      <c r="B2309" s="4" t="n">
        <v>46205</v>
      </c>
      <c r="C2309" s="5" t="n">
        <v>46205.09283564815</v>
      </c>
      <c r="D2309" t="inlineStr">
        <is>
          <t>BUY</t>
        </is>
      </c>
      <c r="E2309" t="inlineStr">
        <is>
          <t>Yes</t>
        </is>
      </c>
      <c r="F2309" s="2" t="n">
        <v>0.001</v>
      </c>
      <c r="G2309" s="6" t="n">
        <v>1000</v>
      </c>
      <c r="H2309" s="6">
        <f>F2309*G2309</f>
        <v/>
      </c>
      <c r="I2309">
        <f>_xlfn.XLOOKUP(A2309,MktTitle,MktCat,"n/a")</f>
        <v/>
      </c>
      <c r="J2309" s="3">
        <f>_xlfn.XLOOKUP(A2309,MktTitle,MktTotVol,0)</f>
        <v/>
      </c>
      <c r="K2309">
        <f>IF(H2309&gt;WhaleThreshold,"WHALE","")</f>
        <v/>
      </c>
    </row>
    <row r="2310">
      <c r="A2310" t="inlineStr">
        <is>
          <t>Will Cape Verde win the 2026 FIFA World Cup?</t>
        </is>
      </c>
      <c r="B2310" s="4" t="n">
        <v>46205</v>
      </c>
      <c r="C2310" s="5" t="n">
        <v>46205.09199074074</v>
      </c>
      <c r="D2310" t="inlineStr">
        <is>
          <t>BUY</t>
        </is>
      </c>
      <c r="E2310" t="inlineStr">
        <is>
          <t>Yes</t>
        </is>
      </c>
      <c r="F2310" s="2" t="n">
        <v>0.001</v>
      </c>
      <c r="G2310" s="6" t="n">
        <v>1000</v>
      </c>
      <c r="H2310" s="6">
        <f>F2310*G2310</f>
        <v/>
      </c>
      <c r="I2310">
        <f>_xlfn.XLOOKUP(A2310,MktTitle,MktCat,"n/a")</f>
        <v/>
      </c>
      <c r="J2310" s="3">
        <f>_xlfn.XLOOKUP(A2310,MktTitle,MktTotVol,0)</f>
        <v/>
      </c>
      <c r="K2310">
        <f>IF(H2310&gt;WhaleThreshold,"WHALE","")</f>
        <v/>
      </c>
    </row>
    <row r="2311">
      <c r="A2311" t="inlineStr">
        <is>
          <t>Will Cape Verde win the 2026 FIFA World Cup?</t>
        </is>
      </c>
      <c r="B2311" s="4" t="n">
        <v>46205</v>
      </c>
      <c r="C2311" s="5" t="n">
        <v>46205.08672453704</v>
      </c>
      <c r="D2311" t="inlineStr">
        <is>
          <t>BUY</t>
        </is>
      </c>
      <c r="E2311" t="inlineStr">
        <is>
          <t>Yes</t>
        </is>
      </c>
      <c r="F2311" s="2" t="n">
        <v>0.001</v>
      </c>
      <c r="G2311" s="6" t="n">
        <v>10000</v>
      </c>
      <c r="H2311" s="6">
        <f>F2311*G2311</f>
        <v/>
      </c>
      <c r="I2311">
        <f>_xlfn.XLOOKUP(A2311,MktTitle,MktCat,"n/a")</f>
        <v/>
      </c>
      <c r="J2311" s="3">
        <f>_xlfn.XLOOKUP(A2311,MktTitle,MktTotVol,0)</f>
        <v/>
      </c>
      <c r="K2311">
        <f>IF(H2311&gt;WhaleThreshold,"WHALE","")</f>
        <v/>
      </c>
    </row>
    <row r="2312">
      <c r="A2312" t="inlineStr">
        <is>
          <t>Will Cape Verde win the 2026 FIFA World Cup?</t>
        </is>
      </c>
      <c r="B2312" s="4" t="n">
        <v>46205</v>
      </c>
      <c r="C2312" s="5" t="n">
        <v>46205.08646990741</v>
      </c>
      <c r="D2312" t="inlineStr">
        <is>
          <t>BUY</t>
        </is>
      </c>
      <c r="E2312" t="inlineStr">
        <is>
          <t>Yes</t>
        </is>
      </c>
      <c r="F2312" s="2" t="n">
        <v>0.001</v>
      </c>
      <c r="G2312" s="6" t="n">
        <v>10000</v>
      </c>
      <c r="H2312" s="6">
        <f>F2312*G2312</f>
        <v/>
      </c>
      <c r="I2312">
        <f>_xlfn.XLOOKUP(A2312,MktTitle,MktCat,"n/a")</f>
        <v/>
      </c>
      <c r="J2312" s="3">
        <f>_xlfn.XLOOKUP(A2312,MktTitle,MktTotVol,0)</f>
        <v/>
      </c>
      <c r="K2312">
        <f>IF(H2312&gt;WhaleThreshold,"WHALE","")</f>
        <v/>
      </c>
    </row>
    <row r="2313">
      <c r="A2313" t="inlineStr">
        <is>
          <t>Will Cape Verde win the 2026 FIFA World Cup?</t>
        </is>
      </c>
      <c r="B2313" s="4" t="n">
        <v>46205</v>
      </c>
      <c r="C2313" s="5" t="n">
        <v>46205.07252314815</v>
      </c>
      <c r="D2313" t="inlineStr">
        <is>
          <t>BUY</t>
        </is>
      </c>
      <c r="E2313" t="inlineStr">
        <is>
          <t>Yes</t>
        </is>
      </c>
      <c r="F2313" s="2" t="n">
        <v>0.001</v>
      </c>
      <c r="G2313" s="6" t="n">
        <v>1940</v>
      </c>
      <c r="H2313" s="6">
        <f>F2313*G2313</f>
        <v/>
      </c>
      <c r="I2313">
        <f>_xlfn.XLOOKUP(A2313,MktTitle,MktCat,"n/a")</f>
        <v/>
      </c>
      <c r="J2313" s="3">
        <f>_xlfn.XLOOKUP(A2313,MktTitle,MktTotVol,0)</f>
        <v/>
      </c>
      <c r="K2313">
        <f>IF(H2313&gt;WhaleThreshold,"WHALE","")</f>
        <v/>
      </c>
    </row>
    <row r="2314">
      <c r="A2314" t="inlineStr">
        <is>
          <t>Will Cape Verde win the 2026 FIFA World Cup?</t>
        </is>
      </c>
      <c r="B2314" s="4" t="n">
        <v>46205</v>
      </c>
      <c r="C2314" s="5" t="n">
        <v>46205.05324074074</v>
      </c>
      <c r="D2314" t="inlineStr">
        <is>
          <t>BUY</t>
        </is>
      </c>
      <c r="E2314" t="inlineStr">
        <is>
          <t>Yes</t>
        </is>
      </c>
      <c r="F2314" s="2" t="n">
        <v>0.001</v>
      </c>
      <c r="G2314" s="6" t="n">
        <v>97080</v>
      </c>
      <c r="H2314" s="6">
        <f>F2314*G2314</f>
        <v/>
      </c>
      <c r="I2314">
        <f>_xlfn.XLOOKUP(A2314,MktTitle,MktCat,"n/a")</f>
        <v/>
      </c>
      <c r="J2314" s="3">
        <f>_xlfn.XLOOKUP(A2314,MktTitle,MktTotVol,0)</f>
        <v/>
      </c>
      <c r="K2314">
        <f>IF(H2314&gt;WhaleThreshold,"WHALE","")</f>
        <v/>
      </c>
    </row>
    <row r="2315">
      <c r="A2315" t="inlineStr">
        <is>
          <t>Will Cape Verde win the 2026 FIFA World Cup?</t>
        </is>
      </c>
      <c r="B2315" s="4" t="n">
        <v>46205</v>
      </c>
      <c r="C2315" s="5" t="n">
        <v>46205.04478009259</v>
      </c>
      <c r="D2315" t="inlineStr">
        <is>
          <t>BUY</t>
        </is>
      </c>
      <c r="E2315" t="inlineStr">
        <is>
          <t>Yes</t>
        </is>
      </c>
      <c r="F2315" s="2" t="n">
        <v>0.001</v>
      </c>
      <c r="G2315" s="6" t="n">
        <v>2910</v>
      </c>
      <c r="H2315" s="6">
        <f>F2315*G2315</f>
        <v/>
      </c>
      <c r="I2315">
        <f>_xlfn.XLOOKUP(A2315,MktTitle,MktCat,"n/a")</f>
        <v/>
      </c>
      <c r="J2315" s="3">
        <f>_xlfn.XLOOKUP(A2315,MktTitle,MktTotVol,0)</f>
        <v/>
      </c>
      <c r="K2315">
        <f>IF(H2315&gt;WhaleThreshold,"WHALE","")</f>
        <v/>
      </c>
    </row>
    <row r="2316">
      <c r="A2316" t="inlineStr">
        <is>
          <t>Will Cape Verde win the 2026 FIFA World Cup?</t>
        </is>
      </c>
      <c r="B2316" s="4" t="n">
        <v>46205</v>
      </c>
      <c r="C2316" s="5" t="n">
        <v>46205.0430787037</v>
      </c>
      <c r="D2316" t="inlineStr">
        <is>
          <t>BUY</t>
        </is>
      </c>
      <c r="E2316" t="inlineStr">
        <is>
          <t>Yes</t>
        </is>
      </c>
      <c r="F2316" s="2" t="n">
        <v>0.001</v>
      </c>
      <c r="G2316" s="6" t="n">
        <v>1000</v>
      </c>
      <c r="H2316" s="6">
        <f>F2316*G2316</f>
        <v/>
      </c>
      <c r="I2316">
        <f>_xlfn.XLOOKUP(A2316,MktTitle,MktCat,"n/a")</f>
        <v/>
      </c>
      <c r="J2316" s="3">
        <f>_xlfn.XLOOKUP(A2316,MktTitle,MktTotVol,0)</f>
        <v/>
      </c>
      <c r="K2316">
        <f>IF(H2316&gt;WhaleThreshold,"WHALE","")</f>
        <v/>
      </c>
    </row>
    <row r="2317">
      <c r="A2317" t="inlineStr">
        <is>
          <t>Will Cape Verde win the 2026 FIFA World Cup?</t>
        </is>
      </c>
      <c r="B2317" s="4" t="n">
        <v>46205</v>
      </c>
      <c r="C2317" s="5" t="n">
        <v>46205.04162037037</v>
      </c>
      <c r="D2317" t="inlineStr">
        <is>
          <t>BUY</t>
        </is>
      </c>
      <c r="E2317" t="inlineStr">
        <is>
          <t>Yes</t>
        </is>
      </c>
      <c r="F2317" s="2" t="n">
        <v>0.001</v>
      </c>
      <c r="G2317" s="6" t="n">
        <v>5000</v>
      </c>
      <c r="H2317" s="6">
        <f>F2317*G2317</f>
        <v/>
      </c>
      <c r="I2317">
        <f>_xlfn.XLOOKUP(A2317,MktTitle,MktCat,"n/a")</f>
        <v/>
      </c>
      <c r="J2317" s="3">
        <f>_xlfn.XLOOKUP(A2317,MktTitle,MktTotVol,0)</f>
        <v/>
      </c>
      <c r="K2317">
        <f>IF(H2317&gt;WhaleThreshold,"WHALE","")</f>
        <v/>
      </c>
    </row>
    <row r="2318">
      <c r="A2318" t="inlineStr">
        <is>
          <t>Will Cape Verde win the 2026 FIFA World Cup?</t>
        </is>
      </c>
      <c r="B2318" s="4" t="n">
        <v>46205</v>
      </c>
      <c r="C2318" s="5" t="n">
        <v>46205.0393287037</v>
      </c>
      <c r="D2318" t="inlineStr">
        <is>
          <t>BUY</t>
        </is>
      </c>
      <c r="E2318" t="inlineStr">
        <is>
          <t>Yes</t>
        </is>
      </c>
      <c r="F2318" s="2" t="n">
        <v>0.001</v>
      </c>
      <c r="G2318" s="6" t="n">
        <v>5000</v>
      </c>
      <c r="H2318" s="6">
        <f>F2318*G2318</f>
        <v/>
      </c>
      <c r="I2318">
        <f>_xlfn.XLOOKUP(A2318,MktTitle,MktCat,"n/a")</f>
        <v/>
      </c>
      <c r="J2318" s="3">
        <f>_xlfn.XLOOKUP(A2318,MktTitle,MktTotVol,0)</f>
        <v/>
      </c>
      <c r="K2318">
        <f>IF(H2318&gt;WhaleThreshold,"WHALE","")</f>
        <v/>
      </c>
    </row>
    <row r="2319">
      <c r="A2319" t="inlineStr">
        <is>
          <t>Will Cape Verde win the 2026 FIFA World Cup?</t>
        </is>
      </c>
      <c r="B2319" s="4" t="n">
        <v>46205</v>
      </c>
      <c r="C2319" s="5" t="n">
        <v>46205.03366898148</v>
      </c>
      <c r="D2319" t="inlineStr">
        <is>
          <t>BUY</t>
        </is>
      </c>
      <c r="E2319" t="inlineStr">
        <is>
          <t>Yes</t>
        </is>
      </c>
      <c r="F2319" s="2" t="n">
        <v>0.001</v>
      </c>
      <c r="G2319" s="6" t="n">
        <v>16000</v>
      </c>
      <c r="H2319" s="6">
        <f>F2319*G2319</f>
        <v/>
      </c>
      <c r="I2319">
        <f>_xlfn.XLOOKUP(A2319,MktTitle,MktCat,"n/a")</f>
        <v/>
      </c>
      <c r="J2319" s="3">
        <f>_xlfn.XLOOKUP(A2319,MktTitle,MktTotVol,0)</f>
        <v/>
      </c>
      <c r="K2319">
        <f>IF(H2319&gt;WhaleThreshold,"WHALE","")</f>
        <v/>
      </c>
    </row>
    <row r="2320">
      <c r="A2320" t="inlineStr">
        <is>
          <t>Will Cape Verde win the 2026 FIFA World Cup?</t>
        </is>
      </c>
      <c r="B2320" s="4" t="n">
        <v>46205</v>
      </c>
      <c r="C2320" s="5" t="n">
        <v>46205.03342592593</v>
      </c>
      <c r="D2320" t="inlineStr">
        <is>
          <t>BUY</t>
        </is>
      </c>
      <c r="E2320" t="inlineStr">
        <is>
          <t>Yes</t>
        </is>
      </c>
      <c r="F2320" s="2" t="n">
        <v>0.001</v>
      </c>
      <c r="G2320" s="6" t="n">
        <v>10000</v>
      </c>
      <c r="H2320" s="6">
        <f>F2320*G2320</f>
        <v/>
      </c>
      <c r="I2320">
        <f>_xlfn.XLOOKUP(A2320,MktTitle,MktCat,"n/a")</f>
        <v/>
      </c>
      <c r="J2320" s="3">
        <f>_xlfn.XLOOKUP(A2320,MktTitle,MktTotVol,0)</f>
        <v/>
      </c>
      <c r="K2320">
        <f>IF(H2320&gt;WhaleThreshold,"WHALE","")</f>
        <v/>
      </c>
    </row>
    <row r="2321">
      <c r="A2321" t="inlineStr">
        <is>
          <t>Will Cape Verde win the 2026 FIFA World Cup?</t>
        </is>
      </c>
      <c r="B2321" s="4" t="n">
        <v>46205</v>
      </c>
      <c r="C2321" s="5" t="n">
        <v>46205.03287037037</v>
      </c>
      <c r="D2321" t="inlineStr">
        <is>
          <t>BUY</t>
        </is>
      </c>
      <c r="E2321" t="inlineStr">
        <is>
          <t>Yes</t>
        </is>
      </c>
      <c r="F2321" s="2" t="n">
        <v>0.001</v>
      </c>
      <c r="G2321" s="6" t="n">
        <v>10000</v>
      </c>
      <c r="H2321" s="6">
        <f>F2321*G2321</f>
        <v/>
      </c>
      <c r="I2321">
        <f>_xlfn.XLOOKUP(A2321,MktTitle,MktCat,"n/a")</f>
        <v/>
      </c>
      <c r="J2321" s="3">
        <f>_xlfn.XLOOKUP(A2321,MktTitle,MktTotVol,0)</f>
        <v/>
      </c>
      <c r="K2321">
        <f>IF(H2321&gt;WhaleThreshold,"WHALE","")</f>
        <v/>
      </c>
    </row>
    <row r="2322">
      <c r="A2322" t="inlineStr">
        <is>
          <t>Will Cape Verde win the 2026 FIFA World Cup?</t>
        </is>
      </c>
      <c r="B2322" s="4" t="n">
        <v>46205</v>
      </c>
      <c r="C2322" s="5" t="n">
        <v>46205.02644675926</v>
      </c>
      <c r="D2322" t="inlineStr">
        <is>
          <t>BUY</t>
        </is>
      </c>
      <c r="E2322" t="inlineStr">
        <is>
          <t>Yes</t>
        </is>
      </c>
      <c r="F2322" s="2" t="n">
        <v>0.001</v>
      </c>
      <c r="G2322" s="6" t="n">
        <v>1450</v>
      </c>
      <c r="H2322" s="6">
        <f>F2322*G2322</f>
        <v/>
      </c>
      <c r="I2322">
        <f>_xlfn.XLOOKUP(A2322,MktTitle,MktCat,"n/a")</f>
        <v/>
      </c>
      <c r="J2322" s="3">
        <f>_xlfn.XLOOKUP(A2322,MktTitle,MktTotVol,0)</f>
        <v/>
      </c>
      <c r="K2322">
        <f>IF(H2322&gt;WhaleThreshold,"WHALE","")</f>
        <v/>
      </c>
    </row>
    <row r="2323">
      <c r="A2323" t="inlineStr">
        <is>
          <t>Will Cape Verde win the 2026 FIFA World Cup?</t>
        </is>
      </c>
      <c r="B2323" s="4" t="n">
        <v>46205</v>
      </c>
      <c r="C2323" s="5" t="n">
        <v>46205.01837962963</v>
      </c>
      <c r="D2323" t="inlineStr">
        <is>
          <t>BUY</t>
        </is>
      </c>
      <c r="E2323" t="inlineStr">
        <is>
          <t>Yes</t>
        </is>
      </c>
      <c r="F2323" s="2" t="n">
        <v>0.001</v>
      </c>
      <c r="G2323" s="6" t="n">
        <v>2910</v>
      </c>
      <c r="H2323" s="6">
        <f>F2323*G2323</f>
        <v/>
      </c>
      <c r="I2323">
        <f>_xlfn.XLOOKUP(A2323,MktTitle,MktCat,"n/a")</f>
        <v/>
      </c>
      <c r="J2323" s="3">
        <f>_xlfn.XLOOKUP(A2323,MktTitle,MktTotVol,0)</f>
        <v/>
      </c>
      <c r="K2323">
        <f>IF(H2323&gt;WhaleThreshold,"WHALE","")</f>
        <v/>
      </c>
    </row>
    <row r="2324">
      <c r="A2324" t="inlineStr">
        <is>
          <t>Will Cape Verde win the 2026 FIFA World Cup?</t>
        </is>
      </c>
      <c r="B2324" s="4" t="n">
        <v>46205</v>
      </c>
      <c r="C2324" s="5" t="n">
        <v>46205.01700231482</v>
      </c>
      <c r="D2324" t="inlineStr">
        <is>
          <t>BUY</t>
        </is>
      </c>
      <c r="E2324" t="inlineStr">
        <is>
          <t>Yes</t>
        </is>
      </c>
      <c r="F2324" s="2" t="n">
        <v>0.001</v>
      </c>
      <c r="G2324" s="6" t="n">
        <v>2000</v>
      </c>
      <c r="H2324" s="6">
        <f>F2324*G2324</f>
        <v/>
      </c>
      <c r="I2324">
        <f>_xlfn.XLOOKUP(A2324,MktTitle,MktCat,"n/a")</f>
        <v/>
      </c>
      <c r="J2324" s="3">
        <f>_xlfn.XLOOKUP(A2324,MktTitle,MktTotVol,0)</f>
        <v/>
      </c>
      <c r="K2324">
        <f>IF(H2324&gt;WhaleThreshold,"WHALE","")</f>
        <v/>
      </c>
    </row>
    <row r="2325">
      <c r="A2325" t="inlineStr">
        <is>
          <t>Will Cape Verde win the 2026 FIFA World Cup?</t>
        </is>
      </c>
      <c r="B2325" s="4" t="n">
        <v>46205</v>
      </c>
      <c r="C2325" s="5" t="n">
        <v>46205.01278935185</v>
      </c>
      <c r="D2325" t="inlineStr">
        <is>
          <t>BUY</t>
        </is>
      </c>
      <c r="E2325" t="inlineStr">
        <is>
          <t>Yes</t>
        </is>
      </c>
      <c r="F2325" s="2" t="n">
        <v>0.001</v>
      </c>
      <c r="G2325" s="6" t="n">
        <v>150</v>
      </c>
      <c r="H2325" s="6">
        <f>F2325*G2325</f>
        <v/>
      </c>
      <c r="I2325">
        <f>_xlfn.XLOOKUP(A2325,MktTitle,MktCat,"n/a")</f>
        <v/>
      </c>
      <c r="J2325" s="3">
        <f>_xlfn.XLOOKUP(A2325,MktTitle,MktTotVol,0)</f>
        <v/>
      </c>
      <c r="K2325">
        <f>IF(H2325&gt;WhaleThreshold,"WHALE","")</f>
        <v/>
      </c>
    </row>
    <row r="2326">
      <c r="A2326" t="inlineStr">
        <is>
          <t>Will Cape Verde win the 2026 FIFA World Cup?</t>
        </is>
      </c>
      <c r="B2326" s="4" t="n">
        <v>46205</v>
      </c>
      <c r="C2326" s="5" t="n">
        <v>46205.01265046297</v>
      </c>
      <c r="D2326" t="inlineStr">
        <is>
          <t>BUY</t>
        </is>
      </c>
      <c r="E2326" t="inlineStr">
        <is>
          <t>Yes</t>
        </is>
      </c>
      <c r="F2326" s="2" t="n">
        <v>0.001</v>
      </c>
      <c r="G2326" s="6" t="n">
        <v>150</v>
      </c>
      <c r="H2326" s="6">
        <f>F2326*G2326</f>
        <v/>
      </c>
      <c r="I2326">
        <f>_xlfn.XLOOKUP(A2326,MktTitle,MktCat,"n/a")</f>
        <v/>
      </c>
      <c r="J2326" s="3">
        <f>_xlfn.XLOOKUP(A2326,MktTitle,MktTotVol,0)</f>
        <v/>
      </c>
      <c r="K2326">
        <f>IF(H2326&gt;WhaleThreshold,"WHALE","")</f>
        <v/>
      </c>
    </row>
    <row r="2327">
      <c r="A2327" t="inlineStr">
        <is>
          <t>Will Cape Verde win the 2026 FIFA World Cup?</t>
        </is>
      </c>
      <c r="B2327" s="4" t="n">
        <v>46205</v>
      </c>
      <c r="C2327" s="5" t="n">
        <v>46205.01251157407</v>
      </c>
      <c r="D2327" t="inlineStr">
        <is>
          <t>BUY</t>
        </is>
      </c>
      <c r="E2327" t="inlineStr">
        <is>
          <t>Yes</t>
        </is>
      </c>
      <c r="F2327" s="2" t="n">
        <v>0.001</v>
      </c>
      <c r="G2327" s="6" t="n">
        <v>150</v>
      </c>
      <c r="H2327" s="6">
        <f>F2327*G2327</f>
        <v/>
      </c>
      <c r="I2327">
        <f>_xlfn.XLOOKUP(A2327,MktTitle,MktCat,"n/a")</f>
        <v/>
      </c>
      <c r="J2327" s="3">
        <f>_xlfn.XLOOKUP(A2327,MktTitle,MktTotVol,0)</f>
        <v/>
      </c>
      <c r="K2327">
        <f>IF(H2327&gt;WhaleThreshold,"WHALE","")</f>
        <v/>
      </c>
    </row>
    <row r="2328">
      <c r="A2328" t="inlineStr">
        <is>
          <t>Will Cape Verde win the 2026 FIFA World Cup?</t>
        </is>
      </c>
      <c r="B2328" s="4" t="n">
        <v>46205</v>
      </c>
      <c r="C2328" s="5" t="n">
        <v>46205.01241898148</v>
      </c>
      <c r="D2328" t="inlineStr">
        <is>
          <t>BUY</t>
        </is>
      </c>
      <c r="E2328" t="inlineStr">
        <is>
          <t>Yes</t>
        </is>
      </c>
      <c r="F2328" s="2" t="n">
        <v>0.001</v>
      </c>
      <c r="G2328" s="6" t="n">
        <v>150</v>
      </c>
      <c r="H2328" s="6">
        <f>F2328*G2328</f>
        <v/>
      </c>
      <c r="I2328">
        <f>_xlfn.XLOOKUP(A2328,MktTitle,MktCat,"n/a")</f>
        <v/>
      </c>
      <c r="J2328" s="3">
        <f>_xlfn.XLOOKUP(A2328,MktTitle,MktTotVol,0)</f>
        <v/>
      </c>
      <c r="K2328">
        <f>IF(H2328&gt;WhaleThreshold,"WHALE","")</f>
        <v/>
      </c>
    </row>
    <row r="2329">
      <c r="A2329" t="inlineStr">
        <is>
          <t>Will Cape Verde win the 2026 FIFA World Cup?</t>
        </is>
      </c>
      <c r="B2329" s="4" t="n">
        <v>46205</v>
      </c>
      <c r="C2329" s="5" t="n">
        <v>46205.01231481481</v>
      </c>
      <c r="D2329" t="inlineStr">
        <is>
          <t>BUY</t>
        </is>
      </c>
      <c r="E2329" t="inlineStr">
        <is>
          <t>Yes</t>
        </is>
      </c>
      <c r="F2329" s="2" t="n">
        <v>0.001</v>
      </c>
      <c r="G2329" s="6" t="n">
        <v>150</v>
      </c>
      <c r="H2329" s="6">
        <f>F2329*G2329</f>
        <v/>
      </c>
      <c r="I2329">
        <f>_xlfn.XLOOKUP(A2329,MktTitle,MktCat,"n/a")</f>
        <v/>
      </c>
      <c r="J2329" s="3">
        <f>_xlfn.XLOOKUP(A2329,MktTitle,MktTotVol,0)</f>
        <v/>
      </c>
      <c r="K2329">
        <f>IF(H2329&gt;WhaleThreshold,"WHALE","")</f>
        <v/>
      </c>
    </row>
    <row r="2330">
      <c r="A2330" t="inlineStr">
        <is>
          <t>Will Cape Verde win the 2026 FIFA World Cup?</t>
        </is>
      </c>
      <c r="B2330" s="4" t="n">
        <v>46205</v>
      </c>
      <c r="C2330" s="5" t="n">
        <v>46205.01219907407</v>
      </c>
      <c r="D2330" t="inlineStr">
        <is>
          <t>BUY</t>
        </is>
      </c>
      <c r="E2330" t="inlineStr">
        <is>
          <t>Yes</t>
        </is>
      </c>
      <c r="F2330" s="2" t="n">
        <v>0.001</v>
      </c>
      <c r="G2330" s="6" t="n">
        <v>150</v>
      </c>
      <c r="H2330" s="6">
        <f>F2330*G2330</f>
        <v/>
      </c>
      <c r="I2330">
        <f>_xlfn.XLOOKUP(A2330,MktTitle,MktCat,"n/a")</f>
        <v/>
      </c>
      <c r="J2330" s="3">
        <f>_xlfn.XLOOKUP(A2330,MktTitle,MktTotVol,0)</f>
        <v/>
      </c>
      <c r="K2330">
        <f>IF(H2330&gt;WhaleThreshold,"WHALE","")</f>
        <v/>
      </c>
    </row>
    <row r="2331">
      <c r="A2331" t="inlineStr">
        <is>
          <t>Will Cape Verde win the 2026 FIFA World Cup?</t>
        </is>
      </c>
      <c r="B2331" s="4" t="n">
        <v>46205</v>
      </c>
      <c r="C2331" s="5" t="n">
        <v>46205.01203703704</v>
      </c>
      <c r="D2331" t="inlineStr">
        <is>
          <t>BUY</t>
        </is>
      </c>
      <c r="E2331" t="inlineStr">
        <is>
          <t>Yes</t>
        </is>
      </c>
      <c r="F2331" s="2" t="n">
        <v>0.001</v>
      </c>
      <c r="G2331" s="6" t="n">
        <v>150</v>
      </c>
      <c r="H2331" s="6">
        <f>F2331*G2331</f>
        <v/>
      </c>
      <c r="I2331">
        <f>_xlfn.XLOOKUP(A2331,MktTitle,MktCat,"n/a")</f>
        <v/>
      </c>
      <c r="J2331" s="3">
        <f>_xlfn.XLOOKUP(A2331,MktTitle,MktTotVol,0)</f>
        <v/>
      </c>
      <c r="K2331">
        <f>IF(H2331&gt;WhaleThreshold,"WHALE","")</f>
        <v/>
      </c>
    </row>
    <row r="2332">
      <c r="A2332" t="inlineStr">
        <is>
          <t>Will Cape Verde win the 2026 FIFA World Cup?</t>
        </is>
      </c>
      <c r="B2332" s="4" t="n">
        <v>46205</v>
      </c>
      <c r="C2332" s="5" t="n">
        <v>46205.01189814815</v>
      </c>
      <c r="D2332" t="inlineStr">
        <is>
          <t>BUY</t>
        </is>
      </c>
      <c r="E2332" t="inlineStr">
        <is>
          <t>Yes</t>
        </is>
      </c>
      <c r="F2332" s="2" t="n">
        <v>0.001</v>
      </c>
      <c r="G2332" s="6" t="n">
        <v>150</v>
      </c>
      <c r="H2332" s="6">
        <f>F2332*G2332</f>
        <v/>
      </c>
      <c r="I2332">
        <f>_xlfn.XLOOKUP(A2332,MktTitle,MktCat,"n/a")</f>
        <v/>
      </c>
      <c r="J2332" s="3">
        <f>_xlfn.XLOOKUP(A2332,MktTitle,MktTotVol,0)</f>
        <v/>
      </c>
      <c r="K2332">
        <f>IF(H2332&gt;WhaleThreshold,"WHALE","")</f>
        <v/>
      </c>
    </row>
    <row r="2333">
      <c r="A2333" t="inlineStr">
        <is>
          <t>Will Cape Verde win the 2026 FIFA World Cup?</t>
        </is>
      </c>
      <c r="B2333" s="4" t="n">
        <v>46205</v>
      </c>
      <c r="C2333" s="5" t="n">
        <v>46205.01188657407</v>
      </c>
      <c r="D2333" t="inlineStr">
        <is>
          <t>BUY</t>
        </is>
      </c>
      <c r="E2333" t="inlineStr">
        <is>
          <t>Yes</t>
        </is>
      </c>
      <c r="F2333" s="2" t="n">
        <v>0.001</v>
      </c>
      <c r="G2333" s="6" t="n">
        <v>1000</v>
      </c>
      <c r="H2333" s="6">
        <f>F2333*G2333</f>
        <v/>
      </c>
      <c r="I2333">
        <f>_xlfn.XLOOKUP(A2333,MktTitle,MktCat,"n/a")</f>
        <v/>
      </c>
      <c r="J2333" s="3">
        <f>_xlfn.XLOOKUP(A2333,MktTitle,MktTotVol,0)</f>
        <v/>
      </c>
      <c r="K2333">
        <f>IF(H2333&gt;WhaleThreshold,"WHALE","")</f>
        <v/>
      </c>
    </row>
    <row r="2334">
      <c r="A2334" t="inlineStr">
        <is>
          <t>Will Cape Verde win the 2026 FIFA World Cup?</t>
        </is>
      </c>
      <c r="B2334" s="4" t="n">
        <v>46205</v>
      </c>
      <c r="C2334" s="5" t="n">
        <v>46205.0117824074</v>
      </c>
      <c r="D2334" t="inlineStr">
        <is>
          <t>BUY</t>
        </is>
      </c>
      <c r="E2334" t="inlineStr">
        <is>
          <t>Yes</t>
        </is>
      </c>
      <c r="F2334" s="2" t="n">
        <v>0.001</v>
      </c>
      <c r="G2334" s="6" t="n">
        <v>150</v>
      </c>
      <c r="H2334" s="6">
        <f>F2334*G2334</f>
        <v/>
      </c>
      <c r="I2334">
        <f>_xlfn.XLOOKUP(A2334,MktTitle,MktCat,"n/a")</f>
        <v/>
      </c>
      <c r="J2334" s="3">
        <f>_xlfn.XLOOKUP(A2334,MktTitle,MktTotVol,0)</f>
        <v/>
      </c>
      <c r="K2334">
        <f>IF(H2334&gt;WhaleThreshold,"WHALE","")</f>
        <v/>
      </c>
    </row>
    <row r="2335">
      <c r="A2335" t="inlineStr">
        <is>
          <t>Will Cape Verde win the 2026 FIFA World Cup?</t>
        </is>
      </c>
      <c r="B2335" s="4" t="n">
        <v>46205</v>
      </c>
      <c r="C2335" s="5" t="n">
        <v>46205.01168981481</v>
      </c>
      <c r="D2335" t="inlineStr">
        <is>
          <t>BUY</t>
        </is>
      </c>
      <c r="E2335" t="inlineStr">
        <is>
          <t>Yes</t>
        </is>
      </c>
      <c r="F2335" s="2" t="n">
        <v>0.001</v>
      </c>
      <c r="G2335" s="6" t="n">
        <v>150</v>
      </c>
      <c r="H2335" s="6">
        <f>F2335*G2335</f>
        <v/>
      </c>
      <c r="I2335">
        <f>_xlfn.XLOOKUP(A2335,MktTitle,MktCat,"n/a")</f>
        <v/>
      </c>
      <c r="J2335" s="3">
        <f>_xlfn.XLOOKUP(A2335,MktTitle,MktTotVol,0)</f>
        <v/>
      </c>
      <c r="K2335">
        <f>IF(H2335&gt;WhaleThreshold,"WHALE","")</f>
        <v/>
      </c>
    </row>
    <row r="2336">
      <c r="A2336" t="inlineStr">
        <is>
          <t>Will Cape Verde win the 2026 FIFA World Cup?</t>
        </is>
      </c>
      <c r="B2336" s="4" t="n">
        <v>46205</v>
      </c>
      <c r="C2336" s="5" t="n">
        <v>46205.01162037037</v>
      </c>
      <c r="D2336" t="inlineStr">
        <is>
          <t>BUY</t>
        </is>
      </c>
      <c r="E2336" t="inlineStr">
        <is>
          <t>Yes</t>
        </is>
      </c>
      <c r="F2336" s="2" t="n">
        <v>0.001</v>
      </c>
      <c r="G2336" s="6" t="n">
        <v>150</v>
      </c>
      <c r="H2336" s="6">
        <f>F2336*G2336</f>
        <v/>
      </c>
      <c r="I2336">
        <f>_xlfn.XLOOKUP(A2336,MktTitle,MktCat,"n/a")</f>
        <v/>
      </c>
      <c r="J2336" s="3">
        <f>_xlfn.XLOOKUP(A2336,MktTitle,MktTotVol,0)</f>
        <v/>
      </c>
      <c r="K2336">
        <f>IF(H2336&gt;WhaleThreshold,"WHALE","")</f>
        <v/>
      </c>
    </row>
    <row r="2337">
      <c r="A2337" t="inlineStr">
        <is>
          <t>Will Cape Verde win the 2026 FIFA World Cup?</t>
        </is>
      </c>
      <c r="B2337" s="4" t="n">
        <v>46205</v>
      </c>
      <c r="C2337" s="5" t="n">
        <v>46205.0115162037</v>
      </c>
      <c r="D2337" t="inlineStr">
        <is>
          <t>BUY</t>
        </is>
      </c>
      <c r="E2337" t="inlineStr">
        <is>
          <t>Yes</t>
        </is>
      </c>
      <c r="F2337" s="2" t="n">
        <v>0.001</v>
      </c>
      <c r="G2337" s="6" t="n">
        <v>150</v>
      </c>
      <c r="H2337" s="6">
        <f>F2337*G2337</f>
        <v/>
      </c>
      <c r="I2337">
        <f>_xlfn.XLOOKUP(A2337,MktTitle,MktCat,"n/a")</f>
        <v/>
      </c>
      <c r="J2337" s="3">
        <f>_xlfn.XLOOKUP(A2337,MktTitle,MktTotVol,0)</f>
        <v/>
      </c>
      <c r="K2337">
        <f>IF(H2337&gt;WhaleThreshold,"WHALE","")</f>
        <v/>
      </c>
    </row>
    <row r="2338">
      <c r="A2338" t="inlineStr">
        <is>
          <t>Will Cape Verde win the 2026 FIFA World Cup?</t>
        </is>
      </c>
      <c r="B2338" s="4" t="n">
        <v>46205</v>
      </c>
      <c r="C2338" s="5" t="n">
        <v>46205.01137731481</v>
      </c>
      <c r="D2338" t="inlineStr">
        <is>
          <t>BUY</t>
        </is>
      </c>
      <c r="E2338" t="inlineStr">
        <is>
          <t>Yes</t>
        </is>
      </c>
      <c r="F2338" s="2" t="n">
        <v>0.001</v>
      </c>
      <c r="G2338" s="6" t="n">
        <v>150</v>
      </c>
      <c r="H2338" s="6">
        <f>F2338*G2338</f>
        <v/>
      </c>
      <c r="I2338">
        <f>_xlfn.XLOOKUP(A2338,MktTitle,MktCat,"n/a")</f>
        <v/>
      </c>
      <c r="J2338" s="3">
        <f>_xlfn.XLOOKUP(A2338,MktTitle,MktTotVol,0)</f>
        <v/>
      </c>
      <c r="K2338">
        <f>IF(H2338&gt;WhaleThreshold,"WHALE","")</f>
        <v/>
      </c>
    </row>
    <row r="2339">
      <c r="A2339" t="inlineStr">
        <is>
          <t>Will Cape Verde win the 2026 FIFA World Cup?</t>
        </is>
      </c>
      <c r="B2339" s="4" t="n">
        <v>46205</v>
      </c>
      <c r="C2339" s="5" t="n">
        <v>46205.01119212963</v>
      </c>
      <c r="D2339" t="inlineStr">
        <is>
          <t>BUY</t>
        </is>
      </c>
      <c r="E2339" t="inlineStr">
        <is>
          <t>Yes</t>
        </is>
      </c>
      <c r="F2339" s="2" t="n">
        <v>0.001</v>
      </c>
      <c r="G2339" s="6" t="n">
        <v>150</v>
      </c>
      <c r="H2339" s="6">
        <f>F2339*G2339</f>
        <v/>
      </c>
      <c r="I2339">
        <f>_xlfn.XLOOKUP(A2339,MktTitle,MktCat,"n/a")</f>
        <v/>
      </c>
      <c r="J2339" s="3">
        <f>_xlfn.XLOOKUP(A2339,MktTitle,MktTotVol,0)</f>
        <v/>
      </c>
      <c r="K2339">
        <f>IF(H2339&gt;WhaleThreshold,"WHALE","")</f>
        <v/>
      </c>
    </row>
    <row r="2340">
      <c r="A2340" t="inlineStr">
        <is>
          <t>Will Cape Verde win the 2026 FIFA World Cup?</t>
        </is>
      </c>
      <c r="B2340" s="4" t="n">
        <v>46205</v>
      </c>
      <c r="C2340" s="5" t="n">
        <v>46205.01099537037</v>
      </c>
      <c r="D2340" t="inlineStr">
        <is>
          <t>BUY</t>
        </is>
      </c>
      <c r="E2340" t="inlineStr">
        <is>
          <t>Yes</t>
        </is>
      </c>
      <c r="F2340" s="2" t="n">
        <v>0.001</v>
      </c>
      <c r="G2340" s="6" t="n">
        <v>150</v>
      </c>
      <c r="H2340" s="6">
        <f>F2340*G2340</f>
        <v/>
      </c>
      <c r="I2340">
        <f>_xlfn.XLOOKUP(A2340,MktTitle,MktCat,"n/a")</f>
        <v/>
      </c>
      <c r="J2340" s="3">
        <f>_xlfn.XLOOKUP(A2340,MktTitle,MktTotVol,0)</f>
        <v/>
      </c>
      <c r="K2340">
        <f>IF(H2340&gt;WhaleThreshold,"WHALE","")</f>
        <v/>
      </c>
    </row>
    <row r="2341">
      <c r="A2341" t="inlineStr">
        <is>
          <t>Will Cape Verde win the 2026 FIFA World Cup?</t>
        </is>
      </c>
      <c r="B2341" s="4" t="n">
        <v>46205</v>
      </c>
      <c r="C2341" s="5" t="n">
        <v>46205.01092592593</v>
      </c>
      <c r="D2341" t="inlineStr">
        <is>
          <t>BUY</t>
        </is>
      </c>
      <c r="E2341" t="inlineStr">
        <is>
          <t>Yes</t>
        </is>
      </c>
      <c r="F2341" s="2" t="n">
        <v>0.001</v>
      </c>
      <c r="G2341" s="6" t="n">
        <v>150</v>
      </c>
      <c r="H2341" s="6">
        <f>F2341*G2341</f>
        <v/>
      </c>
      <c r="I2341">
        <f>_xlfn.XLOOKUP(A2341,MktTitle,MktCat,"n/a")</f>
        <v/>
      </c>
      <c r="J2341" s="3">
        <f>_xlfn.XLOOKUP(A2341,MktTitle,MktTotVol,0)</f>
        <v/>
      </c>
      <c r="K2341">
        <f>IF(H2341&gt;WhaleThreshold,"WHALE","")</f>
        <v/>
      </c>
    </row>
    <row r="2342">
      <c r="A2342" t="inlineStr">
        <is>
          <t>Will Cape Verde win the 2026 FIFA World Cup?</t>
        </is>
      </c>
      <c r="B2342" s="4" t="n">
        <v>46205</v>
      </c>
      <c r="C2342" s="5" t="n">
        <v>46205.01078703703</v>
      </c>
      <c r="D2342" t="inlineStr">
        <is>
          <t>BUY</t>
        </is>
      </c>
      <c r="E2342" t="inlineStr">
        <is>
          <t>Yes</t>
        </is>
      </c>
      <c r="F2342" s="2" t="n">
        <v>0.001</v>
      </c>
      <c r="G2342" s="6" t="n">
        <v>150</v>
      </c>
      <c r="H2342" s="6">
        <f>F2342*G2342</f>
        <v/>
      </c>
      <c r="I2342">
        <f>_xlfn.XLOOKUP(A2342,MktTitle,MktCat,"n/a")</f>
        <v/>
      </c>
      <c r="J2342" s="3">
        <f>_xlfn.XLOOKUP(A2342,MktTitle,MktTotVol,0)</f>
        <v/>
      </c>
      <c r="K2342">
        <f>IF(H2342&gt;WhaleThreshold,"WHALE","")</f>
        <v/>
      </c>
    </row>
    <row r="2343">
      <c r="A2343" t="inlineStr">
        <is>
          <t>Will Cape Verde win the 2026 FIFA World Cup?</t>
        </is>
      </c>
      <c r="B2343" s="4" t="n">
        <v>46205</v>
      </c>
      <c r="C2343" s="5" t="n">
        <v>46205.01070601852</v>
      </c>
      <c r="D2343" t="inlineStr">
        <is>
          <t>BUY</t>
        </is>
      </c>
      <c r="E2343" t="inlineStr">
        <is>
          <t>Yes</t>
        </is>
      </c>
      <c r="F2343" s="2" t="n">
        <v>0.001</v>
      </c>
      <c r="G2343" s="6" t="n">
        <v>1930</v>
      </c>
      <c r="H2343" s="6">
        <f>F2343*G2343</f>
        <v/>
      </c>
      <c r="I2343">
        <f>_xlfn.XLOOKUP(A2343,MktTitle,MktCat,"n/a")</f>
        <v/>
      </c>
      <c r="J2343" s="3">
        <f>_xlfn.XLOOKUP(A2343,MktTitle,MktTotVol,0)</f>
        <v/>
      </c>
      <c r="K2343">
        <f>IF(H2343&gt;WhaleThreshold,"WHALE","")</f>
        <v/>
      </c>
    </row>
    <row r="2344">
      <c r="A2344" t="inlineStr">
        <is>
          <t>Will Cape Verde win the 2026 FIFA World Cup?</t>
        </is>
      </c>
      <c r="B2344" s="4" t="n">
        <v>46205</v>
      </c>
      <c r="C2344" s="5" t="n">
        <v>46205.01070601852</v>
      </c>
      <c r="D2344" t="inlineStr">
        <is>
          <t>BUY</t>
        </is>
      </c>
      <c r="E2344" t="inlineStr">
        <is>
          <t>Yes</t>
        </is>
      </c>
      <c r="F2344" s="2" t="n">
        <v>0.001</v>
      </c>
      <c r="G2344" s="6" t="n">
        <v>150</v>
      </c>
      <c r="H2344" s="6">
        <f>F2344*G2344</f>
        <v/>
      </c>
      <c r="I2344">
        <f>_xlfn.XLOOKUP(A2344,MktTitle,MktCat,"n/a")</f>
        <v/>
      </c>
      <c r="J2344" s="3">
        <f>_xlfn.XLOOKUP(A2344,MktTitle,MktTotVol,0)</f>
        <v/>
      </c>
      <c r="K2344">
        <f>IF(H2344&gt;WhaleThreshold,"WHALE","")</f>
        <v/>
      </c>
    </row>
    <row r="2345">
      <c r="A2345" t="inlineStr">
        <is>
          <t>Will Cape Verde win the 2026 FIFA World Cup?</t>
        </is>
      </c>
      <c r="B2345" s="4" t="n">
        <v>46204</v>
      </c>
      <c r="C2345" s="5" t="n">
        <v>46204.99502314815</v>
      </c>
      <c r="D2345" t="inlineStr">
        <is>
          <t>BUY</t>
        </is>
      </c>
      <c r="E2345" t="inlineStr">
        <is>
          <t>Yes</t>
        </is>
      </c>
      <c r="F2345" s="2" t="n">
        <v>0.001</v>
      </c>
      <c r="G2345" s="6" t="n">
        <v>1000</v>
      </c>
      <c r="H2345" s="6">
        <f>F2345*G2345</f>
        <v/>
      </c>
      <c r="I2345">
        <f>_xlfn.XLOOKUP(A2345,MktTitle,MktCat,"n/a")</f>
        <v/>
      </c>
      <c r="J2345" s="3">
        <f>_xlfn.XLOOKUP(A2345,MktTitle,MktTotVol,0)</f>
        <v/>
      </c>
      <c r="K2345">
        <f>IF(H2345&gt;WhaleThreshold,"WHALE","")</f>
        <v/>
      </c>
    </row>
    <row r="2346">
      <c r="A2346" t="inlineStr">
        <is>
          <t>Will Cape Verde win the 2026 FIFA World Cup?</t>
        </is>
      </c>
      <c r="B2346" s="4" t="n">
        <v>46204</v>
      </c>
      <c r="C2346" s="5" t="n">
        <v>46204.97287037037</v>
      </c>
      <c r="D2346" t="inlineStr">
        <is>
          <t>BUY</t>
        </is>
      </c>
      <c r="E2346" t="inlineStr">
        <is>
          <t>Yes</t>
        </is>
      </c>
      <c r="F2346" s="2" t="n">
        <v>0.001</v>
      </c>
      <c r="G2346" s="6" t="n">
        <v>50000</v>
      </c>
      <c r="H2346" s="6">
        <f>F2346*G2346</f>
        <v/>
      </c>
      <c r="I2346">
        <f>_xlfn.XLOOKUP(A2346,MktTitle,MktCat,"n/a")</f>
        <v/>
      </c>
      <c r="J2346" s="3">
        <f>_xlfn.XLOOKUP(A2346,MktTitle,MktTotVol,0)</f>
        <v/>
      </c>
      <c r="K2346">
        <f>IF(H2346&gt;WhaleThreshold,"WHALE","")</f>
        <v/>
      </c>
    </row>
    <row r="2347">
      <c r="A2347" t="inlineStr">
        <is>
          <t>Will Cape Verde win the 2026 FIFA World Cup?</t>
        </is>
      </c>
      <c r="B2347" s="4" t="n">
        <v>46204</v>
      </c>
      <c r="C2347" s="5" t="n">
        <v>46204.9624537037</v>
      </c>
      <c r="D2347" t="inlineStr">
        <is>
          <t>BUY</t>
        </is>
      </c>
      <c r="E2347" t="inlineStr">
        <is>
          <t>Yes</t>
        </is>
      </c>
      <c r="F2347" s="2" t="n">
        <v>0.001</v>
      </c>
      <c r="G2347" s="6" t="n">
        <v>50000</v>
      </c>
      <c r="H2347" s="6">
        <f>F2347*G2347</f>
        <v/>
      </c>
      <c r="I2347">
        <f>_xlfn.XLOOKUP(A2347,MktTitle,MktCat,"n/a")</f>
        <v/>
      </c>
      <c r="J2347" s="3">
        <f>_xlfn.XLOOKUP(A2347,MktTitle,MktTotVol,0)</f>
        <v/>
      </c>
      <c r="K2347">
        <f>IF(H2347&gt;WhaleThreshold,"WHALE","")</f>
        <v/>
      </c>
    </row>
    <row r="2348">
      <c r="A2348" t="inlineStr">
        <is>
          <t>Will Cape Verde win the 2026 FIFA World Cup?</t>
        </is>
      </c>
      <c r="B2348" s="4" t="n">
        <v>46204</v>
      </c>
      <c r="C2348" s="5" t="n">
        <v>46204.95928240741</v>
      </c>
      <c r="D2348" t="inlineStr">
        <is>
          <t>BUY</t>
        </is>
      </c>
      <c r="E2348" t="inlineStr">
        <is>
          <t>Yes</t>
        </is>
      </c>
      <c r="F2348" s="2" t="n">
        <v>0.001</v>
      </c>
      <c r="G2348" s="6" t="n">
        <v>10000</v>
      </c>
      <c r="H2348" s="6">
        <f>F2348*G2348</f>
        <v/>
      </c>
      <c r="I2348">
        <f>_xlfn.XLOOKUP(A2348,MktTitle,MktCat,"n/a")</f>
        <v/>
      </c>
      <c r="J2348" s="3">
        <f>_xlfn.XLOOKUP(A2348,MktTitle,MktTotVol,0)</f>
        <v/>
      </c>
      <c r="K2348">
        <f>IF(H2348&gt;WhaleThreshold,"WHALE","")</f>
        <v/>
      </c>
    </row>
    <row r="2349">
      <c r="A2349" t="inlineStr">
        <is>
          <t>Will Cape Verde win the 2026 FIFA World Cup?</t>
        </is>
      </c>
      <c r="B2349" s="4" t="n">
        <v>46204</v>
      </c>
      <c r="C2349" s="5" t="n">
        <v>46204.95844907407</v>
      </c>
      <c r="D2349" t="inlineStr">
        <is>
          <t>BUY</t>
        </is>
      </c>
      <c r="E2349" t="inlineStr">
        <is>
          <t>Yes</t>
        </is>
      </c>
      <c r="F2349" s="2" t="n">
        <v>0.001</v>
      </c>
      <c r="G2349" s="6" t="n">
        <v>1000</v>
      </c>
      <c r="H2349" s="6">
        <f>F2349*G2349</f>
        <v/>
      </c>
      <c r="I2349">
        <f>_xlfn.XLOOKUP(A2349,MktTitle,MktCat,"n/a")</f>
        <v/>
      </c>
      <c r="J2349" s="3">
        <f>_xlfn.XLOOKUP(A2349,MktTitle,MktTotVol,0)</f>
        <v/>
      </c>
      <c r="K2349">
        <f>IF(H2349&gt;WhaleThreshold,"WHALE","")</f>
        <v/>
      </c>
    </row>
    <row r="2350">
      <c r="A2350" t="inlineStr">
        <is>
          <t>Will Cape Verde win the 2026 FIFA World Cup?</t>
        </is>
      </c>
      <c r="B2350" s="4" t="n">
        <v>46204</v>
      </c>
      <c r="C2350" s="5" t="n">
        <v>46204.95716435185</v>
      </c>
      <c r="D2350" t="inlineStr">
        <is>
          <t>BUY</t>
        </is>
      </c>
      <c r="E2350" t="inlineStr">
        <is>
          <t>Yes</t>
        </is>
      </c>
      <c r="F2350" s="2" t="n">
        <v>0.001</v>
      </c>
      <c r="G2350" s="6" t="n">
        <v>1000</v>
      </c>
      <c r="H2350" s="6">
        <f>F2350*G2350</f>
        <v/>
      </c>
      <c r="I2350">
        <f>_xlfn.XLOOKUP(A2350,MktTitle,MktCat,"n/a")</f>
        <v/>
      </c>
      <c r="J2350" s="3">
        <f>_xlfn.XLOOKUP(A2350,MktTitle,MktTotVol,0)</f>
        <v/>
      </c>
      <c r="K2350">
        <f>IF(H2350&gt;WhaleThreshold,"WHALE","")</f>
        <v/>
      </c>
    </row>
    <row r="2351">
      <c r="A2351" t="inlineStr">
        <is>
          <t>Will Cape Verde win the 2026 FIFA World Cup?</t>
        </is>
      </c>
      <c r="B2351" s="4" t="n">
        <v>46204</v>
      </c>
      <c r="C2351" s="5" t="n">
        <v>46204.93547453704</v>
      </c>
      <c r="D2351" t="inlineStr">
        <is>
          <t>BUY</t>
        </is>
      </c>
      <c r="E2351" t="inlineStr">
        <is>
          <t>Yes</t>
        </is>
      </c>
      <c r="F2351" s="2" t="n">
        <v>0.001</v>
      </c>
      <c r="G2351" s="6" t="n">
        <v>5000</v>
      </c>
      <c r="H2351" s="6">
        <f>F2351*G2351</f>
        <v/>
      </c>
      <c r="I2351">
        <f>_xlfn.XLOOKUP(A2351,MktTitle,MktCat,"n/a")</f>
        <v/>
      </c>
      <c r="J2351" s="3">
        <f>_xlfn.XLOOKUP(A2351,MktTitle,MktTotVol,0)</f>
        <v/>
      </c>
      <c r="K2351">
        <f>IF(H2351&gt;WhaleThreshold,"WHALE","")</f>
        <v/>
      </c>
    </row>
    <row r="2352">
      <c r="A2352" t="inlineStr">
        <is>
          <t>Will Cape Verde win the 2026 FIFA World Cup?</t>
        </is>
      </c>
      <c r="B2352" s="4" t="n">
        <v>46204</v>
      </c>
      <c r="C2352" s="5" t="n">
        <v>46204.91516203704</v>
      </c>
      <c r="D2352" t="inlineStr">
        <is>
          <t>BUY</t>
        </is>
      </c>
      <c r="E2352" t="inlineStr">
        <is>
          <t>Yes</t>
        </is>
      </c>
      <c r="F2352" s="2" t="n">
        <v>0.001</v>
      </c>
      <c r="G2352" s="6" t="n">
        <v>10000</v>
      </c>
      <c r="H2352" s="6">
        <f>F2352*G2352</f>
        <v/>
      </c>
      <c r="I2352">
        <f>_xlfn.XLOOKUP(A2352,MktTitle,MktCat,"n/a")</f>
        <v/>
      </c>
      <c r="J2352" s="3">
        <f>_xlfn.XLOOKUP(A2352,MktTitle,MktTotVol,0)</f>
        <v/>
      </c>
      <c r="K2352">
        <f>IF(H2352&gt;WhaleThreshold,"WHALE","")</f>
        <v/>
      </c>
    </row>
    <row r="2353">
      <c r="A2353" t="inlineStr">
        <is>
          <t>Will Cape Verde win the 2026 FIFA World Cup?</t>
        </is>
      </c>
      <c r="B2353" s="4" t="n">
        <v>46204</v>
      </c>
      <c r="C2353" s="5" t="n">
        <v>46204.91476851852</v>
      </c>
      <c r="D2353" t="inlineStr">
        <is>
          <t>BUY</t>
        </is>
      </c>
      <c r="E2353" t="inlineStr">
        <is>
          <t>Yes</t>
        </is>
      </c>
      <c r="F2353" s="2" t="n">
        <v>0.001</v>
      </c>
      <c r="G2353" s="6" t="n">
        <v>10000</v>
      </c>
      <c r="H2353" s="6">
        <f>F2353*G2353</f>
        <v/>
      </c>
      <c r="I2353">
        <f>_xlfn.XLOOKUP(A2353,MktTitle,MktCat,"n/a")</f>
        <v/>
      </c>
      <c r="J2353" s="3">
        <f>_xlfn.XLOOKUP(A2353,MktTitle,MktTotVol,0)</f>
        <v/>
      </c>
      <c r="K2353">
        <f>IF(H2353&gt;WhaleThreshold,"WHALE","")</f>
        <v/>
      </c>
    </row>
    <row r="2354">
      <c r="A2354" t="inlineStr">
        <is>
          <t>Will Cape Verde win the 2026 FIFA World Cup?</t>
        </is>
      </c>
      <c r="B2354" s="4" t="n">
        <v>46204</v>
      </c>
      <c r="C2354" s="5" t="n">
        <v>46204.91373842592</v>
      </c>
      <c r="D2354" t="inlineStr">
        <is>
          <t>BUY</t>
        </is>
      </c>
      <c r="E2354" t="inlineStr">
        <is>
          <t>Yes</t>
        </is>
      </c>
      <c r="F2354" s="2" t="n">
        <v>0.001</v>
      </c>
      <c r="G2354" s="6" t="n">
        <v>3000</v>
      </c>
      <c r="H2354" s="6">
        <f>F2354*G2354</f>
        <v/>
      </c>
      <c r="I2354">
        <f>_xlfn.XLOOKUP(A2354,MktTitle,MktCat,"n/a")</f>
        <v/>
      </c>
      <c r="J2354" s="3">
        <f>_xlfn.XLOOKUP(A2354,MktTitle,MktTotVol,0)</f>
        <v/>
      </c>
      <c r="K2354">
        <f>IF(H2354&gt;WhaleThreshold,"WHALE","")</f>
        <v/>
      </c>
    </row>
    <row r="2355">
      <c r="A2355" t="inlineStr">
        <is>
          <t>Will Cape Verde win the 2026 FIFA World Cup?</t>
        </is>
      </c>
      <c r="B2355" s="4" t="n">
        <v>46204</v>
      </c>
      <c r="C2355" s="5" t="n">
        <v>46204.90137731482</v>
      </c>
      <c r="D2355" t="inlineStr">
        <is>
          <t>BUY</t>
        </is>
      </c>
      <c r="E2355" t="inlineStr">
        <is>
          <t>Yes</t>
        </is>
      </c>
      <c r="F2355" s="2" t="n">
        <v>0.001</v>
      </c>
      <c r="G2355" s="6" t="n">
        <v>10000</v>
      </c>
      <c r="H2355" s="6">
        <f>F2355*G2355</f>
        <v/>
      </c>
      <c r="I2355">
        <f>_xlfn.XLOOKUP(A2355,MktTitle,MktCat,"n/a")</f>
        <v/>
      </c>
      <c r="J2355" s="3">
        <f>_xlfn.XLOOKUP(A2355,MktTitle,MktTotVol,0)</f>
        <v/>
      </c>
      <c r="K2355">
        <f>IF(H2355&gt;WhaleThreshold,"WHALE","")</f>
        <v/>
      </c>
    </row>
    <row r="2356">
      <c r="A2356" t="inlineStr">
        <is>
          <t>Will Cape Verde win the 2026 FIFA World Cup?</t>
        </is>
      </c>
      <c r="B2356" s="4" t="n">
        <v>46204</v>
      </c>
      <c r="C2356" s="5" t="n">
        <v>46204.89655092593</v>
      </c>
      <c r="D2356" t="inlineStr">
        <is>
          <t>BUY</t>
        </is>
      </c>
      <c r="E2356" t="inlineStr">
        <is>
          <t>Yes</t>
        </is>
      </c>
      <c r="F2356" s="2" t="n">
        <v>0.001</v>
      </c>
      <c r="G2356" s="6" t="n">
        <v>9560</v>
      </c>
      <c r="H2356" s="6">
        <f>F2356*G2356</f>
        <v/>
      </c>
      <c r="I2356">
        <f>_xlfn.XLOOKUP(A2356,MktTitle,MktCat,"n/a")</f>
        <v/>
      </c>
      <c r="J2356" s="3">
        <f>_xlfn.XLOOKUP(A2356,MktTitle,MktTotVol,0)</f>
        <v/>
      </c>
      <c r="K2356">
        <f>IF(H2356&gt;WhaleThreshold,"WHALE","")</f>
        <v/>
      </c>
    </row>
    <row r="2357">
      <c r="A2357" t="inlineStr">
        <is>
          <t>Will Cape Verde win the 2026 FIFA World Cup?</t>
        </is>
      </c>
      <c r="B2357" s="4" t="n">
        <v>46204</v>
      </c>
      <c r="C2357" s="5" t="n">
        <v>46204.89637731481</v>
      </c>
      <c r="D2357" t="inlineStr">
        <is>
          <t>BUY</t>
        </is>
      </c>
      <c r="E2357" t="inlineStr">
        <is>
          <t>Yes</t>
        </is>
      </c>
      <c r="F2357" s="2" t="n">
        <v>0.001</v>
      </c>
      <c r="G2357" s="6" t="n">
        <v>1000</v>
      </c>
      <c r="H2357" s="6">
        <f>F2357*G2357</f>
        <v/>
      </c>
      <c r="I2357">
        <f>_xlfn.XLOOKUP(A2357,MktTitle,MktCat,"n/a")</f>
        <v/>
      </c>
      <c r="J2357" s="3">
        <f>_xlfn.XLOOKUP(A2357,MktTitle,MktTotVol,0)</f>
        <v/>
      </c>
      <c r="K2357">
        <f>IF(H2357&gt;WhaleThreshold,"WHALE","")</f>
        <v/>
      </c>
    </row>
    <row r="2358">
      <c r="A2358" t="inlineStr">
        <is>
          <t>Will Cape Verde win the 2026 FIFA World Cup?</t>
        </is>
      </c>
      <c r="B2358" s="4" t="n">
        <v>46204</v>
      </c>
      <c r="C2358" s="5" t="n">
        <v>46204.89568287037</v>
      </c>
      <c r="D2358" t="inlineStr">
        <is>
          <t>BUY</t>
        </is>
      </c>
      <c r="E2358" t="inlineStr">
        <is>
          <t>Yes</t>
        </is>
      </c>
      <c r="F2358" s="2" t="n">
        <v>0.001</v>
      </c>
      <c r="G2358" s="6" t="n">
        <v>1450</v>
      </c>
      <c r="H2358" s="6">
        <f>F2358*G2358</f>
        <v/>
      </c>
      <c r="I2358">
        <f>_xlfn.XLOOKUP(A2358,MktTitle,MktCat,"n/a")</f>
        <v/>
      </c>
      <c r="J2358" s="3">
        <f>_xlfn.XLOOKUP(A2358,MktTitle,MktTotVol,0)</f>
        <v/>
      </c>
      <c r="K2358">
        <f>IF(H2358&gt;WhaleThreshold,"WHALE","")</f>
        <v/>
      </c>
    </row>
    <row r="2359">
      <c r="A2359" t="inlineStr">
        <is>
          <t>Will Cape Verde win the 2026 FIFA World Cup?</t>
        </is>
      </c>
      <c r="B2359" s="4" t="n">
        <v>46204</v>
      </c>
      <c r="C2359" s="5" t="n">
        <v>46204.89186342592</v>
      </c>
      <c r="D2359" t="inlineStr">
        <is>
          <t>BUY</t>
        </is>
      </c>
      <c r="E2359" t="inlineStr">
        <is>
          <t>Yes</t>
        </is>
      </c>
      <c r="F2359" s="2" t="n">
        <v>0.001</v>
      </c>
      <c r="G2359" s="6" t="n">
        <v>10000</v>
      </c>
      <c r="H2359" s="6">
        <f>F2359*G2359</f>
        <v/>
      </c>
      <c r="I2359">
        <f>_xlfn.XLOOKUP(A2359,MktTitle,MktCat,"n/a")</f>
        <v/>
      </c>
      <c r="J2359" s="3">
        <f>_xlfn.XLOOKUP(A2359,MktTitle,MktTotVol,0)</f>
        <v/>
      </c>
      <c r="K2359">
        <f>IF(H2359&gt;WhaleThreshold,"WHALE","")</f>
        <v/>
      </c>
    </row>
    <row r="2360">
      <c r="A2360" t="inlineStr">
        <is>
          <t>Will Cape Verde win the 2026 FIFA World Cup?</t>
        </is>
      </c>
      <c r="B2360" s="4" t="n">
        <v>46204</v>
      </c>
      <c r="C2360" s="5" t="n">
        <v>46204.88303240741</v>
      </c>
      <c r="D2360" t="inlineStr">
        <is>
          <t>BUY</t>
        </is>
      </c>
      <c r="E2360" t="inlineStr">
        <is>
          <t>Yes</t>
        </is>
      </c>
      <c r="F2360" s="2" t="n">
        <v>0.001</v>
      </c>
      <c r="G2360" s="6" t="n">
        <v>3000</v>
      </c>
      <c r="H2360" s="6">
        <f>F2360*G2360</f>
        <v/>
      </c>
      <c r="I2360">
        <f>_xlfn.XLOOKUP(A2360,MktTitle,MktCat,"n/a")</f>
        <v/>
      </c>
      <c r="J2360" s="3">
        <f>_xlfn.XLOOKUP(A2360,MktTitle,MktTotVol,0)</f>
        <v/>
      </c>
      <c r="K2360">
        <f>IF(H2360&gt;WhaleThreshold,"WHALE","")</f>
        <v/>
      </c>
    </row>
    <row r="2361">
      <c r="A2361" t="inlineStr">
        <is>
          <t>Will Cape Verde win the 2026 FIFA World Cup?</t>
        </is>
      </c>
      <c r="B2361" s="4" t="n">
        <v>46204</v>
      </c>
      <c r="C2361" s="5" t="n">
        <v>46204.88164351852</v>
      </c>
      <c r="D2361" t="inlineStr">
        <is>
          <t>BUY</t>
        </is>
      </c>
      <c r="E2361" t="inlineStr">
        <is>
          <t>Yes</t>
        </is>
      </c>
      <c r="F2361" s="2" t="n">
        <v>0.001</v>
      </c>
      <c r="G2361" s="6" t="n">
        <v>1000</v>
      </c>
      <c r="H2361" s="6">
        <f>F2361*G2361</f>
        <v/>
      </c>
      <c r="I2361">
        <f>_xlfn.XLOOKUP(A2361,MktTitle,MktCat,"n/a")</f>
        <v/>
      </c>
      <c r="J2361" s="3">
        <f>_xlfn.XLOOKUP(A2361,MktTitle,MktTotVol,0)</f>
        <v/>
      </c>
      <c r="K2361">
        <f>IF(H2361&gt;WhaleThreshold,"WHALE","")</f>
        <v/>
      </c>
    </row>
    <row r="2362">
      <c r="A2362" t="inlineStr">
        <is>
          <t>Will Cape Verde win the 2026 FIFA World Cup?</t>
        </is>
      </c>
      <c r="B2362" s="4" t="n">
        <v>46204</v>
      </c>
      <c r="C2362" s="5" t="n">
        <v>46204.88133101852</v>
      </c>
      <c r="D2362" t="inlineStr">
        <is>
          <t>BUY</t>
        </is>
      </c>
      <c r="E2362" t="inlineStr">
        <is>
          <t>Yes</t>
        </is>
      </c>
      <c r="F2362" s="2" t="n">
        <v>0.001</v>
      </c>
      <c r="G2362" s="6" t="n">
        <v>1000</v>
      </c>
      <c r="H2362" s="6">
        <f>F2362*G2362</f>
        <v/>
      </c>
      <c r="I2362">
        <f>_xlfn.XLOOKUP(A2362,MktTitle,MktCat,"n/a")</f>
        <v/>
      </c>
      <c r="J2362" s="3">
        <f>_xlfn.XLOOKUP(A2362,MktTitle,MktTotVol,0)</f>
        <v/>
      </c>
      <c r="K2362">
        <f>IF(H2362&gt;WhaleThreshold,"WHALE","")</f>
        <v/>
      </c>
    </row>
    <row r="2363">
      <c r="A2363" t="inlineStr">
        <is>
          <t>Will Cape Verde win the 2026 FIFA World Cup?</t>
        </is>
      </c>
      <c r="B2363" s="4" t="n">
        <v>46204</v>
      </c>
      <c r="C2363" s="5" t="n">
        <v>46204.87702546296</v>
      </c>
      <c r="D2363" t="inlineStr">
        <is>
          <t>BUY</t>
        </is>
      </c>
      <c r="E2363" t="inlineStr">
        <is>
          <t>Yes</t>
        </is>
      </c>
      <c r="F2363" s="2" t="n">
        <v>0.001</v>
      </c>
      <c r="G2363" s="6" t="n">
        <v>50000</v>
      </c>
      <c r="H2363" s="6">
        <f>F2363*G2363</f>
        <v/>
      </c>
      <c r="I2363">
        <f>_xlfn.XLOOKUP(A2363,MktTitle,MktCat,"n/a")</f>
        <v/>
      </c>
      <c r="J2363" s="3">
        <f>_xlfn.XLOOKUP(A2363,MktTitle,MktTotVol,0)</f>
        <v/>
      </c>
      <c r="K2363">
        <f>IF(H2363&gt;WhaleThreshold,"WHALE","")</f>
        <v/>
      </c>
    </row>
    <row r="2364">
      <c r="A2364" t="inlineStr">
        <is>
          <t>Will Cape Verde win the 2026 FIFA World Cup?</t>
        </is>
      </c>
      <c r="B2364" s="4" t="n">
        <v>46204</v>
      </c>
      <c r="C2364" s="5" t="n">
        <v>46204.87668981482</v>
      </c>
      <c r="D2364" t="inlineStr">
        <is>
          <t>BUY</t>
        </is>
      </c>
      <c r="E2364" t="inlineStr">
        <is>
          <t>Yes</t>
        </is>
      </c>
      <c r="F2364" s="2" t="n">
        <v>0.001</v>
      </c>
      <c r="G2364" s="6" t="n">
        <v>1940</v>
      </c>
      <c r="H2364" s="6">
        <f>F2364*G2364</f>
        <v/>
      </c>
      <c r="I2364">
        <f>_xlfn.XLOOKUP(A2364,MktTitle,MktCat,"n/a")</f>
        <v/>
      </c>
      <c r="J2364" s="3">
        <f>_xlfn.XLOOKUP(A2364,MktTitle,MktTotVol,0)</f>
        <v/>
      </c>
      <c r="K2364">
        <f>IF(H2364&gt;WhaleThreshold,"WHALE","")</f>
        <v/>
      </c>
    </row>
    <row r="2365">
      <c r="A2365" t="inlineStr">
        <is>
          <t>Will Cape Verde win the 2026 FIFA World Cup?</t>
        </is>
      </c>
      <c r="B2365" s="4" t="n">
        <v>46204</v>
      </c>
      <c r="C2365" s="5" t="n">
        <v>46204.87622685185</v>
      </c>
      <c r="D2365" t="inlineStr">
        <is>
          <t>BUY</t>
        </is>
      </c>
      <c r="E2365" t="inlineStr">
        <is>
          <t>Yes</t>
        </is>
      </c>
      <c r="F2365" s="2" t="n">
        <v>0.001</v>
      </c>
      <c r="G2365" s="6" t="n">
        <v>10000</v>
      </c>
      <c r="H2365" s="6">
        <f>F2365*G2365</f>
        <v/>
      </c>
      <c r="I2365">
        <f>_xlfn.XLOOKUP(A2365,MktTitle,MktCat,"n/a")</f>
        <v/>
      </c>
      <c r="J2365" s="3">
        <f>_xlfn.XLOOKUP(A2365,MktTitle,MktTotVol,0)</f>
        <v/>
      </c>
      <c r="K2365">
        <f>IF(H2365&gt;WhaleThreshold,"WHALE","")</f>
        <v/>
      </c>
    </row>
    <row r="2366">
      <c r="A2366" t="inlineStr">
        <is>
          <t>Will Cape Verde win the 2026 FIFA World Cup?</t>
        </is>
      </c>
      <c r="B2366" s="4" t="n">
        <v>46204</v>
      </c>
      <c r="C2366" s="5" t="n">
        <v>46204.8762037037</v>
      </c>
      <c r="D2366" t="inlineStr">
        <is>
          <t>BUY</t>
        </is>
      </c>
      <c r="E2366" t="inlineStr">
        <is>
          <t>Yes</t>
        </is>
      </c>
      <c r="F2366" s="2" t="n">
        <v>0.001</v>
      </c>
      <c r="G2366" s="6" t="n">
        <v>10000</v>
      </c>
      <c r="H2366" s="6">
        <f>F2366*G2366</f>
        <v/>
      </c>
      <c r="I2366">
        <f>_xlfn.XLOOKUP(A2366,MktTitle,MktCat,"n/a")</f>
        <v/>
      </c>
      <c r="J2366" s="3">
        <f>_xlfn.XLOOKUP(A2366,MktTitle,MktTotVol,0)</f>
        <v/>
      </c>
      <c r="K2366">
        <f>IF(H2366&gt;WhaleThreshold,"WHALE","")</f>
        <v/>
      </c>
    </row>
    <row r="2367">
      <c r="A2367" t="inlineStr">
        <is>
          <t>Will Cape Verde win the 2026 FIFA World Cup?</t>
        </is>
      </c>
      <c r="B2367" s="4" t="n">
        <v>46204</v>
      </c>
      <c r="C2367" s="5" t="n">
        <v>46204.86561342593</v>
      </c>
      <c r="D2367" t="inlineStr">
        <is>
          <t>BUY</t>
        </is>
      </c>
      <c r="E2367" t="inlineStr">
        <is>
          <t>Yes</t>
        </is>
      </c>
      <c r="F2367" s="2" t="n">
        <v>0.001</v>
      </c>
      <c r="G2367" s="6" t="n">
        <v>9000</v>
      </c>
      <c r="H2367" s="6">
        <f>F2367*G2367</f>
        <v/>
      </c>
      <c r="I2367">
        <f>_xlfn.XLOOKUP(A2367,MktTitle,MktCat,"n/a")</f>
        <v/>
      </c>
      <c r="J2367" s="3">
        <f>_xlfn.XLOOKUP(A2367,MktTitle,MktTotVol,0)</f>
        <v/>
      </c>
      <c r="K2367">
        <f>IF(H2367&gt;WhaleThreshold,"WHALE","")</f>
        <v/>
      </c>
    </row>
    <row r="2368">
      <c r="A2368" t="inlineStr">
        <is>
          <t>Will Cape Verde win the 2026 FIFA World Cup?</t>
        </is>
      </c>
      <c r="B2368" s="4" t="n">
        <v>46204</v>
      </c>
      <c r="C2368" s="5" t="n">
        <v>46204.8639699074</v>
      </c>
      <c r="D2368" t="inlineStr">
        <is>
          <t>BUY</t>
        </is>
      </c>
      <c r="E2368" t="inlineStr">
        <is>
          <t>Yes</t>
        </is>
      </c>
      <c r="F2368" s="2" t="n">
        <v>0.001</v>
      </c>
      <c r="G2368" s="6" t="n">
        <v>5000</v>
      </c>
      <c r="H2368" s="6">
        <f>F2368*G2368</f>
        <v/>
      </c>
      <c r="I2368">
        <f>_xlfn.XLOOKUP(A2368,MktTitle,MktCat,"n/a")</f>
        <v/>
      </c>
      <c r="J2368" s="3">
        <f>_xlfn.XLOOKUP(A2368,MktTitle,MktTotVol,0)</f>
        <v/>
      </c>
      <c r="K2368">
        <f>IF(H2368&gt;WhaleThreshold,"WHALE","")</f>
        <v/>
      </c>
    </row>
    <row r="2369">
      <c r="A2369" t="inlineStr">
        <is>
          <t>Will Cape Verde win the 2026 FIFA World Cup?</t>
        </is>
      </c>
      <c r="B2369" s="4" t="n">
        <v>46204</v>
      </c>
      <c r="C2369" s="5" t="n">
        <v>46204.86372685185</v>
      </c>
      <c r="D2369" t="inlineStr">
        <is>
          <t>BUY</t>
        </is>
      </c>
      <c r="E2369" t="inlineStr">
        <is>
          <t>Yes</t>
        </is>
      </c>
      <c r="F2369" s="2" t="n">
        <v>0.001</v>
      </c>
      <c r="G2369" s="6" t="n">
        <v>15000</v>
      </c>
      <c r="H2369" s="6">
        <f>F2369*G2369</f>
        <v/>
      </c>
      <c r="I2369">
        <f>_xlfn.XLOOKUP(A2369,MktTitle,MktCat,"n/a")</f>
        <v/>
      </c>
      <c r="J2369" s="3">
        <f>_xlfn.XLOOKUP(A2369,MktTitle,MktTotVol,0)</f>
        <v/>
      </c>
      <c r="K2369">
        <f>IF(H2369&gt;WhaleThreshold,"WHALE","")</f>
        <v/>
      </c>
    </row>
    <row r="2370">
      <c r="A2370" t="inlineStr">
        <is>
          <t>Will Cape Verde win the 2026 FIFA World Cup?</t>
        </is>
      </c>
      <c r="B2370" s="4" t="n">
        <v>46204</v>
      </c>
      <c r="C2370" s="5" t="n">
        <v>46204.86141203704</v>
      </c>
      <c r="D2370" t="inlineStr">
        <is>
          <t>BUY</t>
        </is>
      </c>
      <c r="E2370" t="inlineStr">
        <is>
          <t>Yes</t>
        </is>
      </c>
      <c r="F2370" s="2" t="n">
        <v>0.001</v>
      </c>
      <c r="G2370" s="6" t="n">
        <v>1000</v>
      </c>
      <c r="H2370" s="6">
        <f>F2370*G2370</f>
        <v/>
      </c>
      <c r="I2370">
        <f>_xlfn.XLOOKUP(A2370,MktTitle,MktCat,"n/a")</f>
        <v/>
      </c>
      <c r="J2370" s="3">
        <f>_xlfn.XLOOKUP(A2370,MktTitle,MktTotVol,0)</f>
        <v/>
      </c>
      <c r="K2370">
        <f>IF(H2370&gt;WhaleThreshold,"WHALE","")</f>
        <v/>
      </c>
    </row>
    <row r="2371">
      <c r="A2371" t="inlineStr">
        <is>
          <t>Will Cape Verde win the 2026 FIFA World Cup?</t>
        </is>
      </c>
      <c r="B2371" s="4" t="n">
        <v>46204</v>
      </c>
      <c r="C2371" s="5" t="n">
        <v>46204.86030092592</v>
      </c>
      <c r="D2371" t="inlineStr">
        <is>
          <t>BUY</t>
        </is>
      </c>
      <c r="E2371" t="inlineStr">
        <is>
          <t>Yes</t>
        </is>
      </c>
      <c r="F2371" s="2" t="n">
        <v>0.001</v>
      </c>
      <c r="G2371" s="6" t="n">
        <v>50000</v>
      </c>
      <c r="H2371" s="6">
        <f>F2371*G2371</f>
        <v/>
      </c>
      <c r="I2371">
        <f>_xlfn.XLOOKUP(A2371,MktTitle,MktCat,"n/a")</f>
        <v/>
      </c>
      <c r="J2371" s="3">
        <f>_xlfn.XLOOKUP(A2371,MktTitle,MktTotVol,0)</f>
        <v/>
      </c>
      <c r="K2371">
        <f>IF(H2371&gt;WhaleThreshold,"WHALE","")</f>
        <v/>
      </c>
    </row>
    <row r="2372">
      <c r="A2372" t="inlineStr">
        <is>
          <t>Will Cape Verde win the 2026 FIFA World Cup?</t>
        </is>
      </c>
      <c r="B2372" s="4" t="n">
        <v>46204</v>
      </c>
      <c r="C2372" s="5" t="n">
        <v>46204.85609953704</v>
      </c>
      <c r="D2372" t="inlineStr">
        <is>
          <t>BUY</t>
        </is>
      </c>
      <c r="E2372" t="inlineStr">
        <is>
          <t>Yes</t>
        </is>
      </c>
      <c r="F2372" s="2" t="n">
        <v>0.001</v>
      </c>
      <c r="G2372" s="6" t="n">
        <v>40630</v>
      </c>
      <c r="H2372" s="6">
        <f>F2372*G2372</f>
        <v/>
      </c>
      <c r="I2372">
        <f>_xlfn.XLOOKUP(A2372,MktTitle,MktCat,"n/a")</f>
        <v/>
      </c>
      <c r="J2372" s="3">
        <f>_xlfn.XLOOKUP(A2372,MktTitle,MktTotVol,0)</f>
        <v/>
      </c>
      <c r="K2372">
        <f>IF(H2372&gt;WhaleThreshold,"WHALE","")</f>
        <v/>
      </c>
    </row>
    <row r="2373">
      <c r="A2373" t="inlineStr">
        <is>
          <t>Will Cape Verde win the 2026 FIFA World Cup?</t>
        </is>
      </c>
      <c r="B2373" s="4" t="n">
        <v>46204</v>
      </c>
      <c r="C2373" s="5" t="n">
        <v>46204.84935185185</v>
      </c>
      <c r="D2373" t="inlineStr">
        <is>
          <t>BUY</t>
        </is>
      </c>
      <c r="E2373" t="inlineStr">
        <is>
          <t>Yes</t>
        </is>
      </c>
      <c r="F2373" s="2" t="n">
        <v>0.001</v>
      </c>
      <c r="G2373" s="6" t="n">
        <v>4850</v>
      </c>
      <c r="H2373" s="6">
        <f>F2373*G2373</f>
        <v/>
      </c>
      <c r="I2373">
        <f>_xlfn.XLOOKUP(A2373,MktTitle,MktCat,"n/a")</f>
        <v/>
      </c>
      <c r="J2373" s="3">
        <f>_xlfn.XLOOKUP(A2373,MktTitle,MktTotVol,0)</f>
        <v/>
      </c>
      <c r="K2373">
        <f>IF(H2373&gt;WhaleThreshold,"WHALE","")</f>
        <v/>
      </c>
    </row>
    <row r="2374">
      <c r="A2374" t="inlineStr">
        <is>
          <t>Will Cape Verde win the 2026 FIFA World Cup?</t>
        </is>
      </c>
      <c r="B2374" s="4" t="n">
        <v>46204</v>
      </c>
      <c r="C2374" s="5" t="n">
        <v>46204.83334490741</v>
      </c>
      <c r="D2374" t="inlineStr">
        <is>
          <t>BUY</t>
        </is>
      </c>
      <c r="E2374" t="inlineStr">
        <is>
          <t>Yes</t>
        </is>
      </c>
      <c r="F2374" s="2" t="n">
        <v>0.001</v>
      </c>
      <c r="G2374" s="6" t="n">
        <v>1000</v>
      </c>
      <c r="H2374" s="6">
        <f>F2374*G2374</f>
        <v/>
      </c>
      <c r="I2374">
        <f>_xlfn.XLOOKUP(A2374,MktTitle,MktCat,"n/a")</f>
        <v/>
      </c>
      <c r="J2374" s="3">
        <f>_xlfn.XLOOKUP(A2374,MktTitle,MktTotVol,0)</f>
        <v/>
      </c>
      <c r="K2374">
        <f>IF(H2374&gt;WhaleThreshold,"WHALE","")</f>
        <v/>
      </c>
    </row>
    <row r="2375">
      <c r="A2375" t="inlineStr">
        <is>
          <t>Will Cape Verde win the 2026 FIFA World Cup?</t>
        </is>
      </c>
      <c r="B2375" s="4" t="n">
        <v>46204</v>
      </c>
      <c r="C2375" s="5" t="n">
        <v>46204.83318287037</v>
      </c>
      <c r="D2375" t="inlineStr">
        <is>
          <t>BUY</t>
        </is>
      </c>
      <c r="E2375" t="inlineStr">
        <is>
          <t>Yes</t>
        </is>
      </c>
      <c r="F2375" s="2" t="n">
        <v>0.001</v>
      </c>
      <c r="G2375" s="6" t="n">
        <v>1000</v>
      </c>
      <c r="H2375" s="6">
        <f>F2375*G2375</f>
        <v/>
      </c>
      <c r="I2375">
        <f>_xlfn.XLOOKUP(A2375,MktTitle,MktCat,"n/a")</f>
        <v/>
      </c>
      <c r="J2375" s="3">
        <f>_xlfn.XLOOKUP(A2375,MktTitle,MktTotVol,0)</f>
        <v/>
      </c>
      <c r="K2375">
        <f>IF(H2375&gt;WhaleThreshold,"WHALE","")</f>
        <v/>
      </c>
    </row>
    <row r="2376">
      <c r="A2376" t="inlineStr">
        <is>
          <t>Will Cape Verde win the 2026 FIFA World Cup?</t>
        </is>
      </c>
      <c r="B2376" s="4" t="n">
        <v>46204</v>
      </c>
      <c r="C2376" s="5" t="n">
        <v>46204.83304398148</v>
      </c>
      <c r="D2376" t="inlineStr">
        <is>
          <t>BUY</t>
        </is>
      </c>
      <c r="E2376" t="inlineStr">
        <is>
          <t>Yes</t>
        </is>
      </c>
      <c r="F2376" s="2" t="n">
        <v>0.001</v>
      </c>
      <c r="G2376" s="6" t="n">
        <v>1000</v>
      </c>
      <c r="H2376" s="6">
        <f>F2376*G2376</f>
        <v/>
      </c>
      <c r="I2376">
        <f>_xlfn.XLOOKUP(A2376,MktTitle,MktCat,"n/a")</f>
        <v/>
      </c>
      <c r="J2376" s="3">
        <f>_xlfn.XLOOKUP(A2376,MktTitle,MktTotVol,0)</f>
        <v/>
      </c>
      <c r="K2376">
        <f>IF(H2376&gt;WhaleThreshold,"WHALE","")</f>
        <v/>
      </c>
    </row>
    <row r="2377">
      <c r="A2377" t="inlineStr">
        <is>
          <t>Will Cape Verde win the 2026 FIFA World Cup?</t>
        </is>
      </c>
      <c r="B2377" s="4" t="n">
        <v>46204</v>
      </c>
      <c r="C2377" s="5" t="n">
        <v>46204.82712962963</v>
      </c>
      <c r="D2377" t="inlineStr">
        <is>
          <t>BUY</t>
        </is>
      </c>
      <c r="E2377" t="inlineStr">
        <is>
          <t>Yes</t>
        </is>
      </c>
      <c r="F2377" s="2" t="n">
        <v>0.001</v>
      </c>
      <c r="G2377" s="6" t="n">
        <v>2000</v>
      </c>
      <c r="H2377" s="6">
        <f>F2377*G2377</f>
        <v/>
      </c>
      <c r="I2377">
        <f>_xlfn.XLOOKUP(A2377,MktTitle,MktCat,"n/a")</f>
        <v/>
      </c>
      <c r="J2377" s="3">
        <f>_xlfn.XLOOKUP(A2377,MktTitle,MktTotVol,0)</f>
        <v/>
      </c>
      <c r="K2377">
        <f>IF(H2377&gt;WhaleThreshold,"WHALE","")</f>
        <v/>
      </c>
    </row>
    <row r="2378">
      <c r="A2378" t="inlineStr">
        <is>
          <t>Will Cape Verde win the 2026 FIFA World Cup?</t>
        </is>
      </c>
      <c r="B2378" s="4" t="n">
        <v>46204</v>
      </c>
      <c r="C2378" s="5" t="n">
        <v>46204.81056712963</v>
      </c>
      <c r="D2378" t="inlineStr">
        <is>
          <t>BUY</t>
        </is>
      </c>
      <c r="E2378" t="inlineStr">
        <is>
          <t>Yes</t>
        </is>
      </c>
      <c r="F2378" s="2" t="n">
        <v>0.001</v>
      </c>
      <c r="G2378" s="6" t="n">
        <v>1850</v>
      </c>
      <c r="H2378" s="6">
        <f>F2378*G2378</f>
        <v/>
      </c>
      <c r="I2378">
        <f>_xlfn.XLOOKUP(A2378,MktTitle,MktCat,"n/a")</f>
        <v/>
      </c>
      <c r="J2378" s="3">
        <f>_xlfn.XLOOKUP(A2378,MktTitle,MktTotVol,0)</f>
        <v/>
      </c>
      <c r="K2378">
        <f>IF(H2378&gt;WhaleThreshold,"WHALE","")</f>
        <v/>
      </c>
    </row>
    <row r="2379">
      <c r="A2379" t="inlineStr">
        <is>
          <t>Will Cape Verde win the 2026 FIFA World Cup?</t>
        </is>
      </c>
      <c r="B2379" s="4" t="n">
        <v>46204</v>
      </c>
      <c r="C2379" s="5" t="n">
        <v>46204.80488425926</v>
      </c>
      <c r="D2379" t="inlineStr">
        <is>
          <t>BUY</t>
        </is>
      </c>
      <c r="E2379" t="inlineStr">
        <is>
          <t>Yes</t>
        </is>
      </c>
      <c r="F2379" s="2" t="n">
        <v>0.001</v>
      </c>
      <c r="G2379" s="6" t="n">
        <v>10000</v>
      </c>
      <c r="H2379" s="6">
        <f>F2379*G2379</f>
        <v/>
      </c>
      <c r="I2379">
        <f>_xlfn.XLOOKUP(A2379,MktTitle,MktCat,"n/a")</f>
        <v/>
      </c>
      <c r="J2379" s="3">
        <f>_xlfn.XLOOKUP(A2379,MktTitle,MktTotVol,0)</f>
        <v/>
      </c>
      <c r="K2379">
        <f>IF(H2379&gt;WhaleThreshold,"WHALE","")</f>
        <v/>
      </c>
    </row>
    <row r="2380">
      <c r="A2380" t="inlineStr">
        <is>
          <t>Will Cape Verde win the 2026 FIFA World Cup?</t>
        </is>
      </c>
      <c r="B2380" s="4" t="n">
        <v>46204</v>
      </c>
      <c r="C2380" s="5" t="n">
        <v>46204.79497685185</v>
      </c>
      <c r="D2380" t="inlineStr">
        <is>
          <t>BUY</t>
        </is>
      </c>
      <c r="E2380" t="inlineStr">
        <is>
          <t>Yes</t>
        </is>
      </c>
      <c r="F2380" s="2" t="n">
        <v>0.001</v>
      </c>
      <c r="G2380" s="6" t="n">
        <v>1000</v>
      </c>
      <c r="H2380" s="6">
        <f>F2380*G2380</f>
        <v/>
      </c>
      <c r="I2380">
        <f>_xlfn.XLOOKUP(A2380,MktTitle,MktCat,"n/a")</f>
        <v/>
      </c>
      <c r="J2380" s="3">
        <f>_xlfn.XLOOKUP(A2380,MktTitle,MktTotVol,0)</f>
        <v/>
      </c>
      <c r="K2380">
        <f>IF(H2380&gt;WhaleThreshold,"WHALE","")</f>
        <v/>
      </c>
    </row>
    <row r="2381">
      <c r="A2381" t="inlineStr">
        <is>
          <t>Will Cape Verde win the 2026 FIFA World Cup?</t>
        </is>
      </c>
      <c r="B2381" s="4" t="n">
        <v>46204</v>
      </c>
      <c r="C2381" s="5" t="n">
        <v>46204.79415509259</v>
      </c>
      <c r="D2381" t="inlineStr">
        <is>
          <t>BUY</t>
        </is>
      </c>
      <c r="E2381" t="inlineStr">
        <is>
          <t>Yes</t>
        </is>
      </c>
      <c r="F2381" s="2" t="n">
        <v>0.001</v>
      </c>
      <c r="G2381" s="6" t="n">
        <v>1000</v>
      </c>
      <c r="H2381" s="6">
        <f>F2381*G2381</f>
        <v/>
      </c>
      <c r="I2381">
        <f>_xlfn.XLOOKUP(A2381,MktTitle,MktCat,"n/a")</f>
        <v/>
      </c>
      <c r="J2381" s="3">
        <f>_xlfn.XLOOKUP(A2381,MktTitle,MktTotVol,0)</f>
        <v/>
      </c>
      <c r="K2381">
        <f>IF(H2381&gt;WhaleThreshold,"WHALE","")</f>
        <v/>
      </c>
    </row>
    <row r="2382">
      <c r="A2382" t="inlineStr">
        <is>
          <t>Will Cape Verde win the 2026 FIFA World Cup?</t>
        </is>
      </c>
      <c r="B2382" s="4" t="n">
        <v>46204</v>
      </c>
      <c r="C2382" s="5" t="n">
        <v>46204.78957175926</v>
      </c>
      <c r="D2382" t="inlineStr">
        <is>
          <t>BUY</t>
        </is>
      </c>
      <c r="E2382" t="inlineStr">
        <is>
          <t>Yes</t>
        </is>
      </c>
      <c r="F2382" s="2" t="n">
        <v>0.001</v>
      </c>
      <c r="G2382" s="6" t="n">
        <v>1000</v>
      </c>
      <c r="H2382" s="6">
        <f>F2382*G2382</f>
        <v/>
      </c>
      <c r="I2382">
        <f>_xlfn.XLOOKUP(A2382,MktTitle,MktCat,"n/a")</f>
        <v/>
      </c>
      <c r="J2382" s="3">
        <f>_xlfn.XLOOKUP(A2382,MktTitle,MktTotVol,0)</f>
        <v/>
      </c>
      <c r="K2382">
        <f>IF(H2382&gt;WhaleThreshold,"WHALE","")</f>
        <v/>
      </c>
    </row>
    <row r="2383">
      <c r="A2383" t="inlineStr">
        <is>
          <t>Will Cape Verde win the 2026 FIFA World Cup?</t>
        </is>
      </c>
      <c r="B2383" s="4" t="n">
        <v>46204</v>
      </c>
      <c r="C2383" s="5" t="n">
        <v>46204.77622685185</v>
      </c>
      <c r="D2383" t="inlineStr">
        <is>
          <t>BUY</t>
        </is>
      </c>
      <c r="E2383" t="inlineStr">
        <is>
          <t>Yes</t>
        </is>
      </c>
      <c r="F2383" s="2" t="n">
        <v>0.001</v>
      </c>
      <c r="G2383" s="6" t="n">
        <v>10000</v>
      </c>
      <c r="H2383" s="6">
        <f>F2383*G2383</f>
        <v/>
      </c>
      <c r="I2383">
        <f>_xlfn.XLOOKUP(A2383,MktTitle,MktCat,"n/a")</f>
        <v/>
      </c>
      <c r="J2383" s="3">
        <f>_xlfn.XLOOKUP(A2383,MktTitle,MktTotVol,0)</f>
        <v/>
      </c>
      <c r="K2383">
        <f>IF(H2383&gt;WhaleThreshold,"WHALE","")</f>
        <v/>
      </c>
    </row>
    <row r="2384">
      <c r="A2384" t="inlineStr">
        <is>
          <t>Will Cape Verde win the 2026 FIFA World Cup?</t>
        </is>
      </c>
      <c r="B2384" s="4" t="n">
        <v>46204</v>
      </c>
      <c r="C2384" s="5" t="n">
        <v>46204.77587962963</v>
      </c>
      <c r="D2384" t="inlineStr">
        <is>
          <t>BUY</t>
        </is>
      </c>
      <c r="E2384" t="inlineStr">
        <is>
          <t>Yes</t>
        </is>
      </c>
      <c r="F2384" s="2" t="n">
        <v>0.001</v>
      </c>
      <c r="G2384" s="6" t="n">
        <v>8000</v>
      </c>
      <c r="H2384" s="6">
        <f>F2384*G2384</f>
        <v/>
      </c>
      <c r="I2384">
        <f>_xlfn.XLOOKUP(A2384,MktTitle,MktCat,"n/a")</f>
        <v/>
      </c>
      <c r="J2384" s="3">
        <f>_xlfn.XLOOKUP(A2384,MktTitle,MktTotVol,0)</f>
        <v/>
      </c>
      <c r="K2384">
        <f>IF(H2384&gt;WhaleThreshold,"WHALE","")</f>
        <v/>
      </c>
    </row>
    <row r="2385">
      <c r="A2385" t="inlineStr">
        <is>
          <t>Will Cape Verde win the 2026 FIFA World Cup?</t>
        </is>
      </c>
      <c r="B2385" s="4" t="n">
        <v>46204</v>
      </c>
      <c r="C2385" s="5" t="n">
        <v>46204.7687037037</v>
      </c>
      <c r="D2385" t="inlineStr">
        <is>
          <t>BUY</t>
        </is>
      </c>
      <c r="E2385" t="inlineStr">
        <is>
          <t>Yes</t>
        </is>
      </c>
      <c r="F2385" s="2" t="n">
        <v>0.001</v>
      </c>
      <c r="G2385" s="6" t="n">
        <v>1000</v>
      </c>
      <c r="H2385" s="6">
        <f>F2385*G2385</f>
        <v/>
      </c>
      <c r="I2385">
        <f>_xlfn.XLOOKUP(A2385,MktTitle,MktCat,"n/a")</f>
        <v/>
      </c>
      <c r="J2385" s="3">
        <f>_xlfn.XLOOKUP(A2385,MktTitle,MktTotVol,0)</f>
        <v/>
      </c>
      <c r="K2385">
        <f>IF(H2385&gt;WhaleThreshold,"WHALE","")</f>
        <v/>
      </c>
    </row>
    <row r="2386">
      <c r="A2386" t="inlineStr">
        <is>
          <t>Will Cape Verde win the 2026 FIFA World Cup?</t>
        </is>
      </c>
      <c r="B2386" s="4" t="n">
        <v>46204</v>
      </c>
      <c r="C2386" s="5" t="n">
        <v>46204.76584490741</v>
      </c>
      <c r="D2386" t="inlineStr">
        <is>
          <t>BUY</t>
        </is>
      </c>
      <c r="E2386" t="inlineStr">
        <is>
          <t>Yes</t>
        </is>
      </c>
      <c r="F2386" s="2" t="n">
        <v>0.001</v>
      </c>
      <c r="G2386" s="6" t="n">
        <v>2200</v>
      </c>
      <c r="H2386" s="6">
        <f>F2386*G2386</f>
        <v/>
      </c>
      <c r="I2386">
        <f>_xlfn.XLOOKUP(A2386,MktTitle,MktCat,"n/a")</f>
        <v/>
      </c>
      <c r="J2386" s="3">
        <f>_xlfn.XLOOKUP(A2386,MktTitle,MktTotVol,0)</f>
        <v/>
      </c>
      <c r="K2386">
        <f>IF(H2386&gt;WhaleThreshold,"WHALE","")</f>
        <v/>
      </c>
    </row>
    <row r="2387">
      <c r="A2387" t="inlineStr">
        <is>
          <t>Will Cape Verde win the 2026 FIFA World Cup?</t>
        </is>
      </c>
      <c r="B2387" s="4" t="n">
        <v>46204</v>
      </c>
      <c r="C2387" s="5" t="n">
        <v>46204.76543981482</v>
      </c>
      <c r="D2387" t="inlineStr">
        <is>
          <t>BUY</t>
        </is>
      </c>
      <c r="E2387" t="inlineStr">
        <is>
          <t>Yes</t>
        </is>
      </c>
      <c r="F2387" s="2" t="n">
        <v>0.001</v>
      </c>
      <c r="G2387" s="6" t="n">
        <v>1000</v>
      </c>
      <c r="H2387" s="6">
        <f>F2387*G2387</f>
        <v/>
      </c>
      <c r="I2387">
        <f>_xlfn.XLOOKUP(A2387,MktTitle,MktCat,"n/a")</f>
        <v/>
      </c>
      <c r="J2387" s="3">
        <f>_xlfn.XLOOKUP(A2387,MktTitle,MktTotVol,0)</f>
        <v/>
      </c>
      <c r="K2387">
        <f>IF(H2387&gt;WhaleThreshold,"WHALE","")</f>
        <v/>
      </c>
    </row>
    <row r="2388">
      <c r="A2388" t="inlineStr">
        <is>
          <t>Will Cape Verde win the 2026 FIFA World Cup?</t>
        </is>
      </c>
      <c r="B2388" s="4" t="n">
        <v>46204</v>
      </c>
      <c r="C2388" s="5" t="n">
        <v>46204.76439814815</v>
      </c>
      <c r="D2388" t="inlineStr">
        <is>
          <t>BUY</t>
        </is>
      </c>
      <c r="E2388" t="inlineStr">
        <is>
          <t>Yes</t>
        </is>
      </c>
      <c r="F2388" s="2" t="n">
        <v>0.001</v>
      </c>
      <c r="G2388" s="6" t="n">
        <v>9520</v>
      </c>
      <c r="H2388" s="6">
        <f>F2388*G2388</f>
        <v/>
      </c>
      <c r="I2388">
        <f>_xlfn.XLOOKUP(A2388,MktTitle,MktCat,"n/a")</f>
        <v/>
      </c>
      <c r="J2388" s="3">
        <f>_xlfn.XLOOKUP(A2388,MktTitle,MktTotVol,0)</f>
        <v/>
      </c>
      <c r="K2388">
        <f>IF(H2388&gt;WhaleThreshold,"WHALE","")</f>
        <v/>
      </c>
    </row>
    <row r="2389">
      <c r="A2389" t="inlineStr">
        <is>
          <t>Will Cape Verde win the 2026 FIFA World Cup?</t>
        </is>
      </c>
      <c r="B2389" s="4" t="n">
        <v>46204</v>
      </c>
      <c r="C2389" s="5" t="n">
        <v>46204.76418981481</v>
      </c>
      <c r="D2389" t="inlineStr">
        <is>
          <t>BUY</t>
        </is>
      </c>
      <c r="E2389" t="inlineStr">
        <is>
          <t>Yes</t>
        </is>
      </c>
      <c r="F2389" s="2" t="n">
        <v>0.001</v>
      </c>
      <c r="G2389" s="6" t="n">
        <v>10000</v>
      </c>
      <c r="H2389" s="6">
        <f>F2389*G2389</f>
        <v/>
      </c>
      <c r="I2389">
        <f>_xlfn.XLOOKUP(A2389,MktTitle,MktCat,"n/a")</f>
        <v/>
      </c>
      <c r="J2389" s="3">
        <f>_xlfn.XLOOKUP(A2389,MktTitle,MktTotVol,0)</f>
        <v/>
      </c>
      <c r="K2389">
        <f>IF(H2389&gt;WhaleThreshold,"WHALE","")</f>
        <v/>
      </c>
    </row>
    <row r="2390">
      <c r="A2390" t="inlineStr">
        <is>
          <t>Will Cape Verde win the 2026 FIFA World Cup?</t>
        </is>
      </c>
      <c r="B2390" s="4" t="n">
        <v>46204</v>
      </c>
      <c r="C2390" s="5" t="n">
        <v>46204.76251157407</v>
      </c>
      <c r="D2390" t="inlineStr">
        <is>
          <t>BUY</t>
        </is>
      </c>
      <c r="E2390" t="inlineStr">
        <is>
          <t>Yes</t>
        </is>
      </c>
      <c r="F2390" s="2" t="n">
        <v>0.001</v>
      </c>
      <c r="G2390" s="6" t="n">
        <v>2000</v>
      </c>
      <c r="H2390" s="6">
        <f>F2390*G2390</f>
        <v/>
      </c>
      <c r="I2390">
        <f>_xlfn.XLOOKUP(A2390,MktTitle,MktCat,"n/a")</f>
        <v/>
      </c>
      <c r="J2390" s="3">
        <f>_xlfn.XLOOKUP(A2390,MktTitle,MktTotVol,0)</f>
        <v/>
      </c>
      <c r="K2390">
        <f>IF(H2390&gt;WhaleThreshold,"WHALE","")</f>
        <v/>
      </c>
    </row>
    <row r="2391">
      <c r="A2391" t="inlineStr">
        <is>
          <t>Will Cape Verde win the 2026 FIFA World Cup?</t>
        </is>
      </c>
      <c r="B2391" s="4" t="n">
        <v>46204</v>
      </c>
      <c r="C2391" s="5" t="n">
        <v>46204.75787037037</v>
      </c>
      <c r="D2391" t="inlineStr">
        <is>
          <t>BUY</t>
        </is>
      </c>
      <c r="E2391" t="inlineStr">
        <is>
          <t>Yes</t>
        </is>
      </c>
      <c r="F2391" s="2" t="n">
        <v>0.001</v>
      </c>
      <c r="G2391" s="6" t="n">
        <v>1000</v>
      </c>
      <c r="H2391" s="6">
        <f>F2391*G2391</f>
        <v/>
      </c>
      <c r="I2391">
        <f>_xlfn.XLOOKUP(A2391,MktTitle,MktCat,"n/a")</f>
        <v/>
      </c>
      <c r="J2391" s="3">
        <f>_xlfn.XLOOKUP(A2391,MktTitle,MktTotVol,0)</f>
        <v/>
      </c>
      <c r="K2391">
        <f>IF(H2391&gt;WhaleThreshold,"WHALE","")</f>
        <v/>
      </c>
    </row>
    <row r="2392">
      <c r="A2392" t="inlineStr">
        <is>
          <t>Will Cape Verde win the 2026 FIFA World Cup?</t>
        </is>
      </c>
      <c r="B2392" s="4" t="n">
        <v>46204</v>
      </c>
      <c r="C2392" s="5" t="n">
        <v>46204.74685185185</v>
      </c>
      <c r="D2392" t="inlineStr">
        <is>
          <t>BUY</t>
        </is>
      </c>
      <c r="E2392" t="inlineStr">
        <is>
          <t>Yes</t>
        </is>
      </c>
      <c r="F2392" s="2" t="n">
        <v>0.001</v>
      </c>
      <c r="G2392" s="6" t="n">
        <v>1600</v>
      </c>
      <c r="H2392" s="6">
        <f>F2392*G2392</f>
        <v/>
      </c>
      <c r="I2392">
        <f>_xlfn.XLOOKUP(A2392,MktTitle,MktCat,"n/a")</f>
        <v/>
      </c>
      <c r="J2392" s="3">
        <f>_xlfn.XLOOKUP(A2392,MktTitle,MktTotVol,0)</f>
        <v/>
      </c>
      <c r="K2392">
        <f>IF(H2392&gt;WhaleThreshold,"WHALE","")</f>
        <v/>
      </c>
    </row>
    <row r="2393">
      <c r="A2393" t="inlineStr">
        <is>
          <t>Will Cape Verde win the 2026 FIFA World Cup?</t>
        </is>
      </c>
      <c r="B2393" s="4" t="n">
        <v>46204</v>
      </c>
      <c r="C2393" s="5" t="n">
        <v>46204.74453703704</v>
      </c>
      <c r="D2393" t="inlineStr">
        <is>
          <t>BUY</t>
        </is>
      </c>
      <c r="E2393" t="inlineStr">
        <is>
          <t>Yes</t>
        </is>
      </c>
      <c r="F2393" s="2" t="n">
        <v>0.001</v>
      </c>
      <c r="G2393" s="6" t="n">
        <v>20000</v>
      </c>
      <c r="H2393" s="6">
        <f>F2393*G2393</f>
        <v/>
      </c>
      <c r="I2393">
        <f>_xlfn.XLOOKUP(A2393,MktTitle,MktCat,"n/a")</f>
        <v/>
      </c>
      <c r="J2393" s="3">
        <f>_xlfn.XLOOKUP(A2393,MktTitle,MktTotVol,0)</f>
        <v/>
      </c>
      <c r="K2393">
        <f>IF(H2393&gt;WhaleThreshold,"WHALE","")</f>
        <v/>
      </c>
    </row>
    <row r="2394">
      <c r="A2394" t="inlineStr">
        <is>
          <t>Will Cape Verde win the 2026 FIFA World Cup?</t>
        </is>
      </c>
      <c r="B2394" s="4" t="n">
        <v>46204</v>
      </c>
      <c r="C2394" s="5" t="n">
        <v>46204.73686342593</v>
      </c>
      <c r="D2394" t="inlineStr">
        <is>
          <t>BUY</t>
        </is>
      </c>
      <c r="E2394" t="inlineStr">
        <is>
          <t>Yes</t>
        </is>
      </c>
      <c r="F2394" s="2" t="n">
        <v>0.001</v>
      </c>
      <c r="G2394" s="6" t="n">
        <v>1000</v>
      </c>
      <c r="H2394" s="6">
        <f>F2394*G2394</f>
        <v/>
      </c>
      <c r="I2394">
        <f>_xlfn.XLOOKUP(A2394,MktTitle,MktCat,"n/a")</f>
        <v/>
      </c>
      <c r="J2394" s="3">
        <f>_xlfn.XLOOKUP(A2394,MktTitle,MktTotVol,0)</f>
        <v/>
      </c>
      <c r="K2394">
        <f>IF(H2394&gt;WhaleThreshold,"WHALE","")</f>
        <v/>
      </c>
    </row>
    <row r="2395">
      <c r="A2395" t="inlineStr">
        <is>
          <t>Will Cape Verde win the 2026 FIFA World Cup?</t>
        </is>
      </c>
      <c r="B2395" s="4" t="n">
        <v>46204</v>
      </c>
      <c r="C2395" s="5" t="n">
        <v>46204.73133101852</v>
      </c>
      <c r="D2395" t="inlineStr">
        <is>
          <t>BUY</t>
        </is>
      </c>
      <c r="E2395" t="inlineStr">
        <is>
          <t>Yes</t>
        </is>
      </c>
      <c r="F2395" s="2" t="n">
        <v>0.001</v>
      </c>
      <c r="G2395" s="6" t="n">
        <v>1940</v>
      </c>
      <c r="H2395" s="6">
        <f>F2395*G2395</f>
        <v/>
      </c>
      <c r="I2395">
        <f>_xlfn.XLOOKUP(A2395,MktTitle,MktCat,"n/a")</f>
        <v/>
      </c>
      <c r="J2395" s="3">
        <f>_xlfn.XLOOKUP(A2395,MktTitle,MktTotVol,0)</f>
        <v/>
      </c>
      <c r="K2395">
        <f>IF(H2395&gt;WhaleThreshold,"WHALE","")</f>
        <v/>
      </c>
    </row>
    <row r="2396">
      <c r="A2396" t="inlineStr">
        <is>
          <t>Will Cape Verde win the 2026 FIFA World Cup?</t>
        </is>
      </c>
      <c r="B2396" s="4" t="n">
        <v>46204</v>
      </c>
      <c r="C2396" s="5" t="n">
        <v>46204.7311574074</v>
      </c>
      <c r="D2396" t="inlineStr">
        <is>
          <t>BUY</t>
        </is>
      </c>
      <c r="E2396" t="inlineStr">
        <is>
          <t>Yes</t>
        </is>
      </c>
      <c r="F2396" s="2" t="n">
        <v>0.001</v>
      </c>
      <c r="G2396" s="6" t="n">
        <v>1000</v>
      </c>
      <c r="H2396" s="6">
        <f>F2396*G2396</f>
        <v/>
      </c>
      <c r="I2396">
        <f>_xlfn.XLOOKUP(A2396,MktTitle,MktCat,"n/a")</f>
        <v/>
      </c>
      <c r="J2396" s="3">
        <f>_xlfn.XLOOKUP(A2396,MktTitle,MktTotVol,0)</f>
        <v/>
      </c>
      <c r="K2396">
        <f>IF(H2396&gt;WhaleThreshold,"WHALE","")</f>
        <v/>
      </c>
    </row>
    <row r="2397">
      <c r="A2397" t="inlineStr">
        <is>
          <t>Will Cape Verde win the 2026 FIFA World Cup?</t>
        </is>
      </c>
      <c r="B2397" s="4" t="n">
        <v>46204</v>
      </c>
      <c r="C2397" s="5" t="n">
        <v>46204.7307175926</v>
      </c>
      <c r="D2397" t="inlineStr">
        <is>
          <t>BUY</t>
        </is>
      </c>
      <c r="E2397" t="inlineStr">
        <is>
          <t>Yes</t>
        </is>
      </c>
      <c r="F2397" s="2" t="n">
        <v>0.001</v>
      </c>
      <c r="G2397" s="6" t="n">
        <v>1000</v>
      </c>
      <c r="H2397" s="6">
        <f>F2397*G2397</f>
        <v/>
      </c>
      <c r="I2397">
        <f>_xlfn.XLOOKUP(A2397,MktTitle,MktCat,"n/a")</f>
        <v/>
      </c>
      <c r="J2397" s="3">
        <f>_xlfn.XLOOKUP(A2397,MktTitle,MktTotVol,0)</f>
        <v/>
      </c>
      <c r="K2397">
        <f>IF(H2397&gt;WhaleThreshold,"WHALE","")</f>
        <v/>
      </c>
    </row>
    <row r="2398">
      <c r="A2398" t="inlineStr">
        <is>
          <t>Will Cape Verde win the 2026 FIFA World Cup?</t>
        </is>
      </c>
      <c r="B2398" s="4" t="n">
        <v>46204</v>
      </c>
      <c r="C2398" s="5" t="n">
        <v>46204.73054398148</v>
      </c>
      <c r="D2398" t="inlineStr">
        <is>
          <t>BUY</t>
        </is>
      </c>
      <c r="E2398" t="inlineStr">
        <is>
          <t>Yes</t>
        </is>
      </c>
      <c r="F2398" s="2" t="n">
        <v>0.001</v>
      </c>
      <c r="G2398" s="6" t="n">
        <v>1000</v>
      </c>
      <c r="H2398" s="6">
        <f>F2398*G2398</f>
        <v/>
      </c>
      <c r="I2398">
        <f>_xlfn.XLOOKUP(A2398,MktTitle,MktCat,"n/a")</f>
        <v/>
      </c>
      <c r="J2398" s="3">
        <f>_xlfn.XLOOKUP(A2398,MktTitle,MktTotVol,0)</f>
        <v/>
      </c>
      <c r="K2398">
        <f>IF(H2398&gt;WhaleThreshold,"WHALE","")</f>
        <v/>
      </c>
    </row>
    <row r="2399">
      <c r="A2399" t="inlineStr">
        <is>
          <t>Will Cape Verde win the 2026 FIFA World Cup?</t>
        </is>
      </c>
      <c r="B2399" s="4" t="n">
        <v>46204</v>
      </c>
      <c r="C2399" s="5" t="n">
        <v>46204.73019675926</v>
      </c>
      <c r="D2399" t="inlineStr">
        <is>
          <t>BUY</t>
        </is>
      </c>
      <c r="E2399" t="inlineStr">
        <is>
          <t>Yes</t>
        </is>
      </c>
      <c r="F2399" s="2" t="n">
        <v>0.001</v>
      </c>
      <c r="G2399" s="6" t="n">
        <v>1940</v>
      </c>
      <c r="H2399" s="6">
        <f>F2399*G2399</f>
        <v/>
      </c>
      <c r="I2399">
        <f>_xlfn.XLOOKUP(A2399,MktTitle,MktCat,"n/a")</f>
        <v/>
      </c>
      <c r="J2399" s="3">
        <f>_xlfn.XLOOKUP(A2399,MktTitle,MktTotVol,0)</f>
        <v/>
      </c>
      <c r="K2399">
        <f>IF(H2399&gt;WhaleThreshold,"WHALE","")</f>
        <v/>
      </c>
    </row>
    <row r="2400">
      <c r="A2400" t="inlineStr">
        <is>
          <t>Will Cape Verde win the 2026 FIFA World Cup?</t>
        </is>
      </c>
      <c r="B2400" s="4" t="n">
        <v>46204</v>
      </c>
      <c r="C2400" s="5" t="n">
        <v>46204.7274537037</v>
      </c>
      <c r="D2400" t="inlineStr">
        <is>
          <t>BUY</t>
        </is>
      </c>
      <c r="E2400" t="inlineStr">
        <is>
          <t>Yes</t>
        </is>
      </c>
      <c r="F2400" s="2" t="n">
        <v>0.001</v>
      </c>
      <c r="G2400" s="6" t="n">
        <v>2910</v>
      </c>
      <c r="H2400" s="6">
        <f>F2400*G2400</f>
        <v/>
      </c>
      <c r="I2400">
        <f>_xlfn.XLOOKUP(A2400,MktTitle,MktCat,"n/a")</f>
        <v/>
      </c>
      <c r="J2400" s="3">
        <f>_xlfn.XLOOKUP(A2400,MktTitle,MktTotVol,0)</f>
        <v/>
      </c>
      <c r="K2400">
        <f>IF(H2400&gt;WhaleThreshold,"WHALE","")</f>
        <v/>
      </c>
    </row>
    <row r="2401">
      <c r="A2401" t="inlineStr">
        <is>
          <t>Will Cape Verde win the 2026 FIFA World Cup?</t>
        </is>
      </c>
      <c r="B2401" s="4" t="n">
        <v>46204</v>
      </c>
      <c r="C2401" s="5" t="n">
        <v>46204.72212962963</v>
      </c>
      <c r="D2401" t="inlineStr">
        <is>
          <t>BUY</t>
        </is>
      </c>
      <c r="E2401" t="inlineStr">
        <is>
          <t>Yes</t>
        </is>
      </c>
      <c r="F2401" s="2" t="n">
        <v>0.001</v>
      </c>
      <c r="G2401" s="6" t="n">
        <v>3000</v>
      </c>
      <c r="H2401" s="6">
        <f>F2401*G2401</f>
        <v/>
      </c>
      <c r="I2401">
        <f>_xlfn.XLOOKUP(A2401,MktTitle,MktCat,"n/a")</f>
        <v/>
      </c>
      <c r="J2401" s="3">
        <f>_xlfn.XLOOKUP(A2401,MktTitle,MktTotVol,0)</f>
        <v/>
      </c>
      <c r="K2401">
        <f>IF(H2401&gt;WhaleThreshold,"WHALE","")</f>
        <v/>
      </c>
    </row>
    <row r="2402">
      <c r="A2402" t="inlineStr">
        <is>
          <t>Will Canada win the 2026 FIFA World Cup?</t>
        </is>
      </c>
      <c r="B2402" s="4" t="n">
        <v>46206</v>
      </c>
      <c r="C2402" s="5" t="n">
        <v>46206.08716435185</v>
      </c>
      <c r="D2402" t="inlineStr">
        <is>
          <t>BUY</t>
        </is>
      </c>
      <c r="E2402" t="inlineStr">
        <is>
          <t>No</t>
        </is>
      </c>
      <c r="F2402" s="2" t="n">
        <v>0.998</v>
      </c>
      <c r="G2402" s="6" t="n">
        <v>10.04</v>
      </c>
      <c r="H2402" s="6">
        <f>F2402*G2402</f>
        <v/>
      </c>
      <c r="I2402">
        <f>_xlfn.XLOOKUP(A2402,MktTitle,MktCat,"n/a")</f>
        <v/>
      </c>
      <c r="J2402" s="3">
        <f>_xlfn.XLOOKUP(A2402,MktTitle,MktTotVol,0)</f>
        <v/>
      </c>
      <c r="K2402">
        <f>IF(H2402&gt;WhaleThreshold,"WHALE","")</f>
        <v/>
      </c>
    </row>
    <row r="2403">
      <c r="A2403" t="inlineStr">
        <is>
          <t>Will Canada win the 2026 FIFA World Cup?</t>
        </is>
      </c>
      <c r="B2403" s="4" t="n">
        <v>46206</v>
      </c>
      <c r="C2403" s="5" t="n">
        <v>46206.08693287037</v>
      </c>
      <c r="D2403" t="inlineStr">
        <is>
          <t>BUY</t>
        </is>
      </c>
      <c r="E2403" t="inlineStr">
        <is>
          <t>No</t>
        </is>
      </c>
      <c r="F2403" s="2" t="n">
        <v>0.998</v>
      </c>
      <c r="G2403" s="6" t="n">
        <v>16.4925</v>
      </c>
      <c r="H2403" s="6">
        <f>F2403*G2403</f>
        <v/>
      </c>
      <c r="I2403">
        <f>_xlfn.XLOOKUP(A2403,MktTitle,MktCat,"n/a")</f>
        <v/>
      </c>
      <c r="J2403" s="3">
        <f>_xlfn.XLOOKUP(A2403,MktTitle,MktTotVol,0)</f>
        <v/>
      </c>
      <c r="K2403">
        <f>IF(H2403&gt;WhaleThreshold,"WHALE","")</f>
        <v/>
      </c>
    </row>
    <row r="2404">
      <c r="A2404" t="inlineStr">
        <is>
          <t>Will Canada win the 2026 FIFA World Cup?</t>
        </is>
      </c>
      <c r="B2404" s="4" t="n">
        <v>46206</v>
      </c>
      <c r="C2404" s="5" t="n">
        <v>46206.08584490741</v>
      </c>
      <c r="D2404" t="inlineStr">
        <is>
          <t>BUY</t>
        </is>
      </c>
      <c r="E2404" t="inlineStr">
        <is>
          <t>No</t>
        </is>
      </c>
      <c r="F2404" s="2" t="n">
        <v>0.998</v>
      </c>
      <c r="G2404" s="6" t="n">
        <v>731.4625</v>
      </c>
      <c r="H2404" s="6">
        <f>F2404*G2404</f>
        <v/>
      </c>
      <c r="I2404">
        <f>_xlfn.XLOOKUP(A2404,MktTitle,MktCat,"n/a")</f>
        <v/>
      </c>
      <c r="J2404" s="3">
        <f>_xlfn.XLOOKUP(A2404,MktTitle,MktTotVol,0)</f>
        <v/>
      </c>
      <c r="K2404">
        <f>IF(H2404&gt;WhaleThreshold,"WHALE","")</f>
        <v/>
      </c>
    </row>
    <row r="2405">
      <c r="A2405" t="inlineStr">
        <is>
          <t>Will Canada win the 2026 FIFA World Cup?</t>
        </is>
      </c>
      <c r="B2405" s="4" t="n">
        <v>46206</v>
      </c>
      <c r="C2405" s="5" t="n">
        <v>46206.08581018518</v>
      </c>
      <c r="D2405" t="inlineStr">
        <is>
          <t>BUY</t>
        </is>
      </c>
      <c r="E2405" t="inlineStr">
        <is>
          <t>No</t>
        </is>
      </c>
      <c r="F2405" s="2" t="n">
        <v>0.998</v>
      </c>
      <c r="G2405" s="6" t="n">
        <v>10.8515</v>
      </c>
      <c r="H2405" s="6">
        <f>F2405*G2405</f>
        <v/>
      </c>
      <c r="I2405">
        <f>_xlfn.XLOOKUP(A2405,MktTitle,MktCat,"n/a")</f>
        <v/>
      </c>
      <c r="J2405" s="3">
        <f>_xlfn.XLOOKUP(A2405,MktTitle,MktTotVol,0)</f>
        <v/>
      </c>
      <c r="K2405">
        <f>IF(H2405&gt;WhaleThreshold,"WHALE","")</f>
        <v/>
      </c>
    </row>
    <row r="2406">
      <c r="A2406" t="inlineStr">
        <is>
          <t>Will Canada win the 2026 FIFA World Cup?</t>
        </is>
      </c>
      <c r="B2406" s="4" t="n">
        <v>46206</v>
      </c>
      <c r="C2406" s="5" t="n">
        <v>46206.08502314815</v>
      </c>
      <c r="D2406" t="inlineStr">
        <is>
          <t>BUY</t>
        </is>
      </c>
      <c r="E2406" t="inlineStr">
        <is>
          <t>No</t>
        </is>
      </c>
      <c r="F2406" s="2" t="n">
        <v>0.998</v>
      </c>
      <c r="G2406" s="6" t="n">
        <v>21.042</v>
      </c>
      <c r="H2406" s="6">
        <f>F2406*G2406</f>
        <v/>
      </c>
      <c r="I2406">
        <f>_xlfn.XLOOKUP(A2406,MktTitle,MktCat,"n/a")</f>
        <v/>
      </c>
      <c r="J2406" s="3">
        <f>_xlfn.XLOOKUP(A2406,MktTitle,MktTotVol,0)</f>
        <v/>
      </c>
      <c r="K2406">
        <f>IF(H2406&gt;WhaleThreshold,"WHALE","")</f>
        <v/>
      </c>
    </row>
    <row r="2407">
      <c r="A2407" t="inlineStr">
        <is>
          <t>Will Canada win the 2026 FIFA World Cup?</t>
        </is>
      </c>
      <c r="B2407" s="4" t="n">
        <v>46206</v>
      </c>
      <c r="C2407" s="5" t="n">
        <v>46206.08425925926</v>
      </c>
      <c r="D2407" t="inlineStr">
        <is>
          <t>SELL</t>
        </is>
      </c>
      <c r="E2407" t="inlineStr">
        <is>
          <t>No</t>
        </is>
      </c>
      <c r="F2407" s="2" t="n">
        <v>0.997</v>
      </c>
      <c r="G2407" s="6" t="n">
        <v>45.33</v>
      </c>
      <c r="H2407" s="6">
        <f>F2407*G2407</f>
        <v/>
      </c>
      <c r="I2407">
        <f>_xlfn.XLOOKUP(A2407,MktTitle,MktCat,"n/a")</f>
        <v/>
      </c>
      <c r="J2407" s="3">
        <f>_xlfn.XLOOKUP(A2407,MktTitle,MktTotVol,0)</f>
        <v/>
      </c>
      <c r="K2407">
        <f>IF(H2407&gt;WhaleThreshold,"WHALE","")</f>
        <v/>
      </c>
    </row>
    <row r="2408">
      <c r="A2408" t="inlineStr">
        <is>
          <t>Will Canada win the 2026 FIFA World Cup?</t>
        </is>
      </c>
      <c r="B2408" s="4" t="n">
        <v>46206</v>
      </c>
      <c r="C2408" s="5" t="n">
        <v>46206.08171296296</v>
      </c>
      <c r="D2408" t="inlineStr">
        <is>
          <t>BUY</t>
        </is>
      </c>
      <c r="E2408" t="inlineStr">
        <is>
          <t>No</t>
        </is>
      </c>
      <c r="F2408" s="2" t="n">
        <v>0.998</v>
      </c>
      <c r="G2408" s="6" t="n">
        <v>21.8535</v>
      </c>
      <c r="H2408" s="6">
        <f>F2408*G2408</f>
        <v/>
      </c>
      <c r="I2408">
        <f>_xlfn.XLOOKUP(A2408,MktTitle,MktCat,"n/a")</f>
        <v/>
      </c>
      <c r="J2408" s="3">
        <f>_xlfn.XLOOKUP(A2408,MktTitle,MktTotVol,0)</f>
        <v/>
      </c>
      <c r="K2408">
        <f>IF(H2408&gt;WhaleThreshold,"WHALE","")</f>
        <v/>
      </c>
    </row>
    <row r="2409">
      <c r="A2409" t="inlineStr">
        <is>
          <t>Will Canada win the 2026 FIFA World Cup?</t>
        </is>
      </c>
      <c r="B2409" s="4" t="n">
        <v>46206</v>
      </c>
      <c r="C2409" s="5" t="n">
        <v>46206.08081018519</v>
      </c>
      <c r="D2409" t="inlineStr">
        <is>
          <t>BUY</t>
        </is>
      </c>
      <c r="E2409" t="inlineStr">
        <is>
          <t>No</t>
        </is>
      </c>
      <c r="F2409" s="2" t="n">
        <v>0.998</v>
      </c>
      <c r="G2409" s="6" t="n">
        <v>282.7655</v>
      </c>
      <c r="H2409" s="6">
        <f>F2409*G2409</f>
        <v/>
      </c>
      <c r="I2409">
        <f>_xlfn.XLOOKUP(A2409,MktTitle,MktCat,"n/a")</f>
        <v/>
      </c>
      <c r="J2409" s="3">
        <f>_xlfn.XLOOKUP(A2409,MktTitle,MktTotVol,0)</f>
        <v/>
      </c>
      <c r="K2409">
        <f>IF(H2409&gt;WhaleThreshold,"WHALE","")</f>
        <v/>
      </c>
    </row>
    <row r="2410">
      <c r="A2410" t="inlineStr">
        <is>
          <t>Will Canada win the 2026 FIFA World Cup?</t>
        </is>
      </c>
      <c r="B2410" s="4" t="n">
        <v>46206</v>
      </c>
      <c r="C2410" s="5" t="n">
        <v>46206.08042824074</v>
      </c>
      <c r="D2410" t="inlineStr">
        <is>
          <t>BUY</t>
        </is>
      </c>
      <c r="E2410" t="inlineStr">
        <is>
          <t>No</t>
        </is>
      </c>
      <c r="F2410" s="2" t="n">
        <v>0.998</v>
      </c>
      <c r="G2410" s="6" t="n">
        <v>16.032</v>
      </c>
      <c r="H2410" s="6">
        <f>F2410*G2410</f>
        <v/>
      </c>
      <c r="I2410">
        <f>_xlfn.XLOOKUP(A2410,MktTitle,MktCat,"n/a")</f>
        <v/>
      </c>
      <c r="J2410" s="3">
        <f>_xlfn.XLOOKUP(A2410,MktTitle,MktTotVol,0)</f>
        <v/>
      </c>
      <c r="K2410">
        <f>IF(H2410&gt;WhaleThreshold,"WHALE","")</f>
        <v/>
      </c>
    </row>
    <row r="2411">
      <c r="A2411" t="inlineStr">
        <is>
          <t>Will Canada win the 2026 FIFA World Cup?</t>
        </is>
      </c>
      <c r="B2411" s="4" t="n">
        <v>46206</v>
      </c>
      <c r="C2411" s="5" t="n">
        <v>46206.08004629629</v>
      </c>
      <c r="D2411" t="inlineStr">
        <is>
          <t>BUY</t>
        </is>
      </c>
      <c r="E2411" t="inlineStr">
        <is>
          <t>No</t>
        </is>
      </c>
      <c r="F2411" s="2" t="n">
        <v>0.998</v>
      </c>
      <c r="G2411" s="6" t="n">
        <v>7.9855</v>
      </c>
      <c r="H2411" s="6">
        <f>F2411*G2411</f>
        <v/>
      </c>
      <c r="I2411">
        <f>_xlfn.XLOOKUP(A2411,MktTitle,MktCat,"n/a")</f>
        <v/>
      </c>
      <c r="J2411" s="3">
        <f>_xlfn.XLOOKUP(A2411,MktTitle,MktTotVol,0)</f>
        <v/>
      </c>
      <c r="K2411">
        <f>IF(H2411&gt;WhaleThreshold,"WHALE","")</f>
        <v/>
      </c>
    </row>
    <row r="2412">
      <c r="A2412" t="inlineStr">
        <is>
          <t>Will Canada win the 2026 FIFA World Cup?</t>
        </is>
      </c>
      <c r="B2412" s="4" t="n">
        <v>46206</v>
      </c>
      <c r="C2412" s="5" t="n">
        <v>46206.0796412037</v>
      </c>
      <c r="D2412" t="inlineStr">
        <is>
          <t>BUY</t>
        </is>
      </c>
      <c r="E2412" t="inlineStr">
        <is>
          <t>No</t>
        </is>
      </c>
      <c r="F2412" s="2" t="n">
        <v>0.998</v>
      </c>
      <c r="G2412" s="6" t="n">
        <v>27.054</v>
      </c>
      <c r="H2412" s="6">
        <f>F2412*G2412</f>
        <v/>
      </c>
      <c r="I2412">
        <f>_xlfn.XLOOKUP(A2412,MktTitle,MktCat,"n/a")</f>
        <v/>
      </c>
      <c r="J2412" s="3">
        <f>_xlfn.XLOOKUP(A2412,MktTitle,MktTotVol,0)</f>
        <v/>
      </c>
      <c r="K2412">
        <f>IF(H2412&gt;WhaleThreshold,"WHALE","")</f>
        <v/>
      </c>
    </row>
    <row r="2413">
      <c r="A2413" t="inlineStr">
        <is>
          <t>Will Canada win the 2026 FIFA World Cup?</t>
        </is>
      </c>
      <c r="B2413" s="4" t="n">
        <v>46206</v>
      </c>
      <c r="C2413" s="5" t="n">
        <v>46206.07943287037</v>
      </c>
      <c r="D2413" t="inlineStr">
        <is>
          <t>BUY</t>
        </is>
      </c>
      <c r="E2413" t="inlineStr">
        <is>
          <t>No</t>
        </is>
      </c>
      <c r="F2413" s="2" t="n">
        <v>0.998</v>
      </c>
      <c r="G2413" s="6" t="n">
        <v>15.9215</v>
      </c>
      <c r="H2413" s="6">
        <f>F2413*G2413</f>
        <v/>
      </c>
      <c r="I2413">
        <f>_xlfn.XLOOKUP(A2413,MktTitle,MktCat,"n/a")</f>
        <v/>
      </c>
      <c r="J2413" s="3">
        <f>_xlfn.XLOOKUP(A2413,MktTitle,MktTotVol,0)</f>
        <v/>
      </c>
      <c r="K2413">
        <f>IF(H2413&gt;WhaleThreshold,"WHALE","")</f>
        <v/>
      </c>
    </row>
    <row r="2414">
      <c r="A2414" t="inlineStr">
        <is>
          <t>Will Canada win the 2026 FIFA World Cup?</t>
        </is>
      </c>
      <c r="B2414" s="4" t="n">
        <v>46206</v>
      </c>
      <c r="C2414" s="5" t="n">
        <v>46206.07818287037</v>
      </c>
      <c r="D2414" t="inlineStr">
        <is>
          <t>SELL</t>
        </is>
      </c>
      <c r="E2414" t="inlineStr">
        <is>
          <t>No</t>
        </is>
      </c>
      <c r="F2414" s="2" t="n">
        <v>0.997</v>
      </c>
      <c r="G2414" s="6" t="n">
        <v>45.28</v>
      </c>
      <c r="H2414" s="6">
        <f>F2414*G2414</f>
        <v/>
      </c>
      <c r="I2414">
        <f>_xlfn.XLOOKUP(A2414,MktTitle,MktCat,"n/a")</f>
        <v/>
      </c>
      <c r="J2414" s="3">
        <f>_xlfn.XLOOKUP(A2414,MktTitle,MktTotVol,0)</f>
        <v/>
      </c>
      <c r="K2414">
        <f>IF(H2414&gt;WhaleThreshold,"WHALE","")</f>
        <v/>
      </c>
    </row>
    <row r="2415">
      <c r="A2415" t="inlineStr">
        <is>
          <t>Will Canada win the 2026 FIFA World Cup?</t>
        </is>
      </c>
      <c r="B2415" s="4" t="n">
        <v>46206</v>
      </c>
      <c r="C2415" s="5" t="n">
        <v>46206.07589120371</v>
      </c>
      <c r="D2415" t="inlineStr">
        <is>
          <t>BUY</t>
        </is>
      </c>
      <c r="E2415" t="inlineStr">
        <is>
          <t>No</t>
        </is>
      </c>
      <c r="F2415" s="2" t="n">
        <v>0.998</v>
      </c>
      <c r="G2415" s="6" t="n">
        <v>13.166</v>
      </c>
      <c r="H2415" s="6">
        <f>F2415*G2415</f>
        <v/>
      </c>
      <c r="I2415">
        <f>_xlfn.XLOOKUP(A2415,MktTitle,MktCat,"n/a")</f>
        <v/>
      </c>
      <c r="J2415" s="3">
        <f>_xlfn.XLOOKUP(A2415,MktTitle,MktTotVol,0)</f>
        <v/>
      </c>
      <c r="K2415">
        <f>IF(H2415&gt;WhaleThreshold,"WHALE","")</f>
        <v/>
      </c>
    </row>
    <row r="2416">
      <c r="A2416" t="inlineStr">
        <is>
          <t>Will Canada win the 2026 FIFA World Cup?</t>
        </is>
      </c>
      <c r="B2416" s="4" t="n">
        <v>46206</v>
      </c>
      <c r="C2416" s="5" t="n">
        <v>46206.07564814815</v>
      </c>
      <c r="D2416" t="inlineStr">
        <is>
          <t>SELL</t>
        </is>
      </c>
      <c r="E2416" t="inlineStr">
        <is>
          <t>No</t>
        </is>
      </c>
      <c r="F2416" s="2" t="n">
        <v>0.997</v>
      </c>
      <c r="G2416" s="6" t="n">
        <v>33.07</v>
      </c>
      <c r="H2416" s="6">
        <f>F2416*G2416</f>
        <v/>
      </c>
      <c r="I2416">
        <f>_xlfn.XLOOKUP(A2416,MktTitle,MktCat,"n/a")</f>
        <v/>
      </c>
      <c r="J2416" s="3">
        <f>_xlfn.XLOOKUP(A2416,MktTitle,MktTotVol,0)</f>
        <v/>
      </c>
      <c r="K2416">
        <f>IF(H2416&gt;WhaleThreshold,"WHALE","")</f>
        <v/>
      </c>
    </row>
    <row r="2417">
      <c r="A2417" t="inlineStr">
        <is>
          <t>Will Canada win the 2026 FIFA World Cup?</t>
        </is>
      </c>
      <c r="B2417" s="4" t="n">
        <v>46206</v>
      </c>
      <c r="C2417" s="5" t="n">
        <v>46206.07484953704</v>
      </c>
      <c r="D2417" t="inlineStr">
        <is>
          <t>BUY</t>
        </is>
      </c>
      <c r="E2417" t="inlineStr">
        <is>
          <t>No</t>
        </is>
      </c>
      <c r="F2417" s="2" t="n">
        <v>0.998</v>
      </c>
      <c r="G2417" s="6" t="n">
        <v>9.208</v>
      </c>
      <c r="H2417" s="6">
        <f>F2417*G2417</f>
        <v/>
      </c>
      <c r="I2417">
        <f>_xlfn.XLOOKUP(A2417,MktTitle,MktCat,"n/a")</f>
        <v/>
      </c>
      <c r="J2417" s="3">
        <f>_xlfn.XLOOKUP(A2417,MktTitle,MktTotVol,0)</f>
        <v/>
      </c>
      <c r="K2417">
        <f>IF(H2417&gt;WhaleThreshold,"WHALE","")</f>
        <v/>
      </c>
    </row>
    <row r="2418">
      <c r="A2418" t="inlineStr">
        <is>
          <t>Will Canada win the 2026 FIFA World Cup?</t>
        </is>
      </c>
      <c r="B2418" s="4" t="n">
        <v>46206</v>
      </c>
      <c r="C2418" s="5" t="n">
        <v>46206.07407407407</v>
      </c>
      <c r="D2418" t="inlineStr">
        <is>
          <t>BUY</t>
        </is>
      </c>
      <c r="E2418" t="inlineStr">
        <is>
          <t>No</t>
        </is>
      </c>
      <c r="F2418" s="2" t="n">
        <v>0.998</v>
      </c>
      <c r="G2418" s="6" t="n">
        <v>16.4125</v>
      </c>
      <c r="H2418" s="6">
        <f>F2418*G2418</f>
        <v/>
      </c>
      <c r="I2418">
        <f>_xlfn.XLOOKUP(A2418,MktTitle,MktCat,"n/a")</f>
        <v/>
      </c>
      <c r="J2418" s="3">
        <f>_xlfn.XLOOKUP(A2418,MktTitle,MktTotVol,0)</f>
        <v/>
      </c>
      <c r="K2418">
        <f>IF(H2418&gt;WhaleThreshold,"WHALE","")</f>
        <v/>
      </c>
    </row>
    <row r="2419">
      <c r="A2419" t="inlineStr">
        <is>
          <t>Will Canada win the 2026 FIFA World Cup?</t>
        </is>
      </c>
      <c r="B2419" s="4" t="n">
        <v>46206</v>
      </c>
      <c r="C2419" s="5" t="n">
        <v>46206.07310185185</v>
      </c>
      <c r="D2419" t="inlineStr">
        <is>
          <t>SELL</t>
        </is>
      </c>
      <c r="E2419" t="inlineStr">
        <is>
          <t>No</t>
        </is>
      </c>
      <c r="F2419" s="2" t="n">
        <v>0.997</v>
      </c>
      <c r="G2419" s="6" t="n">
        <v>0.45</v>
      </c>
      <c r="H2419" s="6">
        <f>F2419*G2419</f>
        <v/>
      </c>
      <c r="I2419">
        <f>_xlfn.XLOOKUP(A2419,MktTitle,MktCat,"n/a")</f>
        <v/>
      </c>
      <c r="J2419" s="3">
        <f>_xlfn.XLOOKUP(A2419,MktTitle,MktTotVol,0)</f>
        <v/>
      </c>
      <c r="K2419">
        <f>IF(H2419&gt;WhaleThreshold,"WHALE","")</f>
        <v/>
      </c>
    </row>
    <row r="2420">
      <c r="A2420" t="inlineStr">
        <is>
          <t>Will Canada win the 2026 FIFA World Cup?</t>
        </is>
      </c>
      <c r="B2420" s="4" t="n">
        <v>46206</v>
      </c>
      <c r="C2420" s="5" t="n">
        <v>46206.07287037037</v>
      </c>
      <c r="D2420" t="inlineStr">
        <is>
          <t>BUY</t>
        </is>
      </c>
      <c r="E2420" t="inlineStr">
        <is>
          <t>No</t>
        </is>
      </c>
      <c r="F2420" s="2" t="n">
        <v>0.998</v>
      </c>
      <c r="G2420" s="6" t="n">
        <v>19.3085</v>
      </c>
      <c r="H2420" s="6">
        <f>F2420*G2420</f>
        <v/>
      </c>
      <c r="I2420">
        <f>_xlfn.XLOOKUP(A2420,MktTitle,MktCat,"n/a")</f>
        <v/>
      </c>
      <c r="J2420" s="3">
        <f>_xlfn.XLOOKUP(A2420,MktTitle,MktTotVol,0)</f>
        <v/>
      </c>
      <c r="K2420">
        <f>IF(H2420&gt;WhaleThreshold,"WHALE","")</f>
        <v/>
      </c>
    </row>
    <row r="2421">
      <c r="A2421" t="inlineStr">
        <is>
          <t>Will Canada win the 2026 FIFA World Cup?</t>
        </is>
      </c>
      <c r="B2421" s="4" t="n">
        <v>46206</v>
      </c>
      <c r="C2421" s="5" t="n">
        <v>46206.07240740741</v>
      </c>
      <c r="D2421" t="inlineStr">
        <is>
          <t>BUY</t>
        </is>
      </c>
      <c r="E2421" t="inlineStr">
        <is>
          <t>Yes</t>
        </is>
      </c>
      <c r="F2421" s="2" t="n">
        <v>0.003</v>
      </c>
      <c r="G2421" s="6" t="n">
        <v>1000</v>
      </c>
      <c r="H2421" s="6">
        <f>F2421*G2421</f>
        <v/>
      </c>
      <c r="I2421">
        <f>_xlfn.XLOOKUP(A2421,MktTitle,MktCat,"n/a")</f>
        <v/>
      </c>
      <c r="J2421" s="3">
        <f>_xlfn.XLOOKUP(A2421,MktTitle,MktTotVol,0)</f>
        <v/>
      </c>
      <c r="K2421">
        <f>IF(H2421&gt;WhaleThreshold,"WHALE","")</f>
        <v/>
      </c>
    </row>
    <row r="2422">
      <c r="A2422" t="inlineStr">
        <is>
          <t>Will Canada win the 2026 FIFA World Cup?</t>
        </is>
      </c>
      <c r="B2422" s="4" t="n">
        <v>46206</v>
      </c>
      <c r="C2422" s="5" t="n">
        <v>46206.07123842592</v>
      </c>
      <c r="D2422" t="inlineStr">
        <is>
          <t>BUY</t>
        </is>
      </c>
      <c r="E2422" t="inlineStr">
        <is>
          <t>No</t>
        </is>
      </c>
      <c r="F2422" s="2" t="n">
        <v>0.998</v>
      </c>
      <c r="G2422" s="6" t="n">
        <v>10.22</v>
      </c>
      <c r="H2422" s="6">
        <f>F2422*G2422</f>
        <v/>
      </c>
      <c r="I2422">
        <f>_xlfn.XLOOKUP(A2422,MktTitle,MktCat,"n/a")</f>
        <v/>
      </c>
      <c r="J2422" s="3">
        <f>_xlfn.XLOOKUP(A2422,MktTitle,MktTotVol,0)</f>
        <v/>
      </c>
      <c r="K2422">
        <f>IF(H2422&gt;WhaleThreshold,"WHALE","")</f>
        <v/>
      </c>
    </row>
    <row r="2423">
      <c r="A2423" t="inlineStr">
        <is>
          <t>Will Canada win the 2026 FIFA World Cup?</t>
        </is>
      </c>
      <c r="B2423" s="4" t="n">
        <v>46206</v>
      </c>
      <c r="C2423" s="5" t="n">
        <v>46206.07032407408</v>
      </c>
      <c r="D2423" t="inlineStr">
        <is>
          <t>BUY</t>
        </is>
      </c>
      <c r="E2423" t="inlineStr">
        <is>
          <t>No</t>
        </is>
      </c>
      <c r="F2423" s="2" t="n">
        <v>0.998</v>
      </c>
      <c r="G2423" s="6" t="n">
        <v>8.036</v>
      </c>
      <c r="H2423" s="6">
        <f>F2423*G2423</f>
        <v/>
      </c>
      <c r="I2423">
        <f>_xlfn.XLOOKUP(A2423,MktTitle,MktCat,"n/a")</f>
        <v/>
      </c>
      <c r="J2423" s="3">
        <f>_xlfn.XLOOKUP(A2423,MktTitle,MktTotVol,0)</f>
        <v/>
      </c>
      <c r="K2423">
        <f>IF(H2423&gt;WhaleThreshold,"WHALE","")</f>
        <v/>
      </c>
    </row>
    <row r="2424">
      <c r="A2424" t="inlineStr">
        <is>
          <t>Will Canada win the 2026 FIFA World Cup?</t>
        </is>
      </c>
      <c r="B2424" s="4" t="n">
        <v>46206</v>
      </c>
      <c r="C2424" s="5" t="n">
        <v>46206.0697337963</v>
      </c>
      <c r="D2424" t="inlineStr">
        <is>
          <t>BUY</t>
        </is>
      </c>
      <c r="E2424" t="inlineStr">
        <is>
          <t>Yes</t>
        </is>
      </c>
      <c r="F2424" s="2" t="n">
        <v>0.003</v>
      </c>
      <c r="G2424" s="6" t="n">
        <v>1000</v>
      </c>
      <c r="H2424" s="6">
        <f>F2424*G2424</f>
        <v/>
      </c>
      <c r="I2424">
        <f>_xlfn.XLOOKUP(A2424,MktTitle,MktCat,"n/a")</f>
        <v/>
      </c>
      <c r="J2424" s="3">
        <f>_xlfn.XLOOKUP(A2424,MktTitle,MktTotVol,0)</f>
        <v/>
      </c>
      <c r="K2424">
        <f>IF(H2424&gt;WhaleThreshold,"WHALE","")</f>
        <v/>
      </c>
    </row>
    <row r="2425">
      <c r="A2425" t="inlineStr">
        <is>
          <t>Will Canada win the 2026 FIFA World Cup?</t>
        </is>
      </c>
      <c r="B2425" s="4" t="n">
        <v>46206</v>
      </c>
      <c r="C2425" s="5" t="n">
        <v>46206.06925925926</v>
      </c>
      <c r="D2425" t="inlineStr">
        <is>
          <t>BUY</t>
        </is>
      </c>
      <c r="E2425" t="inlineStr">
        <is>
          <t>No</t>
        </is>
      </c>
      <c r="F2425" s="2" t="n">
        <v>0.998</v>
      </c>
      <c r="G2425" s="6" t="n">
        <v>8.827500000000001</v>
      </c>
      <c r="H2425" s="6">
        <f>F2425*G2425</f>
        <v/>
      </c>
      <c r="I2425">
        <f>_xlfn.XLOOKUP(A2425,MktTitle,MktCat,"n/a")</f>
        <v/>
      </c>
      <c r="J2425" s="3">
        <f>_xlfn.XLOOKUP(A2425,MktTitle,MktTotVol,0)</f>
        <v/>
      </c>
      <c r="K2425">
        <f>IF(H2425&gt;WhaleThreshold,"WHALE","")</f>
        <v/>
      </c>
    </row>
    <row r="2426">
      <c r="A2426" t="inlineStr">
        <is>
          <t>Will Canada win the 2026 FIFA World Cup?</t>
        </is>
      </c>
      <c r="B2426" s="4" t="n">
        <v>46206</v>
      </c>
      <c r="C2426" s="5" t="n">
        <v>46206.06894675926</v>
      </c>
      <c r="D2426" t="inlineStr">
        <is>
          <t>BUY</t>
        </is>
      </c>
      <c r="E2426" t="inlineStr">
        <is>
          <t>No</t>
        </is>
      </c>
      <c r="F2426" s="2" t="n">
        <v>0.998</v>
      </c>
      <c r="G2426" s="6" t="n">
        <v>19.108</v>
      </c>
      <c r="H2426" s="6">
        <f>F2426*G2426</f>
        <v/>
      </c>
      <c r="I2426">
        <f>_xlfn.XLOOKUP(A2426,MktTitle,MktCat,"n/a")</f>
        <v/>
      </c>
      <c r="J2426" s="3">
        <f>_xlfn.XLOOKUP(A2426,MktTitle,MktTotVol,0)</f>
        <v/>
      </c>
      <c r="K2426">
        <f>IF(H2426&gt;WhaleThreshold,"WHALE","")</f>
        <v/>
      </c>
    </row>
    <row r="2427">
      <c r="A2427" t="inlineStr">
        <is>
          <t>Will Canada win the 2026 FIFA World Cup?</t>
        </is>
      </c>
      <c r="B2427" s="4" t="n">
        <v>46206</v>
      </c>
      <c r="C2427" s="5" t="n">
        <v>46206.06721064815</v>
      </c>
      <c r="D2427" t="inlineStr">
        <is>
          <t>SELL</t>
        </is>
      </c>
      <c r="E2427" t="inlineStr">
        <is>
          <t>No</t>
        </is>
      </c>
      <c r="F2427" s="2" t="n">
        <v>0.997</v>
      </c>
      <c r="G2427" s="6" t="n">
        <v>33.06</v>
      </c>
      <c r="H2427" s="6">
        <f>F2427*G2427</f>
        <v/>
      </c>
      <c r="I2427">
        <f>_xlfn.XLOOKUP(A2427,MktTitle,MktCat,"n/a")</f>
        <v/>
      </c>
      <c r="J2427" s="3">
        <f>_xlfn.XLOOKUP(A2427,MktTitle,MktTotVol,0)</f>
        <v/>
      </c>
      <c r="K2427">
        <f>IF(H2427&gt;WhaleThreshold,"WHALE","")</f>
        <v/>
      </c>
    </row>
    <row r="2428">
      <c r="A2428" t="inlineStr">
        <is>
          <t>Will Canada win the 2026 FIFA World Cup?</t>
        </is>
      </c>
      <c r="B2428" s="4" t="n">
        <v>46206</v>
      </c>
      <c r="C2428" s="5" t="n">
        <v>46206.06699074074</v>
      </c>
      <c r="D2428" t="inlineStr">
        <is>
          <t>BUY</t>
        </is>
      </c>
      <c r="E2428" t="inlineStr">
        <is>
          <t>No</t>
        </is>
      </c>
      <c r="F2428" s="2" t="n">
        <v>0.998</v>
      </c>
      <c r="G2428" s="6" t="n">
        <v>12.605</v>
      </c>
      <c r="H2428" s="6">
        <f>F2428*G2428</f>
        <v/>
      </c>
      <c r="I2428">
        <f>_xlfn.XLOOKUP(A2428,MktTitle,MktCat,"n/a")</f>
        <v/>
      </c>
      <c r="J2428" s="3">
        <f>_xlfn.XLOOKUP(A2428,MktTitle,MktTotVol,0)</f>
        <v/>
      </c>
      <c r="K2428">
        <f>IF(H2428&gt;WhaleThreshold,"WHALE","")</f>
        <v/>
      </c>
    </row>
    <row r="2429">
      <c r="A2429" t="inlineStr">
        <is>
          <t>Will Canada win the 2026 FIFA World Cup?</t>
        </is>
      </c>
      <c r="B2429" s="4" t="n">
        <v>46206</v>
      </c>
      <c r="C2429" s="5" t="n">
        <v>46206.06606481481</v>
      </c>
      <c r="D2429" t="inlineStr">
        <is>
          <t>BUY</t>
        </is>
      </c>
      <c r="E2429" t="inlineStr">
        <is>
          <t>No</t>
        </is>
      </c>
      <c r="F2429" s="2" t="n">
        <v>0.998</v>
      </c>
      <c r="G2429" s="6" t="n">
        <v>6.643</v>
      </c>
      <c r="H2429" s="6">
        <f>F2429*G2429</f>
        <v/>
      </c>
      <c r="I2429">
        <f>_xlfn.XLOOKUP(A2429,MktTitle,MktCat,"n/a")</f>
        <v/>
      </c>
      <c r="J2429" s="3">
        <f>_xlfn.XLOOKUP(A2429,MktTitle,MktTotVol,0)</f>
        <v/>
      </c>
      <c r="K2429">
        <f>IF(H2429&gt;WhaleThreshold,"WHALE","")</f>
        <v/>
      </c>
    </row>
    <row r="2430">
      <c r="A2430" t="inlineStr">
        <is>
          <t>Will Canada win the 2026 FIFA World Cup?</t>
        </is>
      </c>
      <c r="B2430" s="4" t="n">
        <v>46206</v>
      </c>
      <c r="C2430" s="5" t="n">
        <v>46206.06543981482</v>
      </c>
      <c r="D2430" t="inlineStr">
        <is>
          <t>SELL</t>
        </is>
      </c>
      <c r="E2430" t="inlineStr">
        <is>
          <t>No</t>
        </is>
      </c>
      <c r="F2430" s="2" t="n">
        <v>0.997</v>
      </c>
      <c r="G2430" s="6" t="n">
        <v>1.65</v>
      </c>
      <c r="H2430" s="6">
        <f>F2430*G2430</f>
        <v/>
      </c>
      <c r="I2430">
        <f>_xlfn.XLOOKUP(A2430,MktTitle,MktCat,"n/a")</f>
        <v/>
      </c>
      <c r="J2430" s="3">
        <f>_xlfn.XLOOKUP(A2430,MktTitle,MktTotVol,0)</f>
        <v/>
      </c>
      <c r="K2430">
        <f>IF(H2430&gt;WhaleThreshold,"WHALE","")</f>
        <v/>
      </c>
    </row>
    <row r="2431">
      <c r="A2431" t="inlineStr">
        <is>
          <t>Will Canada win the 2026 FIFA World Cup?</t>
        </is>
      </c>
      <c r="B2431" s="4" t="n">
        <v>46206</v>
      </c>
      <c r="C2431" s="5" t="n">
        <v>46206.06421296296</v>
      </c>
      <c r="D2431" t="inlineStr">
        <is>
          <t>BUY</t>
        </is>
      </c>
      <c r="E2431" t="inlineStr">
        <is>
          <t>No</t>
        </is>
      </c>
      <c r="F2431" s="2" t="n">
        <v>0.998</v>
      </c>
      <c r="G2431" s="6" t="n">
        <v>16.2525</v>
      </c>
      <c r="H2431" s="6">
        <f>F2431*G2431</f>
        <v/>
      </c>
      <c r="I2431">
        <f>_xlfn.XLOOKUP(A2431,MktTitle,MktCat,"n/a")</f>
        <v/>
      </c>
      <c r="J2431" s="3">
        <f>_xlfn.XLOOKUP(A2431,MktTitle,MktTotVol,0)</f>
        <v/>
      </c>
      <c r="K2431">
        <f>IF(H2431&gt;WhaleThreshold,"WHALE","")</f>
        <v/>
      </c>
    </row>
    <row r="2432">
      <c r="A2432" t="inlineStr">
        <is>
          <t>Will Canada win the 2026 FIFA World Cup?</t>
        </is>
      </c>
      <c r="B2432" s="4" t="n">
        <v>46206</v>
      </c>
      <c r="C2432" s="5" t="n">
        <v>46206.06285879629</v>
      </c>
      <c r="D2432" t="inlineStr">
        <is>
          <t>BUY</t>
        </is>
      </c>
      <c r="E2432" t="inlineStr">
        <is>
          <t>Yes</t>
        </is>
      </c>
      <c r="F2432" s="2" t="n">
        <v>0.003</v>
      </c>
      <c r="G2432" s="6" t="n">
        <v>19636.6667</v>
      </c>
      <c r="H2432" s="6">
        <f>F2432*G2432</f>
        <v/>
      </c>
      <c r="I2432">
        <f>_xlfn.XLOOKUP(A2432,MktTitle,MktCat,"n/a")</f>
        <v/>
      </c>
      <c r="J2432" s="3">
        <f>_xlfn.XLOOKUP(A2432,MktTitle,MktTotVol,0)</f>
        <v/>
      </c>
      <c r="K2432">
        <f>IF(H2432&gt;WhaleThreshold,"WHALE","")</f>
        <v/>
      </c>
    </row>
    <row r="2433">
      <c r="A2433" t="inlineStr">
        <is>
          <t>Will Canada win the 2026 FIFA World Cup?</t>
        </is>
      </c>
      <c r="B2433" s="4" t="n">
        <v>46206</v>
      </c>
      <c r="C2433" s="5" t="n">
        <v>46206.06214120371</v>
      </c>
      <c r="D2433" t="inlineStr">
        <is>
          <t>BUY</t>
        </is>
      </c>
      <c r="E2433" t="inlineStr">
        <is>
          <t>No</t>
        </is>
      </c>
      <c r="F2433" s="2" t="n">
        <v>0.998</v>
      </c>
      <c r="G2433" s="6" t="n">
        <v>12.214</v>
      </c>
      <c r="H2433" s="6">
        <f>F2433*G2433</f>
        <v/>
      </c>
      <c r="I2433">
        <f>_xlfn.XLOOKUP(A2433,MktTitle,MktCat,"n/a")</f>
        <v/>
      </c>
      <c r="J2433" s="3">
        <f>_xlfn.XLOOKUP(A2433,MktTitle,MktTotVol,0)</f>
        <v/>
      </c>
      <c r="K2433">
        <f>IF(H2433&gt;WhaleThreshold,"WHALE","")</f>
        <v/>
      </c>
    </row>
    <row r="2434">
      <c r="A2434" t="inlineStr">
        <is>
          <t>Will Canada win the 2026 FIFA World Cup?</t>
        </is>
      </c>
      <c r="B2434" s="4" t="n">
        <v>46206</v>
      </c>
      <c r="C2434" s="5" t="n">
        <v>46206.06202546296</v>
      </c>
      <c r="D2434" t="inlineStr">
        <is>
          <t>BUY</t>
        </is>
      </c>
      <c r="E2434" t="inlineStr">
        <is>
          <t>No</t>
        </is>
      </c>
      <c r="F2434" s="2" t="n">
        <v>0.998</v>
      </c>
      <c r="G2434" s="6" t="n">
        <v>7.745</v>
      </c>
      <c r="H2434" s="6">
        <f>F2434*G2434</f>
        <v/>
      </c>
      <c r="I2434">
        <f>_xlfn.XLOOKUP(A2434,MktTitle,MktCat,"n/a")</f>
        <v/>
      </c>
      <c r="J2434" s="3">
        <f>_xlfn.XLOOKUP(A2434,MktTitle,MktTotVol,0)</f>
        <v/>
      </c>
      <c r="K2434">
        <f>IF(H2434&gt;WhaleThreshold,"WHALE","")</f>
        <v/>
      </c>
    </row>
    <row r="2435">
      <c r="A2435" t="inlineStr">
        <is>
          <t>Will Canada win the 2026 FIFA World Cup?</t>
        </is>
      </c>
      <c r="B2435" s="4" t="n">
        <v>46206</v>
      </c>
      <c r="C2435" s="5" t="n">
        <v>46206.06096064814</v>
      </c>
      <c r="D2435" t="inlineStr">
        <is>
          <t>SELL</t>
        </is>
      </c>
      <c r="E2435" t="inlineStr">
        <is>
          <t>No</t>
        </is>
      </c>
      <c r="F2435" s="2" t="n">
        <v>0.997</v>
      </c>
      <c r="G2435" s="6" t="n">
        <v>0.1</v>
      </c>
      <c r="H2435" s="6">
        <f>F2435*G2435</f>
        <v/>
      </c>
      <c r="I2435">
        <f>_xlfn.XLOOKUP(A2435,MktTitle,MktCat,"n/a")</f>
        <v/>
      </c>
      <c r="J2435" s="3">
        <f>_xlfn.XLOOKUP(A2435,MktTitle,MktTotVol,0)</f>
        <v/>
      </c>
      <c r="K2435">
        <f>IF(H2435&gt;WhaleThreshold,"WHALE","")</f>
        <v/>
      </c>
    </row>
    <row r="2436">
      <c r="A2436" t="inlineStr">
        <is>
          <t>Will Canada win the 2026 FIFA World Cup?</t>
        </is>
      </c>
      <c r="B2436" s="4" t="n">
        <v>46206</v>
      </c>
      <c r="C2436" s="5" t="n">
        <v>46206.05855324074</v>
      </c>
      <c r="D2436" t="inlineStr">
        <is>
          <t>BUY</t>
        </is>
      </c>
      <c r="E2436" t="inlineStr">
        <is>
          <t>No</t>
        </is>
      </c>
      <c r="F2436" s="2" t="n">
        <v>0.998</v>
      </c>
      <c r="G2436" s="6" t="n">
        <v>19.088</v>
      </c>
      <c r="H2436" s="6">
        <f>F2436*G2436</f>
        <v/>
      </c>
      <c r="I2436">
        <f>_xlfn.XLOOKUP(A2436,MktTitle,MktCat,"n/a")</f>
        <v/>
      </c>
      <c r="J2436" s="3">
        <f>_xlfn.XLOOKUP(A2436,MktTitle,MktTotVol,0)</f>
        <v/>
      </c>
      <c r="K2436">
        <f>IF(H2436&gt;WhaleThreshold,"WHALE","")</f>
        <v/>
      </c>
    </row>
    <row r="2437">
      <c r="A2437" t="inlineStr">
        <is>
          <t>Will Canada win the 2026 FIFA World Cup?</t>
        </is>
      </c>
      <c r="B2437" s="4" t="n">
        <v>46206</v>
      </c>
      <c r="C2437" s="5" t="n">
        <v>46206.0585300926</v>
      </c>
      <c r="D2437" t="inlineStr">
        <is>
          <t>SELL</t>
        </is>
      </c>
      <c r="E2437" t="inlineStr">
        <is>
          <t>No</t>
        </is>
      </c>
      <c r="F2437" s="2" t="n">
        <v>0.997</v>
      </c>
      <c r="G2437" s="6" t="n">
        <v>37.05</v>
      </c>
      <c r="H2437" s="6">
        <f>F2437*G2437</f>
        <v/>
      </c>
      <c r="I2437">
        <f>_xlfn.XLOOKUP(A2437,MktTitle,MktCat,"n/a")</f>
        <v/>
      </c>
      <c r="J2437" s="3">
        <f>_xlfn.XLOOKUP(A2437,MktTitle,MktTotVol,0)</f>
        <v/>
      </c>
      <c r="K2437">
        <f>IF(H2437&gt;WhaleThreshold,"WHALE","")</f>
        <v/>
      </c>
    </row>
    <row r="2438">
      <c r="A2438" t="inlineStr">
        <is>
          <t>Will Canada win the 2026 FIFA World Cup?</t>
        </is>
      </c>
      <c r="B2438" s="4" t="n">
        <v>46206</v>
      </c>
      <c r="C2438" s="5" t="n">
        <v>46206.05740740741</v>
      </c>
      <c r="D2438" t="inlineStr">
        <is>
          <t>BUY</t>
        </is>
      </c>
      <c r="E2438" t="inlineStr">
        <is>
          <t>No</t>
        </is>
      </c>
      <c r="F2438" s="2" t="n">
        <v>0.998</v>
      </c>
      <c r="G2438" s="6" t="n">
        <v>9.228</v>
      </c>
      <c r="H2438" s="6">
        <f>F2438*G2438</f>
        <v/>
      </c>
      <c r="I2438">
        <f>_xlfn.XLOOKUP(A2438,MktTitle,MktCat,"n/a")</f>
        <v/>
      </c>
      <c r="J2438" s="3">
        <f>_xlfn.XLOOKUP(A2438,MktTitle,MktTotVol,0)</f>
        <v/>
      </c>
      <c r="K2438">
        <f>IF(H2438&gt;WhaleThreshold,"WHALE","")</f>
        <v/>
      </c>
    </row>
    <row r="2439">
      <c r="A2439" t="inlineStr">
        <is>
          <t>Will Canada win the 2026 FIFA World Cup?</t>
        </is>
      </c>
      <c r="B2439" s="4" t="n">
        <v>46206</v>
      </c>
      <c r="C2439" s="5" t="n">
        <v>46206.0571412037</v>
      </c>
      <c r="D2439" t="inlineStr">
        <is>
          <t>BUY</t>
        </is>
      </c>
      <c r="E2439" t="inlineStr">
        <is>
          <t>No</t>
        </is>
      </c>
      <c r="F2439" s="2" t="n">
        <v>0.998</v>
      </c>
      <c r="G2439" s="6" t="n">
        <v>11.8535</v>
      </c>
      <c r="H2439" s="6">
        <f>F2439*G2439</f>
        <v/>
      </c>
      <c r="I2439">
        <f>_xlfn.XLOOKUP(A2439,MktTitle,MktCat,"n/a")</f>
        <v/>
      </c>
      <c r="J2439" s="3">
        <f>_xlfn.XLOOKUP(A2439,MktTitle,MktTotVol,0)</f>
        <v/>
      </c>
      <c r="K2439">
        <f>IF(H2439&gt;WhaleThreshold,"WHALE","")</f>
        <v/>
      </c>
    </row>
    <row r="2440">
      <c r="A2440" t="inlineStr">
        <is>
          <t>Will Canada win the 2026 FIFA World Cup?</t>
        </is>
      </c>
      <c r="B2440" s="4" t="n">
        <v>46206</v>
      </c>
      <c r="C2440" s="5" t="n">
        <v>46206.05497685185</v>
      </c>
      <c r="D2440" t="inlineStr">
        <is>
          <t>SELL</t>
        </is>
      </c>
      <c r="E2440" t="inlineStr">
        <is>
          <t>No</t>
        </is>
      </c>
      <c r="F2440" s="2" t="n">
        <v>0.997</v>
      </c>
      <c r="G2440" s="6" t="n">
        <v>8.01</v>
      </c>
      <c r="H2440" s="6">
        <f>F2440*G2440</f>
        <v/>
      </c>
      <c r="I2440">
        <f>_xlfn.XLOOKUP(A2440,MktTitle,MktCat,"n/a")</f>
        <v/>
      </c>
      <c r="J2440" s="3">
        <f>_xlfn.XLOOKUP(A2440,MktTitle,MktTotVol,0)</f>
        <v/>
      </c>
      <c r="K2440">
        <f>IF(H2440&gt;WhaleThreshold,"WHALE","")</f>
        <v/>
      </c>
    </row>
    <row r="2441">
      <c r="A2441" t="inlineStr">
        <is>
          <t>Will Canada win the 2026 FIFA World Cup?</t>
        </is>
      </c>
      <c r="B2441" s="4" t="n">
        <v>46206</v>
      </c>
      <c r="C2441" s="5" t="n">
        <v>46206.05491898148</v>
      </c>
      <c r="D2441" t="inlineStr">
        <is>
          <t>BUY</t>
        </is>
      </c>
      <c r="E2441" t="inlineStr">
        <is>
          <t>No</t>
        </is>
      </c>
      <c r="F2441" s="2" t="n">
        <v>0.998</v>
      </c>
      <c r="G2441" s="6" t="n">
        <v>10.711</v>
      </c>
      <c r="H2441" s="6">
        <f>F2441*G2441</f>
        <v/>
      </c>
      <c r="I2441">
        <f>_xlfn.XLOOKUP(A2441,MktTitle,MktCat,"n/a")</f>
        <v/>
      </c>
      <c r="J2441" s="3">
        <f>_xlfn.XLOOKUP(A2441,MktTitle,MktTotVol,0)</f>
        <v/>
      </c>
      <c r="K2441">
        <f>IF(H2441&gt;WhaleThreshold,"WHALE","")</f>
        <v/>
      </c>
    </row>
    <row r="2442">
      <c r="A2442" t="inlineStr">
        <is>
          <t>Will Canada win the 2026 FIFA World Cup?</t>
        </is>
      </c>
      <c r="B2442" s="4" t="n">
        <v>46206</v>
      </c>
      <c r="C2442" s="5" t="n">
        <v>46206.05064814815</v>
      </c>
      <c r="D2442" t="inlineStr">
        <is>
          <t>SELL</t>
        </is>
      </c>
      <c r="E2442" t="inlineStr">
        <is>
          <t>No</t>
        </is>
      </c>
      <c r="F2442" s="2" t="n">
        <v>0.997</v>
      </c>
      <c r="G2442" s="6" t="n">
        <v>51.54</v>
      </c>
      <c r="H2442" s="6">
        <f>F2442*G2442</f>
        <v/>
      </c>
      <c r="I2442">
        <f>_xlfn.XLOOKUP(A2442,MktTitle,MktCat,"n/a")</f>
        <v/>
      </c>
      <c r="J2442" s="3">
        <f>_xlfn.XLOOKUP(A2442,MktTitle,MktTotVol,0)</f>
        <v/>
      </c>
      <c r="K2442">
        <f>IF(H2442&gt;WhaleThreshold,"WHALE","")</f>
        <v/>
      </c>
    </row>
    <row r="2443">
      <c r="A2443" t="inlineStr">
        <is>
          <t>Will Canada win the 2026 FIFA World Cup?</t>
        </is>
      </c>
      <c r="B2443" s="4" t="n">
        <v>46206</v>
      </c>
      <c r="C2443" s="5" t="n">
        <v>46206.05060185185</v>
      </c>
      <c r="D2443" t="inlineStr">
        <is>
          <t>SELL</t>
        </is>
      </c>
      <c r="E2443" t="inlineStr">
        <is>
          <t>Yes</t>
        </is>
      </c>
      <c r="F2443" s="2" t="n">
        <v>0.002</v>
      </c>
      <c r="G2443" s="6" t="n">
        <v>180000</v>
      </c>
      <c r="H2443" s="6">
        <f>F2443*G2443</f>
        <v/>
      </c>
      <c r="I2443">
        <f>_xlfn.XLOOKUP(A2443,MktTitle,MktCat,"n/a")</f>
        <v/>
      </c>
      <c r="J2443" s="3">
        <f>_xlfn.XLOOKUP(A2443,MktTitle,MktTotVol,0)</f>
        <v/>
      </c>
      <c r="K2443">
        <f>IF(H2443&gt;WhaleThreshold,"WHALE","")</f>
        <v/>
      </c>
    </row>
    <row r="2444">
      <c r="A2444" t="inlineStr">
        <is>
          <t>Will Canada win the 2026 FIFA World Cup?</t>
        </is>
      </c>
      <c r="B2444" s="4" t="n">
        <v>46206</v>
      </c>
      <c r="C2444" s="5" t="n">
        <v>46206.04498842593</v>
      </c>
      <c r="D2444" t="inlineStr">
        <is>
          <t>BUY</t>
        </is>
      </c>
      <c r="E2444" t="inlineStr">
        <is>
          <t>No</t>
        </is>
      </c>
      <c r="F2444" s="2" t="n">
        <v>0.998</v>
      </c>
      <c r="G2444" s="6" t="n">
        <v>5</v>
      </c>
      <c r="H2444" s="6">
        <f>F2444*G2444</f>
        <v/>
      </c>
      <c r="I2444">
        <f>_xlfn.XLOOKUP(A2444,MktTitle,MktCat,"n/a")</f>
        <v/>
      </c>
      <c r="J2444" s="3">
        <f>_xlfn.XLOOKUP(A2444,MktTitle,MktTotVol,0)</f>
        <v/>
      </c>
      <c r="K2444">
        <f>IF(H2444&gt;WhaleThreshold,"WHALE","")</f>
        <v/>
      </c>
    </row>
    <row r="2445">
      <c r="A2445" t="inlineStr">
        <is>
          <t>Will Canada win the 2026 FIFA World Cup?</t>
        </is>
      </c>
      <c r="B2445" s="4" t="n">
        <v>46206</v>
      </c>
      <c r="C2445" s="5" t="n">
        <v>46206.04300925926</v>
      </c>
      <c r="D2445" t="inlineStr">
        <is>
          <t>BUY</t>
        </is>
      </c>
      <c r="E2445" t="inlineStr">
        <is>
          <t>No</t>
        </is>
      </c>
      <c r="F2445" s="2" t="n">
        <v>0.998</v>
      </c>
      <c r="G2445" s="6" t="n">
        <v>49.569</v>
      </c>
      <c r="H2445" s="6">
        <f>F2445*G2445</f>
        <v/>
      </c>
      <c r="I2445">
        <f>_xlfn.XLOOKUP(A2445,MktTitle,MktCat,"n/a")</f>
        <v/>
      </c>
      <c r="J2445" s="3">
        <f>_xlfn.XLOOKUP(A2445,MktTitle,MktTotVol,0)</f>
        <v/>
      </c>
      <c r="K2445">
        <f>IF(H2445&gt;WhaleThreshold,"WHALE","")</f>
        <v/>
      </c>
    </row>
    <row r="2446">
      <c r="A2446" t="inlineStr">
        <is>
          <t>Will Canada win the 2026 FIFA World Cup?</t>
        </is>
      </c>
      <c r="B2446" s="4" t="n">
        <v>46206</v>
      </c>
      <c r="C2446" s="5" t="n">
        <v>46206.04278935185</v>
      </c>
      <c r="D2446" t="inlineStr">
        <is>
          <t>BUY</t>
        </is>
      </c>
      <c r="E2446" t="inlineStr">
        <is>
          <t>No</t>
        </is>
      </c>
      <c r="F2446" s="2" t="n">
        <v>0.998</v>
      </c>
      <c r="G2446" s="6" t="n">
        <v>400.8015</v>
      </c>
      <c r="H2446" s="6">
        <f>F2446*G2446</f>
        <v/>
      </c>
      <c r="I2446">
        <f>_xlfn.XLOOKUP(A2446,MktTitle,MktCat,"n/a")</f>
        <v/>
      </c>
      <c r="J2446" s="3">
        <f>_xlfn.XLOOKUP(A2446,MktTitle,MktTotVol,0)</f>
        <v/>
      </c>
      <c r="K2446">
        <f>IF(H2446&gt;WhaleThreshold,"WHALE","")</f>
        <v/>
      </c>
    </row>
    <row r="2447">
      <c r="A2447" t="inlineStr">
        <is>
          <t>Will Canada win the 2026 FIFA World Cup?</t>
        </is>
      </c>
      <c r="B2447" s="4" t="n">
        <v>46206</v>
      </c>
      <c r="C2447" s="5" t="n">
        <v>46206.04241898148</v>
      </c>
      <c r="D2447" t="inlineStr">
        <is>
          <t>SELL</t>
        </is>
      </c>
      <c r="E2447" t="inlineStr">
        <is>
          <t>Yes</t>
        </is>
      </c>
      <c r="F2447" s="2" t="n">
        <v>0.002</v>
      </c>
      <c r="G2447" s="6" t="n">
        <v>400</v>
      </c>
      <c r="H2447" s="6">
        <f>F2447*G2447</f>
        <v/>
      </c>
      <c r="I2447">
        <f>_xlfn.XLOOKUP(A2447,MktTitle,MktCat,"n/a")</f>
        <v/>
      </c>
      <c r="J2447" s="3">
        <f>_xlfn.XLOOKUP(A2447,MktTitle,MktTotVol,0)</f>
        <v/>
      </c>
      <c r="K2447">
        <f>IF(H2447&gt;WhaleThreshold,"WHALE","")</f>
        <v/>
      </c>
    </row>
    <row r="2448">
      <c r="A2448" t="inlineStr">
        <is>
          <t>Will Canada win the 2026 FIFA World Cup?</t>
        </is>
      </c>
      <c r="B2448" s="4" t="n">
        <v>46206</v>
      </c>
      <c r="C2448" s="5" t="n">
        <v>46206.04164351852</v>
      </c>
      <c r="D2448" t="inlineStr">
        <is>
          <t>BUY</t>
        </is>
      </c>
      <c r="E2448" t="inlineStr">
        <is>
          <t>No</t>
        </is>
      </c>
      <c r="F2448" s="2" t="n">
        <v>0.998</v>
      </c>
      <c r="G2448" s="6" t="n">
        <v>50.611</v>
      </c>
      <c r="H2448" s="6">
        <f>F2448*G2448</f>
        <v/>
      </c>
      <c r="I2448">
        <f>_xlfn.XLOOKUP(A2448,MktTitle,MktCat,"n/a")</f>
        <v/>
      </c>
      <c r="J2448" s="3">
        <f>_xlfn.XLOOKUP(A2448,MktTitle,MktTotVol,0)</f>
        <v/>
      </c>
      <c r="K2448">
        <f>IF(H2448&gt;WhaleThreshold,"WHALE","")</f>
        <v/>
      </c>
    </row>
    <row r="2449">
      <c r="A2449" t="inlineStr">
        <is>
          <t>Will Canada win the 2026 FIFA World Cup?</t>
        </is>
      </c>
      <c r="B2449" s="4" t="n">
        <v>46206</v>
      </c>
      <c r="C2449" s="5" t="n">
        <v>46206.04050925926</v>
      </c>
      <c r="D2449" t="inlineStr">
        <is>
          <t>SELL</t>
        </is>
      </c>
      <c r="E2449" t="inlineStr">
        <is>
          <t>Yes</t>
        </is>
      </c>
      <c r="F2449" s="2" t="n">
        <v>0.002</v>
      </c>
      <c r="G2449" s="6" t="n">
        <v>14999.73</v>
      </c>
      <c r="H2449" s="6">
        <f>F2449*G2449</f>
        <v/>
      </c>
      <c r="I2449">
        <f>_xlfn.XLOOKUP(A2449,MktTitle,MktCat,"n/a")</f>
        <v/>
      </c>
      <c r="J2449" s="3">
        <f>_xlfn.XLOOKUP(A2449,MktTitle,MktTotVol,0)</f>
        <v/>
      </c>
      <c r="K2449">
        <f>IF(H2449&gt;WhaleThreshold,"WHALE","")</f>
        <v/>
      </c>
    </row>
    <row r="2450">
      <c r="A2450" t="inlineStr">
        <is>
          <t>Will Canada win the 2026 FIFA World Cup?</t>
        </is>
      </c>
      <c r="B2450" s="4" t="n">
        <v>46206</v>
      </c>
      <c r="C2450" s="5" t="n">
        <v>46206.03994212963</v>
      </c>
      <c r="D2450" t="inlineStr">
        <is>
          <t>SELL</t>
        </is>
      </c>
      <c r="E2450" t="inlineStr">
        <is>
          <t>Yes</t>
        </is>
      </c>
      <c r="F2450" s="2" t="n">
        <v>0.002</v>
      </c>
      <c r="G2450" s="6" t="n">
        <v>50</v>
      </c>
      <c r="H2450" s="6">
        <f>F2450*G2450</f>
        <v/>
      </c>
      <c r="I2450">
        <f>_xlfn.XLOOKUP(A2450,MktTitle,MktCat,"n/a")</f>
        <v/>
      </c>
      <c r="J2450" s="3">
        <f>_xlfn.XLOOKUP(A2450,MktTitle,MktTotVol,0)</f>
        <v/>
      </c>
      <c r="K2450">
        <f>IF(H2450&gt;WhaleThreshold,"WHALE","")</f>
        <v/>
      </c>
    </row>
    <row r="2451">
      <c r="A2451" t="inlineStr">
        <is>
          <t>Will Canada win the 2026 FIFA World Cup?</t>
        </is>
      </c>
      <c r="B2451" s="4" t="n">
        <v>46206</v>
      </c>
      <c r="C2451" s="5" t="n">
        <v>46206.03994212963</v>
      </c>
      <c r="D2451" t="inlineStr">
        <is>
          <t>BUY</t>
        </is>
      </c>
      <c r="E2451" t="inlineStr">
        <is>
          <t>No</t>
        </is>
      </c>
      <c r="F2451" s="2" t="n">
        <v>0.998</v>
      </c>
      <c r="G2451" s="6" t="n">
        <v>30</v>
      </c>
      <c r="H2451" s="6">
        <f>F2451*G2451</f>
        <v/>
      </c>
      <c r="I2451">
        <f>_xlfn.XLOOKUP(A2451,MktTitle,MktCat,"n/a")</f>
        <v/>
      </c>
      <c r="J2451" s="3">
        <f>_xlfn.XLOOKUP(A2451,MktTitle,MktTotVol,0)</f>
        <v/>
      </c>
      <c r="K2451">
        <f>IF(H2451&gt;WhaleThreshold,"WHALE","")</f>
        <v/>
      </c>
    </row>
    <row r="2452">
      <c r="A2452" t="inlineStr">
        <is>
          <t>Will Canada win the 2026 FIFA World Cup?</t>
        </is>
      </c>
      <c r="B2452" s="4" t="n">
        <v>46206</v>
      </c>
      <c r="C2452" s="5" t="n">
        <v>46206.03883101852</v>
      </c>
      <c r="D2452" t="inlineStr">
        <is>
          <t>BUY</t>
        </is>
      </c>
      <c r="E2452" t="inlineStr">
        <is>
          <t>No</t>
        </is>
      </c>
      <c r="F2452" s="2" t="n">
        <v>0.998</v>
      </c>
      <c r="G2452" s="6" t="n">
        <v>43.4665</v>
      </c>
      <c r="H2452" s="6">
        <f>F2452*G2452</f>
        <v/>
      </c>
      <c r="I2452">
        <f>_xlfn.XLOOKUP(A2452,MktTitle,MktCat,"n/a")</f>
        <v/>
      </c>
      <c r="J2452" s="3">
        <f>_xlfn.XLOOKUP(A2452,MktTitle,MktTotVol,0)</f>
        <v/>
      </c>
      <c r="K2452">
        <f>IF(H2452&gt;WhaleThreshold,"WHALE","")</f>
        <v/>
      </c>
    </row>
    <row r="2453">
      <c r="A2453" t="inlineStr">
        <is>
          <t>Will Canada win the 2026 FIFA World Cup?</t>
        </is>
      </c>
      <c r="B2453" s="4" t="n">
        <v>46206</v>
      </c>
      <c r="C2453" s="5" t="n">
        <v>46206.03623842593</v>
      </c>
      <c r="D2453" t="inlineStr">
        <is>
          <t>SELL</t>
        </is>
      </c>
      <c r="E2453" t="inlineStr">
        <is>
          <t>No</t>
        </is>
      </c>
      <c r="F2453" s="2" t="n">
        <v>0.997</v>
      </c>
      <c r="G2453" s="6" t="n">
        <v>63.46</v>
      </c>
      <c r="H2453" s="6">
        <f>F2453*G2453</f>
        <v/>
      </c>
      <c r="I2453">
        <f>_xlfn.XLOOKUP(A2453,MktTitle,MktCat,"n/a")</f>
        <v/>
      </c>
      <c r="J2453" s="3">
        <f>_xlfn.XLOOKUP(A2453,MktTitle,MktTotVol,0)</f>
        <v/>
      </c>
      <c r="K2453">
        <f>IF(H2453&gt;WhaleThreshold,"WHALE","")</f>
        <v/>
      </c>
    </row>
    <row r="2454">
      <c r="A2454" t="inlineStr">
        <is>
          <t>Will Canada win the 2026 FIFA World Cup?</t>
        </is>
      </c>
      <c r="B2454" s="4" t="n">
        <v>46206</v>
      </c>
      <c r="C2454" s="5" t="n">
        <v>46206.03582175926</v>
      </c>
      <c r="D2454" t="inlineStr">
        <is>
          <t>BUY</t>
        </is>
      </c>
      <c r="E2454" t="inlineStr">
        <is>
          <t>No</t>
        </is>
      </c>
      <c r="F2454" s="2" t="n">
        <v>0.998</v>
      </c>
      <c r="G2454" s="6" t="n">
        <v>63.4665</v>
      </c>
      <c r="H2454" s="6">
        <f>F2454*G2454</f>
        <v/>
      </c>
      <c r="I2454">
        <f>_xlfn.XLOOKUP(A2454,MktTitle,MktCat,"n/a")</f>
        <v/>
      </c>
      <c r="J2454" s="3">
        <f>_xlfn.XLOOKUP(A2454,MktTitle,MktTotVol,0)</f>
        <v/>
      </c>
      <c r="K2454">
        <f>IF(H2454&gt;WhaleThreshold,"WHALE","")</f>
        <v/>
      </c>
    </row>
    <row r="2455">
      <c r="A2455" t="inlineStr">
        <is>
          <t>Will Canada win the 2026 FIFA World Cup?</t>
        </is>
      </c>
      <c r="B2455" s="4" t="n">
        <v>46206</v>
      </c>
      <c r="C2455" s="5" t="n">
        <v>46206.03561342593</v>
      </c>
      <c r="D2455" t="inlineStr">
        <is>
          <t>SELL</t>
        </is>
      </c>
      <c r="E2455" t="inlineStr">
        <is>
          <t>No</t>
        </is>
      </c>
      <c r="F2455" s="2" t="n">
        <v>0.997</v>
      </c>
      <c r="G2455" s="6" t="n">
        <v>7.01</v>
      </c>
      <c r="H2455" s="6">
        <f>F2455*G2455</f>
        <v/>
      </c>
      <c r="I2455">
        <f>_xlfn.XLOOKUP(A2455,MktTitle,MktCat,"n/a")</f>
        <v/>
      </c>
      <c r="J2455" s="3">
        <f>_xlfn.XLOOKUP(A2455,MktTitle,MktTotVol,0)</f>
        <v/>
      </c>
      <c r="K2455">
        <f>IF(H2455&gt;WhaleThreshold,"WHALE","")</f>
        <v/>
      </c>
    </row>
    <row r="2456">
      <c r="A2456" t="inlineStr">
        <is>
          <t>Will Canada win the 2026 FIFA World Cup?</t>
        </is>
      </c>
      <c r="B2456" s="4" t="n">
        <v>46206</v>
      </c>
      <c r="C2456" s="5" t="n">
        <v>46206.03450231482</v>
      </c>
      <c r="D2456" t="inlineStr">
        <is>
          <t>BUY</t>
        </is>
      </c>
      <c r="E2456" t="inlineStr">
        <is>
          <t>No</t>
        </is>
      </c>
      <c r="F2456" s="2" t="n">
        <v>0.998</v>
      </c>
      <c r="G2456" s="6" t="n">
        <v>13.026</v>
      </c>
      <c r="H2456" s="6">
        <f>F2456*G2456</f>
        <v/>
      </c>
      <c r="I2456">
        <f>_xlfn.XLOOKUP(A2456,MktTitle,MktCat,"n/a")</f>
        <v/>
      </c>
      <c r="J2456" s="3">
        <f>_xlfn.XLOOKUP(A2456,MktTitle,MktTotVol,0)</f>
        <v/>
      </c>
      <c r="K2456">
        <f>IF(H2456&gt;WhaleThreshold,"WHALE","")</f>
        <v/>
      </c>
    </row>
    <row r="2457">
      <c r="A2457" t="inlineStr">
        <is>
          <t>Will Canada win the 2026 FIFA World Cup?</t>
        </is>
      </c>
      <c r="B2457" s="4" t="n">
        <v>46206</v>
      </c>
      <c r="C2457" s="5" t="n">
        <v>46206.02945601852</v>
      </c>
      <c r="D2457" t="inlineStr">
        <is>
          <t>BUY</t>
        </is>
      </c>
      <c r="E2457" t="inlineStr">
        <is>
          <t>No</t>
        </is>
      </c>
      <c r="F2457" s="2" t="n">
        <v>0.998</v>
      </c>
      <c r="G2457" s="6" t="n">
        <v>45.3305</v>
      </c>
      <c r="H2457" s="6">
        <f>F2457*G2457</f>
        <v/>
      </c>
      <c r="I2457">
        <f>_xlfn.XLOOKUP(A2457,MktTitle,MktCat,"n/a")</f>
        <v/>
      </c>
      <c r="J2457" s="3">
        <f>_xlfn.XLOOKUP(A2457,MktTitle,MktTotVol,0)</f>
        <v/>
      </c>
      <c r="K2457">
        <f>IF(H2457&gt;WhaleThreshold,"WHALE","")</f>
        <v/>
      </c>
    </row>
    <row r="2458">
      <c r="A2458" t="inlineStr">
        <is>
          <t>Will Canada win the 2026 FIFA World Cup?</t>
        </is>
      </c>
      <c r="B2458" s="4" t="n">
        <v>46206</v>
      </c>
      <c r="C2458" s="5" t="n">
        <v>46206.0278587963</v>
      </c>
      <c r="D2458" t="inlineStr">
        <is>
          <t>BUY</t>
        </is>
      </c>
      <c r="E2458" t="inlineStr">
        <is>
          <t>Yes</t>
        </is>
      </c>
      <c r="F2458" s="2" t="n">
        <v>0.003</v>
      </c>
      <c r="G2458" s="6" t="n">
        <v>333.3333</v>
      </c>
      <c r="H2458" s="6">
        <f>F2458*G2458</f>
        <v/>
      </c>
      <c r="I2458">
        <f>_xlfn.XLOOKUP(A2458,MktTitle,MktCat,"n/a")</f>
        <v/>
      </c>
      <c r="J2458" s="3">
        <f>_xlfn.XLOOKUP(A2458,MktTitle,MktTotVol,0)</f>
        <v/>
      </c>
      <c r="K2458">
        <f>IF(H2458&gt;WhaleThreshold,"WHALE","")</f>
        <v/>
      </c>
    </row>
    <row r="2459">
      <c r="A2459" t="inlineStr">
        <is>
          <t>Will Canada win the 2026 FIFA World Cup?</t>
        </is>
      </c>
      <c r="B2459" s="4" t="n">
        <v>46206</v>
      </c>
      <c r="C2459" s="5" t="n">
        <v>46206.02570601852</v>
      </c>
      <c r="D2459" t="inlineStr">
        <is>
          <t>BUY</t>
        </is>
      </c>
      <c r="E2459" t="inlineStr">
        <is>
          <t>No</t>
        </is>
      </c>
      <c r="F2459" s="2" t="n">
        <v>0.998</v>
      </c>
      <c r="G2459" s="6" t="n">
        <v>1.613</v>
      </c>
      <c r="H2459" s="6">
        <f>F2459*G2459</f>
        <v/>
      </c>
      <c r="I2459">
        <f>_xlfn.XLOOKUP(A2459,MktTitle,MktCat,"n/a")</f>
        <v/>
      </c>
      <c r="J2459" s="3">
        <f>_xlfn.XLOOKUP(A2459,MktTitle,MktTotVol,0)</f>
        <v/>
      </c>
      <c r="K2459">
        <f>IF(H2459&gt;WhaleThreshold,"WHALE","")</f>
        <v/>
      </c>
    </row>
    <row r="2460">
      <c r="A2460" t="inlineStr">
        <is>
          <t>Will Canada win the 2026 FIFA World Cup?</t>
        </is>
      </c>
      <c r="B2460" s="4" t="n">
        <v>46206</v>
      </c>
      <c r="C2460" s="5" t="n">
        <v>46206.02521990741</v>
      </c>
      <c r="D2460" t="inlineStr">
        <is>
          <t>SELL</t>
        </is>
      </c>
      <c r="E2460" t="inlineStr">
        <is>
          <t>Yes</t>
        </is>
      </c>
      <c r="F2460" s="2" t="n">
        <v>0.002</v>
      </c>
      <c r="G2460" s="6" t="n">
        <v>507.5</v>
      </c>
      <c r="H2460" s="6">
        <f>F2460*G2460</f>
        <v/>
      </c>
      <c r="I2460">
        <f>_xlfn.XLOOKUP(A2460,MktTitle,MktCat,"n/a")</f>
        <v/>
      </c>
      <c r="J2460" s="3">
        <f>_xlfn.XLOOKUP(A2460,MktTitle,MktTotVol,0)</f>
        <v/>
      </c>
      <c r="K2460">
        <f>IF(H2460&gt;WhaleThreshold,"WHALE","")</f>
        <v/>
      </c>
    </row>
    <row r="2461">
      <c r="A2461" t="inlineStr">
        <is>
          <t>Will Canada win the 2026 FIFA World Cup?</t>
        </is>
      </c>
      <c r="B2461" s="4" t="n">
        <v>46206</v>
      </c>
      <c r="C2461" s="5" t="n">
        <v>46206.02505787037</v>
      </c>
      <c r="D2461" t="inlineStr">
        <is>
          <t>SELL</t>
        </is>
      </c>
      <c r="E2461" t="inlineStr">
        <is>
          <t>No</t>
        </is>
      </c>
      <c r="F2461" s="2" t="n">
        <v>0.997</v>
      </c>
      <c r="G2461" s="6" t="n">
        <v>1.15</v>
      </c>
      <c r="H2461" s="6">
        <f>F2461*G2461</f>
        <v/>
      </c>
      <c r="I2461">
        <f>_xlfn.XLOOKUP(A2461,MktTitle,MktCat,"n/a")</f>
        <v/>
      </c>
      <c r="J2461" s="3">
        <f>_xlfn.XLOOKUP(A2461,MktTitle,MktTotVol,0)</f>
        <v/>
      </c>
      <c r="K2461">
        <f>IF(H2461&gt;WhaleThreshold,"WHALE","")</f>
        <v/>
      </c>
    </row>
    <row r="2462">
      <c r="A2462" t="inlineStr">
        <is>
          <t>Will Canada win the 2026 FIFA World Cup?</t>
        </is>
      </c>
      <c r="B2462" s="4" t="n">
        <v>46206</v>
      </c>
      <c r="C2462" s="5" t="n">
        <v>46206.02490740741</v>
      </c>
      <c r="D2462" t="inlineStr">
        <is>
          <t>BUY</t>
        </is>
      </c>
      <c r="E2462" t="inlineStr">
        <is>
          <t>Yes</t>
        </is>
      </c>
      <c r="F2462" s="2" t="n">
        <v>0.003</v>
      </c>
      <c r="G2462" s="6" t="n">
        <v>1666.6667</v>
      </c>
      <c r="H2462" s="6">
        <f>F2462*G2462</f>
        <v/>
      </c>
      <c r="I2462">
        <f>_xlfn.XLOOKUP(A2462,MktTitle,MktCat,"n/a")</f>
        <v/>
      </c>
      <c r="J2462" s="3">
        <f>_xlfn.XLOOKUP(A2462,MktTitle,MktTotVol,0)</f>
        <v/>
      </c>
      <c r="K2462">
        <f>IF(H2462&gt;WhaleThreshold,"WHALE","")</f>
        <v/>
      </c>
    </row>
    <row r="2463">
      <c r="A2463" t="inlineStr">
        <is>
          <t>Will Canada win the 2026 FIFA World Cup?</t>
        </is>
      </c>
      <c r="B2463" s="4" t="n">
        <v>46206</v>
      </c>
      <c r="C2463" s="5" t="n">
        <v>46206.02429398148</v>
      </c>
      <c r="D2463" t="inlineStr">
        <is>
          <t>BUY</t>
        </is>
      </c>
      <c r="E2463" t="inlineStr">
        <is>
          <t>No</t>
        </is>
      </c>
      <c r="F2463" s="2" t="n">
        <v>0.998</v>
      </c>
      <c r="G2463" s="6" t="n">
        <v>5</v>
      </c>
      <c r="H2463" s="6">
        <f>F2463*G2463</f>
        <v/>
      </c>
      <c r="I2463">
        <f>_xlfn.XLOOKUP(A2463,MktTitle,MktCat,"n/a")</f>
        <v/>
      </c>
      <c r="J2463" s="3">
        <f>_xlfn.XLOOKUP(A2463,MktTitle,MktTotVol,0)</f>
        <v/>
      </c>
      <c r="K2463">
        <f>IF(H2463&gt;WhaleThreshold,"WHALE","")</f>
        <v/>
      </c>
    </row>
    <row r="2464">
      <c r="A2464" t="inlineStr">
        <is>
          <t>Will Canada win the 2026 FIFA World Cup?</t>
        </is>
      </c>
      <c r="B2464" s="4" t="n">
        <v>46206</v>
      </c>
      <c r="C2464" s="5" t="n">
        <v>46206.02424768519</v>
      </c>
      <c r="D2464" t="inlineStr">
        <is>
          <t>BUY</t>
        </is>
      </c>
      <c r="E2464" t="inlineStr">
        <is>
          <t>No</t>
        </is>
      </c>
      <c r="F2464" s="2" t="n">
        <v>0.998</v>
      </c>
      <c r="G2464" s="6" t="n">
        <v>1.7935</v>
      </c>
      <c r="H2464" s="6">
        <f>F2464*G2464</f>
        <v/>
      </c>
      <c r="I2464">
        <f>_xlfn.XLOOKUP(A2464,MktTitle,MktCat,"n/a")</f>
        <v/>
      </c>
      <c r="J2464" s="3">
        <f>_xlfn.XLOOKUP(A2464,MktTitle,MktTotVol,0)</f>
        <v/>
      </c>
      <c r="K2464">
        <f>IF(H2464&gt;WhaleThreshold,"WHALE","")</f>
        <v/>
      </c>
    </row>
    <row r="2465">
      <c r="A2465" t="inlineStr">
        <is>
          <t>Will Canada win the 2026 FIFA World Cup?</t>
        </is>
      </c>
      <c r="B2465" s="4" t="n">
        <v>46206</v>
      </c>
      <c r="C2465" s="5" t="n">
        <v>46206.02318287037</v>
      </c>
      <c r="D2465" t="inlineStr">
        <is>
          <t>SELL</t>
        </is>
      </c>
      <c r="E2465" t="inlineStr">
        <is>
          <t>No</t>
        </is>
      </c>
      <c r="F2465" s="2" t="n">
        <v>0.997</v>
      </c>
      <c r="G2465" s="6" t="n">
        <v>1.95</v>
      </c>
      <c r="H2465" s="6">
        <f>F2465*G2465</f>
        <v/>
      </c>
      <c r="I2465">
        <f>_xlfn.XLOOKUP(A2465,MktTitle,MktCat,"n/a")</f>
        <v/>
      </c>
      <c r="J2465" s="3">
        <f>_xlfn.XLOOKUP(A2465,MktTitle,MktTotVol,0)</f>
        <v/>
      </c>
      <c r="K2465">
        <f>IF(H2465&gt;WhaleThreshold,"WHALE","")</f>
        <v/>
      </c>
    </row>
    <row r="2466">
      <c r="A2466" t="inlineStr">
        <is>
          <t>Will Canada win the 2026 FIFA World Cup?</t>
        </is>
      </c>
      <c r="B2466" s="4" t="n">
        <v>46206</v>
      </c>
      <c r="C2466" s="5" t="n">
        <v>46206.02276620371</v>
      </c>
      <c r="D2466" t="inlineStr">
        <is>
          <t>BUY</t>
        </is>
      </c>
      <c r="E2466" t="inlineStr">
        <is>
          <t>No</t>
        </is>
      </c>
      <c r="F2466" s="2" t="n">
        <v>0.998</v>
      </c>
      <c r="G2466" s="6" t="n">
        <v>1.7935</v>
      </c>
      <c r="H2466" s="6">
        <f>F2466*G2466</f>
        <v/>
      </c>
      <c r="I2466">
        <f>_xlfn.XLOOKUP(A2466,MktTitle,MktCat,"n/a")</f>
        <v/>
      </c>
      <c r="J2466" s="3">
        <f>_xlfn.XLOOKUP(A2466,MktTitle,MktTotVol,0)</f>
        <v/>
      </c>
      <c r="K2466">
        <f>IF(H2466&gt;WhaleThreshold,"WHALE","")</f>
        <v/>
      </c>
    </row>
    <row r="2467">
      <c r="A2467" t="inlineStr">
        <is>
          <t>Will Canada win the 2026 FIFA World Cup?</t>
        </is>
      </c>
      <c r="B2467" s="4" t="n">
        <v>46206</v>
      </c>
      <c r="C2467" s="5" t="n">
        <v>46206.02164351852</v>
      </c>
      <c r="D2467" t="inlineStr">
        <is>
          <t>SELL</t>
        </is>
      </c>
      <c r="E2467" t="inlineStr">
        <is>
          <t>No</t>
        </is>
      </c>
      <c r="F2467" s="2" t="n">
        <v>0.997</v>
      </c>
      <c r="G2467" s="6" t="n">
        <v>1.54</v>
      </c>
      <c r="H2467" s="6">
        <f>F2467*G2467</f>
        <v/>
      </c>
      <c r="I2467">
        <f>_xlfn.XLOOKUP(A2467,MktTitle,MktCat,"n/a")</f>
        <v/>
      </c>
      <c r="J2467" s="3">
        <f>_xlfn.XLOOKUP(A2467,MktTitle,MktTotVol,0)</f>
        <v/>
      </c>
      <c r="K2467">
        <f>IF(H2467&gt;WhaleThreshold,"WHALE","")</f>
        <v/>
      </c>
    </row>
    <row r="2468">
      <c r="A2468" t="inlineStr">
        <is>
          <t>Will Canada win the 2026 FIFA World Cup?</t>
        </is>
      </c>
      <c r="B2468" s="4" t="n">
        <v>46206</v>
      </c>
      <c r="C2468" s="5" t="n">
        <v>46206.02146990741</v>
      </c>
      <c r="D2468" t="inlineStr">
        <is>
          <t>SELL</t>
        </is>
      </c>
      <c r="E2468" t="inlineStr">
        <is>
          <t>Yes</t>
        </is>
      </c>
      <c r="F2468" s="2" t="n">
        <v>0.002</v>
      </c>
      <c r="G2468" s="6" t="n">
        <v>1666.66</v>
      </c>
      <c r="H2468" s="6">
        <f>F2468*G2468</f>
        <v/>
      </c>
      <c r="I2468">
        <f>_xlfn.XLOOKUP(A2468,MktTitle,MktCat,"n/a")</f>
        <v/>
      </c>
      <c r="J2468" s="3">
        <f>_xlfn.XLOOKUP(A2468,MktTitle,MktTotVol,0)</f>
        <v/>
      </c>
      <c r="K2468">
        <f>IF(H2468&gt;WhaleThreshold,"WHALE","")</f>
        <v/>
      </c>
    </row>
    <row r="2469">
      <c r="A2469" t="inlineStr">
        <is>
          <t>Will Canada win the 2026 FIFA World Cup?</t>
        </is>
      </c>
      <c r="B2469" s="4" t="n">
        <v>46206</v>
      </c>
      <c r="C2469" s="5" t="n">
        <v>46206.02122685185</v>
      </c>
      <c r="D2469" t="inlineStr">
        <is>
          <t>SELL</t>
        </is>
      </c>
      <c r="E2469" t="inlineStr">
        <is>
          <t>No</t>
        </is>
      </c>
      <c r="F2469" s="2" t="n">
        <v>0.997</v>
      </c>
      <c r="G2469" s="6" t="n">
        <v>11.02</v>
      </c>
      <c r="H2469" s="6">
        <f>F2469*G2469</f>
        <v/>
      </c>
      <c r="I2469">
        <f>_xlfn.XLOOKUP(A2469,MktTitle,MktCat,"n/a")</f>
        <v/>
      </c>
      <c r="J2469" s="3">
        <f>_xlfn.XLOOKUP(A2469,MktTitle,MktTotVol,0)</f>
        <v/>
      </c>
      <c r="K2469">
        <f>IF(H2469&gt;WhaleThreshold,"WHALE","")</f>
        <v/>
      </c>
    </row>
    <row r="2470">
      <c r="A2470" t="inlineStr">
        <is>
          <t>Will Canada win the 2026 FIFA World Cup?</t>
        </is>
      </c>
      <c r="B2470" s="4" t="n">
        <v>46206</v>
      </c>
      <c r="C2470" s="5" t="n">
        <v>46206.02082175926</v>
      </c>
      <c r="D2470" t="inlineStr">
        <is>
          <t>BUY</t>
        </is>
      </c>
      <c r="E2470" t="inlineStr">
        <is>
          <t>No</t>
        </is>
      </c>
      <c r="F2470" s="2" t="n">
        <v>0.998</v>
      </c>
      <c r="G2470" s="6" t="n">
        <v>1.7935</v>
      </c>
      <c r="H2470" s="6">
        <f>F2470*G2470</f>
        <v/>
      </c>
      <c r="I2470">
        <f>_xlfn.XLOOKUP(A2470,MktTitle,MktCat,"n/a")</f>
        <v/>
      </c>
      <c r="J2470" s="3">
        <f>_xlfn.XLOOKUP(A2470,MktTitle,MktTotVol,0)</f>
        <v/>
      </c>
      <c r="K2470">
        <f>IF(H2470&gt;WhaleThreshold,"WHALE","")</f>
        <v/>
      </c>
    </row>
    <row r="2471">
      <c r="A2471" t="inlineStr">
        <is>
          <t>Will Canada win the 2026 FIFA World Cup?</t>
        </is>
      </c>
      <c r="B2471" s="4" t="n">
        <v>46206</v>
      </c>
      <c r="C2471" s="5" t="n">
        <v>46206.02037037037</v>
      </c>
      <c r="D2471" t="inlineStr">
        <is>
          <t>BUY</t>
        </is>
      </c>
      <c r="E2471" t="inlineStr">
        <is>
          <t>No</t>
        </is>
      </c>
      <c r="F2471" s="2" t="n">
        <v>0.998</v>
      </c>
      <c r="G2471" s="6" t="n">
        <v>23.046</v>
      </c>
      <c r="H2471" s="6">
        <f>F2471*G2471</f>
        <v/>
      </c>
      <c r="I2471">
        <f>_xlfn.XLOOKUP(A2471,MktTitle,MktCat,"n/a")</f>
        <v/>
      </c>
      <c r="J2471" s="3">
        <f>_xlfn.XLOOKUP(A2471,MktTitle,MktTotVol,0)</f>
        <v/>
      </c>
      <c r="K2471">
        <f>IF(H2471&gt;WhaleThreshold,"WHALE","")</f>
        <v/>
      </c>
    </row>
    <row r="2472">
      <c r="A2472" t="inlineStr">
        <is>
          <t>Will Canada win the 2026 FIFA World Cup?</t>
        </is>
      </c>
      <c r="B2472" s="4" t="n">
        <v>46206</v>
      </c>
      <c r="C2472" s="5" t="n">
        <v>46206.01769675926</v>
      </c>
      <c r="D2472" t="inlineStr">
        <is>
          <t>BUY</t>
        </is>
      </c>
      <c r="E2472" t="inlineStr">
        <is>
          <t>No</t>
        </is>
      </c>
      <c r="F2472" s="2" t="n">
        <v>0.998</v>
      </c>
      <c r="G2472" s="6" t="n">
        <v>45.2805</v>
      </c>
      <c r="H2472" s="6">
        <f>F2472*G2472</f>
        <v/>
      </c>
      <c r="I2472">
        <f>_xlfn.XLOOKUP(A2472,MktTitle,MktCat,"n/a")</f>
        <v/>
      </c>
      <c r="J2472" s="3">
        <f>_xlfn.XLOOKUP(A2472,MktTitle,MktTotVol,0)</f>
        <v/>
      </c>
      <c r="K2472">
        <f>IF(H2472&gt;WhaleThreshold,"WHALE","")</f>
        <v/>
      </c>
    </row>
    <row r="2473">
      <c r="A2473" t="inlineStr">
        <is>
          <t>Will Canada win the 2026 FIFA World Cup?</t>
        </is>
      </c>
      <c r="B2473" s="4" t="n">
        <v>46206</v>
      </c>
      <c r="C2473" s="5" t="n">
        <v>46206.01516203704</v>
      </c>
      <c r="D2473" t="inlineStr">
        <is>
          <t>BUY</t>
        </is>
      </c>
      <c r="E2473" t="inlineStr">
        <is>
          <t>Yes</t>
        </is>
      </c>
      <c r="F2473" s="2" t="n">
        <v>0.003</v>
      </c>
      <c r="G2473" s="6" t="n">
        <v>3333.3333</v>
      </c>
      <c r="H2473" s="6">
        <f>F2473*G2473</f>
        <v/>
      </c>
      <c r="I2473">
        <f>_xlfn.XLOOKUP(A2473,MktTitle,MktCat,"n/a")</f>
        <v/>
      </c>
      <c r="J2473" s="3">
        <f>_xlfn.XLOOKUP(A2473,MktTitle,MktTotVol,0)</f>
        <v/>
      </c>
      <c r="K2473">
        <f>IF(H2473&gt;WhaleThreshold,"WHALE","")</f>
        <v/>
      </c>
    </row>
    <row r="2474">
      <c r="A2474" t="inlineStr">
        <is>
          <t>Will Canada win the 2026 FIFA World Cup?</t>
        </is>
      </c>
      <c r="B2474" s="4" t="n">
        <v>46206</v>
      </c>
      <c r="C2474" s="5" t="n">
        <v>46206.01248842593</v>
      </c>
      <c r="D2474" t="inlineStr">
        <is>
          <t>BUY</t>
        </is>
      </c>
      <c r="E2474" t="inlineStr">
        <is>
          <t>No</t>
        </is>
      </c>
      <c r="F2474" s="2" t="n">
        <v>0.998</v>
      </c>
      <c r="G2474" s="6" t="n">
        <v>33.076</v>
      </c>
      <c r="H2474" s="6">
        <f>F2474*G2474</f>
        <v/>
      </c>
      <c r="I2474">
        <f>_xlfn.XLOOKUP(A2474,MktTitle,MktCat,"n/a")</f>
        <v/>
      </c>
      <c r="J2474" s="3">
        <f>_xlfn.XLOOKUP(A2474,MktTitle,MktTotVol,0)</f>
        <v/>
      </c>
      <c r="K2474">
        <f>IF(H2474&gt;WhaleThreshold,"WHALE","")</f>
        <v/>
      </c>
    </row>
    <row r="2475">
      <c r="A2475" t="inlineStr">
        <is>
          <t>Will Canada win the 2026 FIFA World Cup?</t>
        </is>
      </c>
      <c r="B2475" s="4" t="n">
        <v>46206</v>
      </c>
      <c r="C2475" s="5" t="n">
        <v>46206.00894675926</v>
      </c>
      <c r="D2475" t="inlineStr">
        <is>
          <t>SELL</t>
        </is>
      </c>
      <c r="E2475" t="inlineStr">
        <is>
          <t>No</t>
        </is>
      </c>
      <c r="F2475" s="2" t="n">
        <v>0.997</v>
      </c>
      <c r="G2475" s="6" t="n">
        <v>34.06</v>
      </c>
      <c r="H2475" s="6">
        <f>F2475*G2475</f>
        <v/>
      </c>
      <c r="I2475">
        <f>_xlfn.XLOOKUP(A2475,MktTitle,MktCat,"n/a")</f>
        <v/>
      </c>
      <c r="J2475" s="3">
        <f>_xlfn.XLOOKUP(A2475,MktTitle,MktTotVol,0)</f>
        <v/>
      </c>
      <c r="K2475">
        <f>IF(H2475&gt;WhaleThreshold,"WHALE","")</f>
        <v/>
      </c>
    </row>
    <row r="2476">
      <c r="A2476" t="inlineStr">
        <is>
          <t>Will Canada win the 2026 FIFA World Cup?</t>
        </is>
      </c>
      <c r="B2476" s="4" t="n">
        <v>46206</v>
      </c>
      <c r="C2476" s="5" t="n">
        <v>46206.00540509259</v>
      </c>
      <c r="D2476" t="inlineStr">
        <is>
          <t>BUY</t>
        </is>
      </c>
      <c r="E2476" t="inlineStr">
        <is>
          <t>No</t>
        </is>
      </c>
      <c r="F2476" s="2" t="n">
        <v>0.998</v>
      </c>
      <c r="G2476" s="6" t="n">
        <v>33</v>
      </c>
      <c r="H2476" s="6">
        <f>F2476*G2476</f>
        <v/>
      </c>
      <c r="I2476">
        <f>_xlfn.XLOOKUP(A2476,MktTitle,MktCat,"n/a")</f>
        <v/>
      </c>
      <c r="J2476" s="3">
        <f>_xlfn.XLOOKUP(A2476,MktTitle,MktTotVol,0)</f>
        <v/>
      </c>
      <c r="K2476">
        <f>IF(H2476&gt;WhaleThreshold,"WHALE","")</f>
        <v/>
      </c>
    </row>
    <row r="2477">
      <c r="A2477" t="inlineStr">
        <is>
          <t>Will Canada win the 2026 FIFA World Cup?</t>
        </is>
      </c>
      <c r="B2477" s="4" t="n">
        <v>46206</v>
      </c>
      <c r="C2477" s="5" t="n">
        <v>46206.00314814815</v>
      </c>
      <c r="D2477" t="inlineStr">
        <is>
          <t>SELL</t>
        </is>
      </c>
      <c r="E2477" t="inlineStr">
        <is>
          <t>No</t>
        </is>
      </c>
      <c r="F2477" s="2" t="n">
        <v>0.997</v>
      </c>
      <c r="G2477" s="6" t="n">
        <v>11.02</v>
      </c>
      <c r="H2477" s="6">
        <f>F2477*G2477</f>
        <v/>
      </c>
      <c r="I2477">
        <f>_xlfn.XLOOKUP(A2477,MktTitle,MktCat,"n/a")</f>
        <v/>
      </c>
      <c r="J2477" s="3">
        <f>_xlfn.XLOOKUP(A2477,MktTitle,MktTotVol,0)</f>
        <v/>
      </c>
      <c r="K2477">
        <f>IF(H2477&gt;WhaleThreshold,"WHALE","")</f>
        <v/>
      </c>
    </row>
    <row r="2478">
      <c r="A2478" t="inlineStr">
        <is>
          <t>Will Canada win the 2026 FIFA World Cup?</t>
        </is>
      </c>
      <c r="B2478" s="4" t="n">
        <v>46205</v>
      </c>
      <c r="C2478" s="5" t="n">
        <v>46205.9962037037</v>
      </c>
      <c r="D2478" t="inlineStr">
        <is>
          <t>BUY</t>
        </is>
      </c>
      <c r="E2478" t="inlineStr">
        <is>
          <t>Yes</t>
        </is>
      </c>
      <c r="F2478" s="2" t="n">
        <v>0.003</v>
      </c>
      <c r="G2478" s="6" t="n">
        <v>4453.3333</v>
      </c>
      <c r="H2478" s="6">
        <f>F2478*G2478</f>
        <v/>
      </c>
      <c r="I2478">
        <f>_xlfn.XLOOKUP(A2478,MktTitle,MktCat,"n/a")</f>
        <v/>
      </c>
      <c r="J2478" s="3">
        <f>_xlfn.XLOOKUP(A2478,MktTitle,MktTotVol,0)</f>
        <v/>
      </c>
      <c r="K2478">
        <f>IF(H2478&gt;WhaleThreshold,"WHALE","")</f>
        <v/>
      </c>
    </row>
    <row r="2479">
      <c r="A2479" t="inlineStr">
        <is>
          <t>Will Canada win the 2026 FIFA World Cup?</t>
        </is>
      </c>
      <c r="B2479" s="4" t="n">
        <v>46205</v>
      </c>
      <c r="C2479" s="5" t="n">
        <v>46205.99608796297</v>
      </c>
      <c r="D2479" t="inlineStr">
        <is>
          <t>BUY</t>
        </is>
      </c>
      <c r="E2479" t="inlineStr">
        <is>
          <t>No</t>
        </is>
      </c>
      <c r="F2479" s="2" t="n">
        <v>0.998</v>
      </c>
      <c r="G2479" s="6" t="n">
        <v>35.24</v>
      </c>
      <c r="H2479" s="6">
        <f>F2479*G2479</f>
        <v/>
      </c>
      <c r="I2479">
        <f>_xlfn.XLOOKUP(A2479,MktTitle,MktCat,"n/a")</f>
        <v/>
      </c>
      <c r="J2479" s="3">
        <f>_xlfn.XLOOKUP(A2479,MktTitle,MktTotVol,0)</f>
        <v/>
      </c>
      <c r="K2479">
        <f>IF(H2479&gt;WhaleThreshold,"WHALE","")</f>
        <v/>
      </c>
    </row>
    <row r="2480">
      <c r="A2480" t="inlineStr">
        <is>
          <t>Will Canada win the 2026 FIFA World Cup?</t>
        </is>
      </c>
      <c r="B2480" s="4" t="n">
        <v>46205</v>
      </c>
      <c r="C2480" s="5" t="n">
        <v>46205.98984953704</v>
      </c>
      <c r="D2480" t="inlineStr">
        <is>
          <t>SELL</t>
        </is>
      </c>
      <c r="E2480" t="inlineStr">
        <is>
          <t>No</t>
        </is>
      </c>
      <c r="F2480" s="2" t="n">
        <v>0.997</v>
      </c>
      <c r="G2480" s="6" t="n">
        <v>12.02</v>
      </c>
      <c r="H2480" s="6">
        <f>F2480*G2480</f>
        <v/>
      </c>
      <c r="I2480">
        <f>_xlfn.XLOOKUP(A2480,MktTitle,MktCat,"n/a")</f>
        <v/>
      </c>
      <c r="J2480" s="3">
        <f>_xlfn.XLOOKUP(A2480,MktTitle,MktTotVol,0)</f>
        <v/>
      </c>
      <c r="K2480">
        <f>IF(H2480&gt;WhaleThreshold,"WHALE","")</f>
        <v/>
      </c>
    </row>
    <row r="2481">
      <c r="A2481" t="inlineStr">
        <is>
          <t>Will Canada win the 2026 FIFA World Cup?</t>
        </is>
      </c>
      <c r="B2481" s="4" t="n">
        <v>46205</v>
      </c>
      <c r="C2481" s="5" t="n">
        <v>46205.98474537037</v>
      </c>
      <c r="D2481" t="inlineStr">
        <is>
          <t>BUY</t>
        </is>
      </c>
      <c r="E2481" t="inlineStr">
        <is>
          <t>No</t>
        </is>
      </c>
      <c r="F2481" s="2" t="n">
        <v>0.998</v>
      </c>
      <c r="G2481" s="6" t="n">
        <v>87</v>
      </c>
      <c r="H2481" s="6">
        <f>F2481*G2481</f>
        <v/>
      </c>
      <c r="I2481">
        <f>_xlfn.XLOOKUP(A2481,MktTitle,MktCat,"n/a")</f>
        <v/>
      </c>
      <c r="J2481" s="3">
        <f>_xlfn.XLOOKUP(A2481,MktTitle,MktTotVol,0)</f>
        <v/>
      </c>
      <c r="K2481">
        <f>IF(H2481&gt;WhaleThreshold,"WHALE","")</f>
        <v/>
      </c>
    </row>
    <row r="2482">
      <c r="A2482" t="inlineStr">
        <is>
          <t>Will Canada win the 2026 FIFA World Cup?</t>
        </is>
      </c>
      <c r="B2482" s="4" t="n">
        <v>46205</v>
      </c>
      <c r="C2482" s="5" t="n">
        <v>46205.97960648148</v>
      </c>
      <c r="D2482" t="inlineStr">
        <is>
          <t>BUY</t>
        </is>
      </c>
      <c r="E2482" t="inlineStr">
        <is>
          <t>No</t>
        </is>
      </c>
      <c r="F2482" s="2" t="n">
        <v>0.998</v>
      </c>
      <c r="G2482" s="6" t="n">
        <v>37.054</v>
      </c>
      <c r="H2482" s="6">
        <f>F2482*G2482</f>
        <v/>
      </c>
      <c r="I2482">
        <f>_xlfn.XLOOKUP(A2482,MktTitle,MktCat,"n/a")</f>
        <v/>
      </c>
      <c r="J2482" s="3">
        <f>_xlfn.XLOOKUP(A2482,MktTitle,MktTotVol,0)</f>
        <v/>
      </c>
      <c r="K2482">
        <f>IF(H2482&gt;WhaleThreshold,"WHALE","")</f>
        <v/>
      </c>
    </row>
    <row r="2483">
      <c r="A2483" t="inlineStr">
        <is>
          <t>Will Canada win the 2026 FIFA World Cup?</t>
        </is>
      </c>
      <c r="B2483" s="4" t="n">
        <v>46205</v>
      </c>
      <c r="C2483" s="5" t="n">
        <v>46205.97596064815</v>
      </c>
      <c r="D2483" t="inlineStr">
        <is>
          <t>SELL</t>
        </is>
      </c>
      <c r="E2483" t="inlineStr">
        <is>
          <t>No</t>
        </is>
      </c>
      <c r="F2483" s="2" t="n">
        <v>0.997</v>
      </c>
      <c r="G2483" s="6" t="n">
        <v>25.53</v>
      </c>
      <c r="H2483" s="6">
        <f>F2483*G2483</f>
        <v/>
      </c>
      <c r="I2483">
        <f>_xlfn.XLOOKUP(A2483,MktTitle,MktCat,"n/a")</f>
        <v/>
      </c>
      <c r="J2483" s="3">
        <f>_xlfn.XLOOKUP(A2483,MktTitle,MktTotVol,0)</f>
        <v/>
      </c>
      <c r="K2483">
        <f>IF(H2483&gt;WhaleThreshold,"WHALE","")</f>
        <v/>
      </c>
    </row>
    <row r="2484">
      <c r="A2484" t="inlineStr">
        <is>
          <t>Will Canada win the 2026 FIFA World Cup?</t>
        </is>
      </c>
      <c r="B2484" s="4" t="n">
        <v>46205</v>
      </c>
      <c r="C2484" s="5" t="n">
        <v>46205.97596064815</v>
      </c>
      <c r="D2484" t="inlineStr">
        <is>
          <t>SELL</t>
        </is>
      </c>
      <c r="E2484" t="inlineStr">
        <is>
          <t>No</t>
        </is>
      </c>
      <c r="F2484" s="2" t="n">
        <v>0.997</v>
      </c>
      <c r="G2484" s="6" t="n">
        <v>24.04</v>
      </c>
      <c r="H2484" s="6">
        <f>F2484*G2484</f>
        <v/>
      </c>
      <c r="I2484">
        <f>_xlfn.XLOOKUP(A2484,MktTitle,MktCat,"n/a")</f>
        <v/>
      </c>
      <c r="J2484" s="3">
        <f>_xlfn.XLOOKUP(A2484,MktTitle,MktTotVol,0)</f>
        <v/>
      </c>
      <c r="K2484">
        <f>IF(H2484&gt;WhaleThreshold,"WHALE","")</f>
        <v/>
      </c>
    </row>
    <row r="2485">
      <c r="A2485" t="inlineStr">
        <is>
          <t>Will Canada win the 2026 FIFA World Cup?</t>
        </is>
      </c>
      <c r="B2485" s="4" t="n">
        <v>46205</v>
      </c>
      <c r="C2485" s="5" t="n">
        <v>46205.97578703704</v>
      </c>
      <c r="D2485" t="inlineStr">
        <is>
          <t>BUY</t>
        </is>
      </c>
      <c r="E2485" t="inlineStr">
        <is>
          <t>No</t>
        </is>
      </c>
      <c r="F2485" s="2" t="n">
        <v>0.998</v>
      </c>
      <c r="G2485" s="6" t="n">
        <v>51.86</v>
      </c>
      <c r="H2485" s="6">
        <f>F2485*G2485</f>
        <v/>
      </c>
      <c r="I2485">
        <f>_xlfn.XLOOKUP(A2485,MktTitle,MktCat,"n/a")</f>
        <v/>
      </c>
      <c r="J2485" s="3">
        <f>_xlfn.XLOOKUP(A2485,MktTitle,MktTotVol,0)</f>
        <v/>
      </c>
      <c r="K2485">
        <f>IF(H2485&gt;WhaleThreshold,"WHALE","")</f>
        <v/>
      </c>
    </row>
    <row r="2486">
      <c r="A2486" t="inlineStr">
        <is>
          <t>Will Canada win the 2026 FIFA World Cup?</t>
        </is>
      </c>
      <c r="B2486" s="4" t="n">
        <v>46205</v>
      </c>
      <c r="C2486" s="5" t="n">
        <v>46205.97574074074</v>
      </c>
      <c r="D2486" t="inlineStr">
        <is>
          <t>BUY</t>
        </is>
      </c>
      <c r="E2486" t="inlineStr">
        <is>
          <t>No</t>
        </is>
      </c>
      <c r="F2486" s="2" t="n">
        <v>0.998</v>
      </c>
      <c r="G2486" s="6" t="n">
        <v>25.2</v>
      </c>
      <c r="H2486" s="6">
        <f>F2486*G2486</f>
        <v/>
      </c>
      <c r="I2486">
        <f>_xlfn.XLOOKUP(A2486,MktTitle,MktCat,"n/a")</f>
        <v/>
      </c>
      <c r="J2486" s="3">
        <f>_xlfn.XLOOKUP(A2486,MktTitle,MktTotVol,0)</f>
        <v/>
      </c>
      <c r="K2486">
        <f>IF(H2486&gt;WhaleThreshold,"WHALE","")</f>
        <v/>
      </c>
    </row>
    <row r="2487">
      <c r="A2487" t="inlineStr">
        <is>
          <t>Will Canada win the 2026 FIFA World Cup?</t>
        </is>
      </c>
      <c r="B2487" s="4" t="n">
        <v>46205</v>
      </c>
      <c r="C2487" s="5" t="n">
        <v>46205.97571759259</v>
      </c>
      <c r="D2487" t="inlineStr">
        <is>
          <t>BUY</t>
        </is>
      </c>
      <c r="E2487" t="inlineStr">
        <is>
          <t>No</t>
        </is>
      </c>
      <c r="F2487" s="2" t="n">
        <v>0.998</v>
      </c>
      <c r="G2487" s="6" t="n">
        <v>50.3</v>
      </c>
      <c r="H2487" s="6">
        <f>F2487*G2487</f>
        <v/>
      </c>
      <c r="I2487">
        <f>_xlfn.XLOOKUP(A2487,MktTitle,MktCat,"n/a")</f>
        <v/>
      </c>
      <c r="J2487" s="3">
        <f>_xlfn.XLOOKUP(A2487,MktTitle,MktTotVol,0)</f>
        <v/>
      </c>
      <c r="K2487">
        <f>IF(H2487&gt;WhaleThreshold,"WHALE","")</f>
        <v/>
      </c>
    </row>
    <row r="2488">
      <c r="A2488" t="inlineStr">
        <is>
          <t>Will Canada win the 2026 FIFA World Cup?</t>
        </is>
      </c>
      <c r="B2488" s="4" t="n">
        <v>46205</v>
      </c>
      <c r="C2488" s="5" t="n">
        <v>46205.97571759259</v>
      </c>
      <c r="D2488" t="inlineStr">
        <is>
          <t>BUY</t>
        </is>
      </c>
      <c r="E2488" t="inlineStr">
        <is>
          <t>No</t>
        </is>
      </c>
      <c r="F2488" s="2" t="n">
        <v>0.998</v>
      </c>
      <c r="G2488" s="6" t="n">
        <v>2.95</v>
      </c>
      <c r="H2488" s="6">
        <f>F2488*G2488</f>
        <v/>
      </c>
      <c r="I2488">
        <f>_xlfn.XLOOKUP(A2488,MktTitle,MktCat,"n/a")</f>
        <v/>
      </c>
      <c r="J2488" s="3">
        <f>_xlfn.XLOOKUP(A2488,MktTitle,MktTotVol,0)</f>
        <v/>
      </c>
      <c r="K2488">
        <f>IF(H2488&gt;WhaleThreshold,"WHALE","")</f>
        <v/>
      </c>
    </row>
    <row r="2489">
      <c r="A2489" t="inlineStr">
        <is>
          <t>Will Canada win the 2026 FIFA World Cup?</t>
        </is>
      </c>
      <c r="B2489" s="4" t="n">
        <v>46205</v>
      </c>
      <c r="C2489" s="5" t="n">
        <v>46205.97568287037</v>
      </c>
      <c r="D2489" t="inlineStr">
        <is>
          <t>BUY</t>
        </is>
      </c>
      <c r="E2489" t="inlineStr">
        <is>
          <t>No</t>
        </is>
      </c>
      <c r="F2489" s="2" t="n">
        <v>0.998</v>
      </c>
      <c r="G2489" s="6" t="n">
        <v>25.531</v>
      </c>
      <c r="H2489" s="6">
        <f>F2489*G2489</f>
        <v/>
      </c>
      <c r="I2489">
        <f>_xlfn.XLOOKUP(A2489,MktTitle,MktCat,"n/a")</f>
        <v/>
      </c>
      <c r="J2489" s="3">
        <f>_xlfn.XLOOKUP(A2489,MktTitle,MktTotVol,0)</f>
        <v/>
      </c>
      <c r="K2489">
        <f>IF(H2489&gt;WhaleThreshold,"WHALE","")</f>
        <v/>
      </c>
    </row>
    <row r="2490">
      <c r="A2490" t="inlineStr">
        <is>
          <t>Will Canada win the 2026 FIFA World Cup?</t>
        </is>
      </c>
      <c r="B2490" s="4" t="n">
        <v>46205</v>
      </c>
      <c r="C2490" s="5" t="n">
        <v>46205.97564814815</v>
      </c>
      <c r="D2490" t="inlineStr">
        <is>
          <t>BUY</t>
        </is>
      </c>
      <c r="E2490" t="inlineStr">
        <is>
          <t>No</t>
        </is>
      </c>
      <c r="F2490" s="2" t="n">
        <v>0.998</v>
      </c>
      <c r="G2490" s="6" t="n">
        <v>37.074</v>
      </c>
      <c r="H2490" s="6">
        <f>F2490*G2490</f>
        <v/>
      </c>
      <c r="I2490">
        <f>_xlfn.XLOOKUP(A2490,MktTitle,MktCat,"n/a")</f>
        <v/>
      </c>
      <c r="J2490" s="3">
        <f>_xlfn.XLOOKUP(A2490,MktTitle,MktTotVol,0)</f>
        <v/>
      </c>
      <c r="K2490">
        <f>IF(H2490&gt;WhaleThreshold,"WHALE","")</f>
        <v/>
      </c>
    </row>
    <row r="2491">
      <c r="A2491" t="inlineStr">
        <is>
          <t>Will Canada win the 2026 FIFA World Cup?</t>
        </is>
      </c>
      <c r="B2491" s="4" t="n">
        <v>46205</v>
      </c>
      <c r="C2491" s="5" t="n">
        <v>46205.97532407408</v>
      </c>
      <c r="D2491" t="inlineStr">
        <is>
          <t>BUY</t>
        </is>
      </c>
      <c r="E2491" t="inlineStr">
        <is>
          <t>No</t>
        </is>
      </c>
      <c r="F2491" s="2" t="n">
        <v>0.998</v>
      </c>
      <c r="G2491" s="6" t="n">
        <v>2.99</v>
      </c>
      <c r="H2491" s="6">
        <f>F2491*G2491</f>
        <v/>
      </c>
      <c r="I2491">
        <f>_xlfn.XLOOKUP(A2491,MktTitle,MktCat,"n/a")</f>
        <v/>
      </c>
      <c r="J2491" s="3">
        <f>_xlfn.XLOOKUP(A2491,MktTitle,MktTotVol,0)</f>
        <v/>
      </c>
      <c r="K2491">
        <f>IF(H2491&gt;WhaleThreshold,"WHALE","")</f>
        <v/>
      </c>
    </row>
    <row r="2492">
      <c r="A2492" t="inlineStr">
        <is>
          <t>Will Canada win the 2026 FIFA World Cup?</t>
        </is>
      </c>
      <c r="B2492" s="4" t="n">
        <v>46205</v>
      </c>
      <c r="C2492" s="5" t="n">
        <v>46205.97530092593</v>
      </c>
      <c r="D2492" t="inlineStr">
        <is>
          <t>BUY</t>
        </is>
      </c>
      <c r="E2492" t="inlineStr">
        <is>
          <t>No</t>
        </is>
      </c>
      <c r="F2492" s="2" t="n">
        <v>0.998</v>
      </c>
      <c r="G2492" s="6" t="n">
        <v>24.6</v>
      </c>
      <c r="H2492" s="6">
        <f>F2492*G2492</f>
        <v/>
      </c>
      <c r="I2492">
        <f>_xlfn.XLOOKUP(A2492,MktTitle,MktCat,"n/a")</f>
        <v/>
      </c>
      <c r="J2492" s="3">
        <f>_xlfn.XLOOKUP(A2492,MktTitle,MktTotVol,0)</f>
        <v/>
      </c>
      <c r="K2492">
        <f>IF(H2492&gt;WhaleThreshold,"WHALE","")</f>
        <v/>
      </c>
    </row>
    <row r="2493">
      <c r="A2493" t="inlineStr">
        <is>
          <t>Will Canada win the 2026 FIFA World Cup?</t>
        </is>
      </c>
      <c r="B2493" s="4" t="n">
        <v>46205</v>
      </c>
      <c r="C2493" s="5" t="n">
        <v>46205.97528935185</v>
      </c>
      <c r="D2493" t="inlineStr">
        <is>
          <t>BUY</t>
        </is>
      </c>
      <c r="E2493" t="inlineStr">
        <is>
          <t>No</t>
        </is>
      </c>
      <c r="F2493" s="2" t="n">
        <v>0.998</v>
      </c>
      <c r="G2493" s="6" t="n">
        <v>49.2</v>
      </c>
      <c r="H2493" s="6">
        <f>F2493*G2493</f>
        <v/>
      </c>
      <c r="I2493">
        <f>_xlfn.XLOOKUP(A2493,MktTitle,MktCat,"n/a")</f>
        <v/>
      </c>
      <c r="J2493" s="3">
        <f>_xlfn.XLOOKUP(A2493,MktTitle,MktTotVol,0)</f>
        <v/>
      </c>
      <c r="K2493">
        <f>IF(H2493&gt;WhaleThreshold,"WHALE","")</f>
        <v/>
      </c>
    </row>
    <row r="2494">
      <c r="A2494" t="inlineStr">
        <is>
          <t>Will Canada win the 2026 FIFA World Cup?</t>
        </is>
      </c>
      <c r="B2494" s="4" t="n">
        <v>46205</v>
      </c>
      <c r="C2494" s="5" t="n">
        <v>46205.97525462963</v>
      </c>
      <c r="D2494" t="inlineStr">
        <is>
          <t>BUY</t>
        </is>
      </c>
      <c r="E2494" t="inlineStr">
        <is>
          <t>No</t>
        </is>
      </c>
      <c r="F2494" s="2" t="n">
        <v>0.998</v>
      </c>
      <c r="G2494" s="6" t="n">
        <v>55.02</v>
      </c>
      <c r="H2494" s="6">
        <f>F2494*G2494</f>
        <v/>
      </c>
      <c r="I2494">
        <f>_xlfn.XLOOKUP(A2494,MktTitle,MktCat,"n/a")</f>
        <v/>
      </c>
      <c r="J2494" s="3">
        <f>_xlfn.XLOOKUP(A2494,MktTitle,MktTotVol,0)</f>
        <v/>
      </c>
      <c r="K2494">
        <f>IF(H2494&gt;WhaleThreshold,"WHALE","")</f>
        <v/>
      </c>
    </row>
    <row r="2495">
      <c r="A2495" t="inlineStr">
        <is>
          <t>Will Canada win the 2026 FIFA World Cup?</t>
        </is>
      </c>
      <c r="B2495" s="4" t="n">
        <v>46205</v>
      </c>
      <c r="C2495" s="5" t="n">
        <v>46205.97518518518</v>
      </c>
      <c r="D2495" t="inlineStr">
        <is>
          <t>BUY</t>
        </is>
      </c>
      <c r="E2495" t="inlineStr">
        <is>
          <t>No</t>
        </is>
      </c>
      <c r="F2495" s="2" t="n">
        <v>0.998</v>
      </c>
      <c r="G2495" s="6" t="n">
        <v>10</v>
      </c>
      <c r="H2495" s="6">
        <f>F2495*G2495</f>
        <v/>
      </c>
      <c r="I2495">
        <f>_xlfn.XLOOKUP(A2495,MktTitle,MktCat,"n/a")</f>
        <v/>
      </c>
      <c r="J2495" s="3">
        <f>_xlfn.XLOOKUP(A2495,MktTitle,MktTotVol,0)</f>
        <v/>
      </c>
      <c r="K2495">
        <f>IF(H2495&gt;WhaleThreshold,"WHALE","")</f>
        <v/>
      </c>
    </row>
    <row r="2496">
      <c r="A2496" t="inlineStr">
        <is>
          <t>Will Canada win the 2026 FIFA World Cup?</t>
        </is>
      </c>
      <c r="B2496" s="4" t="n">
        <v>46205</v>
      </c>
      <c r="C2496" s="5" t="n">
        <v>46205.97518518518</v>
      </c>
      <c r="D2496" t="inlineStr">
        <is>
          <t>BUY</t>
        </is>
      </c>
      <c r="E2496" t="inlineStr">
        <is>
          <t>No</t>
        </is>
      </c>
      <c r="F2496" s="2" t="n">
        <v>0.998</v>
      </c>
      <c r="G2496" s="6" t="n">
        <v>3.15</v>
      </c>
      <c r="H2496" s="6">
        <f>F2496*G2496</f>
        <v/>
      </c>
      <c r="I2496">
        <f>_xlfn.XLOOKUP(A2496,MktTitle,MktCat,"n/a")</f>
        <v/>
      </c>
      <c r="J2496" s="3">
        <f>_xlfn.XLOOKUP(A2496,MktTitle,MktTotVol,0)</f>
        <v/>
      </c>
      <c r="K2496">
        <f>IF(H2496&gt;WhaleThreshold,"WHALE","")</f>
        <v/>
      </c>
    </row>
    <row r="2497">
      <c r="A2497" t="inlineStr">
        <is>
          <t>Will Canada win the 2026 FIFA World Cup?</t>
        </is>
      </c>
      <c r="B2497" s="4" t="n">
        <v>46205</v>
      </c>
      <c r="C2497" s="5" t="n">
        <v>46205.97515046296</v>
      </c>
      <c r="D2497" t="inlineStr">
        <is>
          <t>BUY</t>
        </is>
      </c>
      <c r="E2497" t="inlineStr">
        <is>
          <t>No</t>
        </is>
      </c>
      <c r="F2497" s="2" t="n">
        <v>0.998</v>
      </c>
      <c r="G2497" s="6" t="n">
        <v>90</v>
      </c>
      <c r="H2497" s="6">
        <f>F2497*G2497</f>
        <v/>
      </c>
      <c r="I2497">
        <f>_xlfn.XLOOKUP(A2497,MktTitle,MktCat,"n/a")</f>
        <v/>
      </c>
      <c r="J2497" s="3">
        <f>_xlfn.XLOOKUP(A2497,MktTitle,MktTotVol,0)</f>
        <v/>
      </c>
      <c r="K2497">
        <f>IF(H2497&gt;WhaleThreshold,"WHALE","")</f>
        <v/>
      </c>
    </row>
    <row r="2498">
      <c r="A2498" t="inlineStr">
        <is>
          <t>Will Canada win the 2026 FIFA World Cup?</t>
        </is>
      </c>
      <c r="B2498" s="4" t="n">
        <v>46205</v>
      </c>
      <c r="C2498" s="5" t="n">
        <v>46205.97512731481</v>
      </c>
      <c r="D2498" t="inlineStr">
        <is>
          <t>BUY</t>
        </is>
      </c>
      <c r="E2498" t="inlineStr">
        <is>
          <t>No</t>
        </is>
      </c>
      <c r="F2498" s="2" t="n">
        <v>0.998</v>
      </c>
      <c r="G2498" s="6" t="n">
        <v>24.9</v>
      </c>
      <c r="H2498" s="6">
        <f>F2498*G2498</f>
        <v/>
      </c>
      <c r="I2498">
        <f>_xlfn.XLOOKUP(A2498,MktTitle,MktCat,"n/a")</f>
        <v/>
      </c>
      <c r="J2498" s="3">
        <f>_xlfn.XLOOKUP(A2498,MktTitle,MktTotVol,0)</f>
        <v/>
      </c>
      <c r="K2498">
        <f>IF(H2498&gt;WhaleThreshold,"WHALE","")</f>
        <v/>
      </c>
    </row>
    <row r="2499">
      <c r="A2499" t="inlineStr">
        <is>
          <t>Will Canada win the 2026 FIFA World Cup?</t>
        </is>
      </c>
      <c r="B2499" s="4" t="n">
        <v>46205</v>
      </c>
      <c r="C2499" s="5" t="n">
        <v>46205.97512731481</v>
      </c>
      <c r="D2499" t="inlineStr">
        <is>
          <t>BUY</t>
        </is>
      </c>
      <c r="E2499" t="inlineStr">
        <is>
          <t>No</t>
        </is>
      </c>
      <c r="F2499" s="2" t="n">
        <v>0.998</v>
      </c>
      <c r="G2499" s="6" t="n">
        <v>110</v>
      </c>
      <c r="H2499" s="6">
        <f>F2499*G2499</f>
        <v/>
      </c>
      <c r="I2499">
        <f>_xlfn.XLOOKUP(A2499,MktTitle,MktCat,"n/a")</f>
        <v/>
      </c>
      <c r="J2499" s="3">
        <f>_xlfn.XLOOKUP(A2499,MktTitle,MktTotVol,0)</f>
        <v/>
      </c>
      <c r="K2499">
        <f>IF(H2499&gt;WhaleThreshold,"WHALE","")</f>
        <v/>
      </c>
    </row>
    <row r="2500">
      <c r="A2500" t="inlineStr">
        <is>
          <t>Will Canada win the 2026 FIFA World Cup?</t>
        </is>
      </c>
      <c r="B2500" s="4" t="n">
        <v>46205</v>
      </c>
      <c r="C2500" s="5" t="n">
        <v>46205.97512731481</v>
      </c>
      <c r="D2500" t="inlineStr">
        <is>
          <t>BUY</t>
        </is>
      </c>
      <c r="E2500" t="inlineStr">
        <is>
          <t>No</t>
        </is>
      </c>
      <c r="F2500" s="2" t="n">
        <v>0.998</v>
      </c>
      <c r="G2500" s="6" t="n">
        <v>110</v>
      </c>
      <c r="H2500" s="6">
        <f>F2500*G2500</f>
        <v/>
      </c>
      <c r="I2500">
        <f>_xlfn.XLOOKUP(A2500,MktTitle,MktCat,"n/a")</f>
        <v/>
      </c>
      <c r="J2500" s="3">
        <f>_xlfn.XLOOKUP(A2500,MktTitle,MktTotVol,0)</f>
        <v/>
      </c>
      <c r="K2500">
        <f>IF(H2500&gt;WhaleThreshold,"WHALE","")</f>
        <v/>
      </c>
    </row>
    <row r="2501">
      <c r="A2501" t="inlineStr">
        <is>
          <t>Will Canada win the 2026 FIFA World Cup?</t>
        </is>
      </c>
      <c r="B2501" s="4" t="n">
        <v>46205</v>
      </c>
      <c r="C2501" s="5" t="n">
        <v>46205.97511574074</v>
      </c>
      <c r="D2501" t="inlineStr">
        <is>
          <t>BUY</t>
        </is>
      </c>
      <c r="E2501" t="inlineStr">
        <is>
          <t>No</t>
        </is>
      </c>
      <c r="F2501" s="2" t="n">
        <v>0.998</v>
      </c>
      <c r="G2501" s="6" t="n">
        <v>110</v>
      </c>
      <c r="H2501" s="6">
        <f>F2501*G2501</f>
        <v/>
      </c>
      <c r="I2501">
        <f>_xlfn.XLOOKUP(A2501,MktTitle,MktCat,"n/a")</f>
        <v/>
      </c>
      <c r="J2501" s="3">
        <f>_xlfn.XLOOKUP(A2501,MktTitle,MktTotVol,0)</f>
        <v/>
      </c>
      <c r="K2501">
        <f>IF(H2501&gt;WhaleThreshold,"WHALE","")</f>
        <v/>
      </c>
    </row>
    <row r="2502">
      <c r="A2502" t="inlineStr">
        <is>
          <t>Will Canada win the 2026 FIFA World Cup?</t>
        </is>
      </c>
      <c r="B2502" s="4" t="n">
        <v>46205</v>
      </c>
      <c r="C2502" s="5" t="n">
        <v>46205.97511574074</v>
      </c>
      <c r="D2502" t="inlineStr">
        <is>
          <t>BUY</t>
        </is>
      </c>
      <c r="E2502" t="inlineStr">
        <is>
          <t>No</t>
        </is>
      </c>
      <c r="F2502" s="2" t="n">
        <v>0.998</v>
      </c>
      <c r="G2502" s="6" t="n">
        <v>49.8</v>
      </c>
      <c r="H2502" s="6">
        <f>F2502*G2502</f>
        <v/>
      </c>
      <c r="I2502">
        <f>_xlfn.XLOOKUP(A2502,MktTitle,MktCat,"n/a")</f>
        <v/>
      </c>
      <c r="J2502" s="3">
        <f>_xlfn.XLOOKUP(A2502,MktTitle,MktTotVol,0)</f>
        <v/>
      </c>
      <c r="K2502">
        <f>IF(H2502&gt;WhaleThreshold,"WHALE","")</f>
        <v/>
      </c>
    </row>
    <row r="2503">
      <c r="A2503" t="inlineStr">
        <is>
          <t>Will Canada win the 2026 FIFA World Cup?</t>
        </is>
      </c>
      <c r="B2503" s="4" t="n">
        <v>46205</v>
      </c>
      <c r="C2503" s="5" t="n">
        <v>46205.97511574074</v>
      </c>
      <c r="D2503" t="inlineStr">
        <is>
          <t>BUY</t>
        </is>
      </c>
      <c r="E2503" t="inlineStr">
        <is>
          <t>No</t>
        </is>
      </c>
      <c r="F2503" s="2" t="n">
        <v>0.998</v>
      </c>
      <c r="G2503" s="6" t="n">
        <v>58.02</v>
      </c>
      <c r="H2503" s="6">
        <f>F2503*G2503</f>
        <v/>
      </c>
      <c r="I2503">
        <f>_xlfn.XLOOKUP(A2503,MktTitle,MktCat,"n/a")</f>
        <v/>
      </c>
      <c r="J2503" s="3">
        <f>_xlfn.XLOOKUP(A2503,MktTitle,MktTotVol,0)</f>
        <v/>
      </c>
      <c r="K2503">
        <f>IF(H2503&gt;WhaleThreshold,"WHALE","")</f>
        <v/>
      </c>
    </row>
    <row r="2504">
      <c r="A2504" t="inlineStr">
        <is>
          <t>Will Canada win the 2026 FIFA World Cup?</t>
        </is>
      </c>
      <c r="B2504" s="4" t="n">
        <v>46205</v>
      </c>
      <c r="C2504" s="5" t="n">
        <v>46205.97509259259</v>
      </c>
      <c r="D2504" t="inlineStr">
        <is>
          <t>BUY</t>
        </is>
      </c>
      <c r="E2504" t="inlineStr">
        <is>
          <t>No</t>
        </is>
      </c>
      <c r="F2504" s="2" t="n">
        <v>0.998</v>
      </c>
      <c r="G2504" s="6" t="n">
        <v>110</v>
      </c>
      <c r="H2504" s="6">
        <f>F2504*G2504</f>
        <v/>
      </c>
      <c r="I2504">
        <f>_xlfn.XLOOKUP(A2504,MktTitle,MktCat,"n/a")</f>
        <v/>
      </c>
      <c r="J2504" s="3">
        <f>_xlfn.XLOOKUP(A2504,MktTitle,MktTotVol,0)</f>
        <v/>
      </c>
      <c r="K2504">
        <f>IF(H2504&gt;WhaleThreshold,"WHALE","")</f>
        <v/>
      </c>
    </row>
    <row r="2505">
      <c r="A2505" t="inlineStr">
        <is>
          <t>Will Canada win the 2026 FIFA World Cup?</t>
        </is>
      </c>
      <c r="B2505" s="4" t="n">
        <v>46205</v>
      </c>
      <c r="C2505" s="5" t="n">
        <v>46205.97497685185</v>
      </c>
      <c r="D2505" t="inlineStr">
        <is>
          <t>BUY</t>
        </is>
      </c>
      <c r="E2505" t="inlineStr">
        <is>
          <t>No</t>
        </is>
      </c>
      <c r="F2505" s="2" t="n">
        <v>0.998</v>
      </c>
      <c r="G2505" s="6" t="n">
        <v>73.59999999999999</v>
      </c>
      <c r="H2505" s="6">
        <f>F2505*G2505</f>
        <v/>
      </c>
      <c r="I2505">
        <f>_xlfn.XLOOKUP(A2505,MktTitle,MktCat,"n/a")</f>
        <v/>
      </c>
      <c r="J2505" s="3">
        <f>_xlfn.XLOOKUP(A2505,MktTitle,MktTotVol,0)</f>
        <v/>
      </c>
      <c r="K2505">
        <f>IF(H2505&gt;WhaleThreshold,"WHALE","")</f>
        <v/>
      </c>
    </row>
    <row r="2506">
      <c r="A2506" t="inlineStr">
        <is>
          <t>Will Canada win the 2026 FIFA World Cup?</t>
        </is>
      </c>
      <c r="B2506" s="4" t="n">
        <v>46205</v>
      </c>
      <c r="C2506" s="5" t="n">
        <v>46205.97497685185</v>
      </c>
      <c r="D2506" t="inlineStr">
        <is>
          <t>BUY</t>
        </is>
      </c>
      <c r="E2506" t="inlineStr">
        <is>
          <t>No</t>
        </is>
      </c>
      <c r="F2506" s="2" t="n">
        <v>0.998</v>
      </c>
      <c r="G2506" s="6" t="n">
        <v>107</v>
      </c>
      <c r="H2506" s="6">
        <f>F2506*G2506</f>
        <v/>
      </c>
      <c r="I2506">
        <f>_xlfn.XLOOKUP(A2506,MktTitle,MktCat,"n/a")</f>
        <v/>
      </c>
      <c r="J2506" s="3">
        <f>_xlfn.XLOOKUP(A2506,MktTitle,MktTotVol,0)</f>
        <v/>
      </c>
      <c r="K2506">
        <f>IF(H2506&gt;WhaleThreshold,"WHALE","")</f>
        <v/>
      </c>
    </row>
    <row r="2507">
      <c r="A2507" t="inlineStr">
        <is>
          <t>Will Canada win the 2026 FIFA World Cup?</t>
        </is>
      </c>
      <c r="B2507" s="4" t="n">
        <v>46205</v>
      </c>
      <c r="C2507" s="5" t="n">
        <v>46205.97495370371</v>
      </c>
      <c r="D2507" t="inlineStr">
        <is>
          <t>BUY</t>
        </is>
      </c>
      <c r="E2507" t="inlineStr">
        <is>
          <t>No</t>
        </is>
      </c>
      <c r="F2507" s="2" t="n">
        <v>0.998</v>
      </c>
      <c r="G2507" s="6" t="n">
        <v>9</v>
      </c>
      <c r="H2507" s="6">
        <f>F2507*G2507</f>
        <v/>
      </c>
      <c r="I2507">
        <f>_xlfn.XLOOKUP(A2507,MktTitle,MktCat,"n/a")</f>
        <v/>
      </c>
      <c r="J2507" s="3">
        <f>_xlfn.XLOOKUP(A2507,MktTitle,MktTotVol,0)</f>
        <v/>
      </c>
      <c r="K2507">
        <f>IF(H2507&gt;WhaleThreshold,"WHALE","")</f>
        <v/>
      </c>
    </row>
    <row r="2508">
      <c r="A2508" t="inlineStr">
        <is>
          <t>Will Canada win the 2026 FIFA World Cup?</t>
        </is>
      </c>
      <c r="B2508" s="4" t="n">
        <v>46205</v>
      </c>
      <c r="C2508" s="5" t="n">
        <v>46205.97456018518</v>
      </c>
      <c r="D2508" t="inlineStr">
        <is>
          <t>BUY</t>
        </is>
      </c>
      <c r="E2508" t="inlineStr">
        <is>
          <t>No</t>
        </is>
      </c>
      <c r="F2508" s="2" t="n">
        <v>0.998</v>
      </c>
      <c r="G2508" s="6" t="n">
        <v>10</v>
      </c>
      <c r="H2508" s="6">
        <f>F2508*G2508</f>
        <v/>
      </c>
      <c r="I2508">
        <f>_xlfn.XLOOKUP(A2508,MktTitle,MktCat,"n/a")</f>
        <v/>
      </c>
      <c r="J2508" s="3">
        <f>_xlfn.XLOOKUP(A2508,MktTitle,MktTotVol,0)</f>
        <v/>
      </c>
      <c r="K2508">
        <f>IF(H2508&gt;WhaleThreshold,"WHALE","")</f>
        <v/>
      </c>
    </row>
    <row r="2509">
      <c r="A2509" t="inlineStr">
        <is>
          <t>Will Canada win the 2026 FIFA World Cup?</t>
        </is>
      </c>
      <c r="B2509" s="4" t="n">
        <v>46205</v>
      </c>
      <c r="C2509" s="5" t="n">
        <v>46205.97453703704</v>
      </c>
      <c r="D2509" t="inlineStr">
        <is>
          <t>BUY</t>
        </is>
      </c>
      <c r="E2509" t="inlineStr">
        <is>
          <t>No</t>
        </is>
      </c>
      <c r="F2509" s="2" t="n">
        <v>0.998</v>
      </c>
      <c r="G2509" s="6" t="n">
        <v>15</v>
      </c>
      <c r="H2509" s="6">
        <f>F2509*G2509</f>
        <v/>
      </c>
      <c r="I2509">
        <f>_xlfn.XLOOKUP(A2509,MktTitle,MktCat,"n/a")</f>
        <v/>
      </c>
      <c r="J2509" s="3">
        <f>_xlfn.XLOOKUP(A2509,MktTitle,MktTotVol,0)</f>
        <v/>
      </c>
      <c r="K2509">
        <f>IF(H2509&gt;WhaleThreshold,"WHALE","")</f>
        <v/>
      </c>
    </row>
    <row r="2510">
      <c r="A2510" t="inlineStr">
        <is>
          <t>Will Canada win the 2026 FIFA World Cup?</t>
        </is>
      </c>
      <c r="B2510" s="4" t="n">
        <v>46205</v>
      </c>
      <c r="C2510" s="5" t="n">
        <v>46205.97275462963</v>
      </c>
      <c r="D2510" t="inlineStr">
        <is>
          <t>BUY</t>
        </is>
      </c>
      <c r="E2510" t="inlineStr">
        <is>
          <t>No</t>
        </is>
      </c>
      <c r="F2510" s="2" t="n">
        <v>0.998</v>
      </c>
      <c r="G2510" s="6" t="n">
        <v>20</v>
      </c>
      <c r="H2510" s="6">
        <f>F2510*G2510</f>
        <v/>
      </c>
      <c r="I2510">
        <f>_xlfn.XLOOKUP(A2510,MktTitle,MktCat,"n/a")</f>
        <v/>
      </c>
      <c r="J2510" s="3">
        <f>_xlfn.XLOOKUP(A2510,MktTitle,MktTotVol,0)</f>
        <v/>
      </c>
      <c r="K2510">
        <f>IF(H2510&gt;WhaleThreshold,"WHALE","")</f>
        <v/>
      </c>
    </row>
    <row r="2511">
      <c r="A2511" t="inlineStr">
        <is>
          <t>Will Canada win the 2026 FIFA World Cup?</t>
        </is>
      </c>
      <c r="B2511" s="4" t="n">
        <v>46205</v>
      </c>
      <c r="C2511" s="5" t="n">
        <v>46205.97265046297</v>
      </c>
      <c r="D2511" t="inlineStr">
        <is>
          <t>SELL</t>
        </is>
      </c>
      <c r="E2511" t="inlineStr">
        <is>
          <t>No</t>
        </is>
      </c>
      <c r="F2511" s="2" t="n">
        <v>0.997</v>
      </c>
      <c r="G2511" s="6" t="n">
        <v>34.07</v>
      </c>
      <c r="H2511" s="6">
        <f>F2511*G2511</f>
        <v/>
      </c>
      <c r="I2511">
        <f>_xlfn.XLOOKUP(A2511,MktTitle,MktCat,"n/a")</f>
        <v/>
      </c>
      <c r="J2511" s="3">
        <f>_xlfn.XLOOKUP(A2511,MktTitle,MktTotVol,0)</f>
        <v/>
      </c>
      <c r="K2511">
        <f>IF(H2511&gt;WhaleThreshold,"WHALE","")</f>
        <v/>
      </c>
    </row>
    <row r="2512">
      <c r="A2512" t="inlineStr">
        <is>
          <t>Will Canada win the 2026 FIFA World Cup?</t>
        </is>
      </c>
      <c r="B2512" s="4" t="n">
        <v>46205</v>
      </c>
      <c r="C2512" s="5" t="n">
        <v>46205.97252314815</v>
      </c>
      <c r="D2512" t="inlineStr">
        <is>
          <t>BUY</t>
        </is>
      </c>
      <c r="E2512" t="inlineStr">
        <is>
          <t>No</t>
        </is>
      </c>
      <c r="F2512" s="2" t="n">
        <v>0.998</v>
      </c>
      <c r="G2512" s="6" t="n">
        <v>10</v>
      </c>
      <c r="H2512" s="6">
        <f>F2512*G2512</f>
        <v/>
      </c>
      <c r="I2512">
        <f>_xlfn.XLOOKUP(A2512,MktTitle,MktCat,"n/a")</f>
        <v/>
      </c>
      <c r="J2512" s="3">
        <f>_xlfn.XLOOKUP(A2512,MktTitle,MktTotVol,0)</f>
        <v/>
      </c>
      <c r="K2512">
        <f>IF(H2512&gt;WhaleThreshold,"WHALE","")</f>
        <v/>
      </c>
    </row>
    <row r="2513">
      <c r="A2513" t="inlineStr">
        <is>
          <t>Will Canada win the 2026 FIFA World Cup?</t>
        </is>
      </c>
      <c r="B2513" s="4" t="n">
        <v>46205</v>
      </c>
      <c r="C2513" s="5" t="n">
        <v>46205.97252314815</v>
      </c>
      <c r="D2513" t="inlineStr">
        <is>
          <t>BUY</t>
        </is>
      </c>
      <c r="E2513" t="inlineStr">
        <is>
          <t>No</t>
        </is>
      </c>
      <c r="F2513" s="2" t="n">
        <v>0.998</v>
      </c>
      <c r="G2513" s="6" t="n">
        <v>18</v>
      </c>
      <c r="H2513" s="6">
        <f>F2513*G2513</f>
        <v/>
      </c>
      <c r="I2513">
        <f>_xlfn.XLOOKUP(A2513,MktTitle,MktCat,"n/a")</f>
        <v/>
      </c>
      <c r="J2513" s="3">
        <f>_xlfn.XLOOKUP(A2513,MktTitle,MktTotVol,0)</f>
        <v/>
      </c>
      <c r="K2513">
        <f>IF(H2513&gt;WhaleThreshold,"WHALE","")</f>
        <v/>
      </c>
    </row>
    <row r="2514">
      <c r="A2514" t="inlineStr">
        <is>
          <t>Will Canada win the 2026 FIFA World Cup?</t>
        </is>
      </c>
      <c r="B2514" s="4" t="n">
        <v>46205</v>
      </c>
      <c r="C2514" s="5" t="n">
        <v>46205.97162037037</v>
      </c>
      <c r="D2514" t="inlineStr">
        <is>
          <t>SELL</t>
        </is>
      </c>
      <c r="E2514" t="inlineStr">
        <is>
          <t>No</t>
        </is>
      </c>
      <c r="F2514" s="2" t="n">
        <v>0.997</v>
      </c>
      <c r="G2514" s="6" t="n">
        <v>10.91</v>
      </c>
      <c r="H2514" s="6">
        <f>F2514*G2514</f>
        <v/>
      </c>
      <c r="I2514">
        <f>_xlfn.XLOOKUP(A2514,MktTitle,MktCat,"n/a")</f>
        <v/>
      </c>
      <c r="J2514" s="3">
        <f>_xlfn.XLOOKUP(A2514,MktTitle,MktTotVol,0)</f>
        <v/>
      </c>
      <c r="K2514">
        <f>IF(H2514&gt;WhaleThreshold,"WHALE","")</f>
        <v/>
      </c>
    </row>
    <row r="2515">
      <c r="A2515" t="inlineStr">
        <is>
          <t>Will Canada win the 2026 FIFA World Cup?</t>
        </is>
      </c>
      <c r="B2515" s="4" t="n">
        <v>46205</v>
      </c>
      <c r="C2515" s="5" t="n">
        <v>46205.9716087963</v>
      </c>
      <c r="D2515" t="inlineStr">
        <is>
          <t>SELL</t>
        </is>
      </c>
      <c r="E2515" t="inlineStr">
        <is>
          <t>No</t>
        </is>
      </c>
      <c r="F2515" s="2" t="n">
        <v>0.997</v>
      </c>
      <c r="G2515" s="6" t="n">
        <v>10.91</v>
      </c>
      <c r="H2515" s="6">
        <f>F2515*G2515</f>
        <v/>
      </c>
      <c r="I2515">
        <f>_xlfn.XLOOKUP(A2515,MktTitle,MktCat,"n/a")</f>
        <v/>
      </c>
      <c r="J2515" s="3">
        <f>_xlfn.XLOOKUP(A2515,MktTitle,MktTotVol,0)</f>
        <v/>
      </c>
      <c r="K2515">
        <f>IF(H2515&gt;WhaleThreshold,"WHALE","")</f>
        <v/>
      </c>
    </row>
    <row r="2516">
      <c r="A2516" t="inlineStr">
        <is>
          <t>Will Canada win the 2026 FIFA World Cup?</t>
        </is>
      </c>
      <c r="B2516" s="4" t="n">
        <v>46205</v>
      </c>
      <c r="C2516" s="5" t="n">
        <v>46205.97153935185</v>
      </c>
      <c r="D2516" t="inlineStr">
        <is>
          <t>SELL</t>
        </is>
      </c>
      <c r="E2516" t="inlineStr">
        <is>
          <t>No</t>
        </is>
      </c>
      <c r="F2516" s="2" t="n">
        <v>0.997</v>
      </c>
      <c r="G2516" s="6" t="n">
        <v>10.91</v>
      </c>
      <c r="H2516" s="6">
        <f>F2516*G2516</f>
        <v/>
      </c>
      <c r="I2516">
        <f>_xlfn.XLOOKUP(A2516,MktTitle,MktCat,"n/a")</f>
        <v/>
      </c>
      <c r="J2516" s="3">
        <f>_xlfn.XLOOKUP(A2516,MktTitle,MktTotVol,0)</f>
        <v/>
      </c>
      <c r="K2516">
        <f>IF(H2516&gt;WhaleThreshold,"WHALE","")</f>
        <v/>
      </c>
    </row>
    <row r="2517">
      <c r="A2517" t="inlineStr">
        <is>
          <t>Will Canada win the 2026 FIFA World Cup?</t>
        </is>
      </c>
      <c r="B2517" s="4" t="n">
        <v>46205</v>
      </c>
      <c r="C2517" s="5" t="n">
        <v>46205.97113425926</v>
      </c>
      <c r="D2517" t="inlineStr">
        <is>
          <t>BUY</t>
        </is>
      </c>
      <c r="E2517" t="inlineStr">
        <is>
          <t>No</t>
        </is>
      </c>
      <c r="F2517" s="2" t="n">
        <v>0.998</v>
      </c>
      <c r="G2517" s="6" t="n">
        <v>10.9115</v>
      </c>
      <c r="H2517" s="6">
        <f>F2517*G2517</f>
        <v/>
      </c>
      <c r="I2517">
        <f>_xlfn.XLOOKUP(A2517,MktTitle,MktCat,"n/a")</f>
        <v/>
      </c>
      <c r="J2517" s="3">
        <f>_xlfn.XLOOKUP(A2517,MktTitle,MktTotVol,0)</f>
        <v/>
      </c>
      <c r="K2517">
        <f>IF(H2517&gt;WhaleThreshold,"WHALE","")</f>
        <v/>
      </c>
    </row>
    <row r="2518">
      <c r="A2518" t="inlineStr">
        <is>
          <t>Will Canada win the 2026 FIFA World Cup?</t>
        </is>
      </c>
      <c r="B2518" s="4" t="n">
        <v>46205</v>
      </c>
      <c r="C2518" s="5" t="n">
        <v>46205.97113425926</v>
      </c>
      <c r="D2518" t="inlineStr">
        <is>
          <t>BUY</t>
        </is>
      </c>
      <c r="E2518" t="inlineStr">
        <is>
          <t>No</t>
        </is>
      </c>
      <c r="F2518" s="2" t="n">
        <v>0.998</v>
      </c>
      <c r="G2518" s="6" t="n">
        <v>10.9115</v>
      </c>
      <c r="H2518" s="6">
        <f>F2518*G2518</f>
        <v/>
      </c>
      <c r="I2518">
        <f>_xlfn.XLOOKUP(A2518,MktTitle,MktCat,"n/a")</f>
        <v/>
      </c>
      <c r="J2518" s="3">
        <f>_xlfn.XLOOKUP(A2518,MktTitle,MktTotVol,0)</f>
        <v/>
      </c>
      <c r="K2518">
        <f>IF(H2518&gt;WhaleThreshold,"WHALE","")</f>
        <v/>
      </c>
    </row>
    <row r="2519">
      <c r="A2519" t="inlineStr">
        <is>
          <t>Will Canada win the 2026 FIFA World Cup?</t>
        </is>
      </c>
      <c r="B2519" s="4" t="n">
        <v>46205</v>
      </c>
      <c r="C2519" s="5" t="n">
        <v>46205.97113425926</v>
      </c>
      <c r="D2519" t="inlineStr">
        <is>
          <t>BUY</t>
        </is>
      </c>
      <c r="E2519" t="inlineStr">
        <is>
          <t>No</t>
        </is>
      </c>
      <c r="F2519" s="2" t="n">
        <v>0.998</v>
      </c>
      <c r="G2519" s="6" t="n">
        <v>10.9115</v>
      </c>
      <c r="H2519" s="6">
        <f>F2519*G2519</f>
        <v/>
      </c>
      <c r="I2519">
        <f>_xlfn.XLOOKUP(A2519,MktTitle,MktCat,"n/a")</f>
        <v/>
      </c>
      <c r="J2519" s="3">
        <f>_xlfn.XLOOKUP(A2519,MktTitle,MktTotVol,0)</f>
        <v/>
      </c>
      <c r="K2519">
        <f>IF(H2519&gt;WhaleThreshold,"WHALE","")</f>
        <v/>
      </c>
    </row>
    <row r="2520">
      <c r="A2520" t="inlineStr">
        <is>
          <t>Will Canada win the 2026 FIFA World Cup?</t>
        </is>
      </c>
      <c r="B2520" s="4" t="n">
        <v>46205</v>
      </c>
      <c r="C2520" s="5" t="n">
        <v>46205.97015046296</v>
      </c>
      <c r="D2520" t="inlineStr">
        <is>
          <t>BUY</t>
        </is>
      </c>
      <c r="E2520" t="inlineStr">
        <is>
          <t>No</t>
        </is>
      </c>
      <c r="F2520" s="2" t="n">
        <v>0.998</v>
      </c>
      <c r="G2520" s="6" t="n">
        <v>40</v>
      </c>
      <c r="H2520" s="6">
        <f>F2520*G2520</f>
        <v/>
      </c>
      <c r="I2520">
        <f>_xlfn.XLOOKUP(A2520,MktTitle,MktCat,"n/a")</f>
        <v/>
      </c>
      <c r="J2520" s="3">
        <f>_xlfn.XLOOKUP(A2520,MktTitle,MktTotVol,0)</f>
        <v/>
      </c>
      <c r="K2520">
        <f>IF(H2520&gt;WhaleThreshold,"WHALE","")</f>
        <v/>
      </c>
    </row>
    <row r="2521">
      <c r="A2521" t="inlineStr">
        <is>
          <t>Will Canada win the 2026 FIFA World Cup?</t>
        </is>
      </c>
      <c r="B2521" s="4" t="n">
        <v>46205</v>
      </c>
      <c r="C2521" s="5" t="n">
        <v>46205.97015046296</v>
      </c>
      <c r="D2521" t="inlineStr">
        <is>
          <t>BUY</t>
        </is>
      </c>
      <c r="E2521" t="inlineStr">
        <is>
          <t>No</t>
        </is>
      </c>
      <c r="F2521" s="2" t="n">
        <v>0.998</v>
      </c>
      <c r="G2521" s="6" t="n">
        <v>5</v>
      </c>
      <c r="H2521" s="6">
        <f>F2521*G2521</f>
        <v/>
      </c>
      <c r="I2521">
        <f>_xlfn.XLOOKUP(A2521,MktTitle,MktCat,"n/a")</f>
        <v/>
      </c>
      <c r="J2521" s="3">
        <f>_xlfn.XLOOKUP(A2521,MktTitle,MktTotVol,0)</f>
        <v/>
      </c>
      <c r="K2521">
        <f>IF(H2521&gt;WhaleThreshold,"WHALE","")</f>
        <v/>
      </c>
    </row>
    <row r="2522">
      <c r="A2522" t="inlineStr">
        <is>
          <t>Will Canada win the 2026 FIFA World Cup?</t>
        </is>
      </c>
      <c r="B2522" s="4" t="n">
        <v>46205</v>
      </c>
      <c r="C2522" s="5" t="n">
        <v>46205.97011574074</v>
      </c>
      <c r="D2522" t="inlineStr">
        <is>
          <t>BUY</t>
        </is>
      </c>
      <c r="E2522" t="inlineStr">
        <is>
          <t>No</t>
        </is>
      </c>
      <c r="F2522" s="2" t="n">
        <v>0.998</v>
      </c>
      <c r="G2522" s="6" t="n">
        <v>20</v>
      </c>
      <c r="H2522" s="6">
        <f>F2522*G2522</f>
        <v/>
      </c>
      <c r="I2522">
        <f>_xlfn.XLOOKUP(A2522,MktTitle,MktCat,"n/a")</f>
        <v/>
      </c>
      <c r="J2522" s="3">
        <f>_xlfn.XLOOKUP(A2522,MktTitle,MktTotVol,0)</f>
        <v/>
      </c>
      <c r="K2522">
        <f>IF(H2522&gt;WhaleThreshold,"WHALE","")</f>
        <v/>
      </c>
    </row>
    <row r="2523">
      <c r="A2523" t="inlineStr">
        <is>
          <t>Will Canada win the 2026 FIFA World Cup?</t>
        </is>
      </c>
      <c r="B2523" s="4" t="n">
        <v>46205</v>
      </c>
      <c r="C2523" s="5" t="n">
        <v>46205.97011574074</v>
      </c>
      <c r="D2523" t="inlineStr">
        <is>
          <t>BUY</t>
        </is>
      </c>
      <c r="E2523" t="inlineStr">
        <is>
          <t>No</t>
        </is>
      </c>
      <c r="F2523" s="2" t="n">
        <v>0.998</v>
      </c>
      <c r="G2523" s="6" t="n">
        <v>25.3</v>
      </c>
      <c r="H2523" s="6">
        <f>F2523*G2523</f>
        <v/>
      </c>
      <c r="I2523">
        <f>_xlfn.XLOOKUP(A2523,MktTitle,MktCat,"n/a")</f>
        <v/>
      </c>
      <c r="J2523" s="3">
        <f>_xlfn.XLOOKUP(A2523,MktTitle,MktTotVol,0)</f>
        <v/>
      </c>
      <c r="K2523">
        <f>IF(H2523&gt;WhaleThreshold,"WHALE","")</f>
        <v/>
      </c>
    </row>
    <row r="2524">
      <c r="A2524" t="inlineStr">
        <is>
          <t>Will Canada win the 2026 FIFA World Cup?</t>
        </is>
      </c>
      <c r="B2524" s="4" t="n">
        <v>46205</v>
      </c>
      <c r="C2524" s="5" t="n">
        <v>46205.97009259259</v>
      </c>
      <c r="D2524" t="inlineStr">
        <is>
          <t>BUY</t>
        </is>
      </c>
      <c r="E2524" t="inlineStr">
        <is>
          <t>No</t>
        </is>
      </c>
      <c r="F2524" s="2" t="n">
        <v>0.998</v>
      </c>
      <c r="G2524" s="6" t="n">
        <v>10</v>
      </c>
      <c r="H2524" s="6">
        <f>F2524*G2524</f>
        <v/>
      </c>
      <c r="I2524">
        <f>_xlfn.XLOOKUP(A2524,MktTitle,MktCat,"n/a")</f>
        <v/>
      </c>
      <c r="J2524" s="3">
        <f>_xlfn.XLOOKUP(A2524,MktTitle,MktTotVol,0)</f>
        <v/>
      </c>
      <c r="K2524">
        <f>IF(H2524&gt;WhaleThreshold,"WHALE","")</f>
        <v/>
      </c>
    </row>
    <row r="2525">
      <c r="A2525" t="inlineStr">
        <is>
          <t>Will Canada win the 2026 FIFA World Cup?</t>
        </is>
      </c>
      <c r="B2525" s="4" t="n">
        <v>46205</v>
      </c>
      <c r="C2525" s="5" t="n">
        <v>46205.97009259259</v>
      </c>
      <c r="D2525" t="inlineStr">
        <is>
          <t>BUY</t>
        </is>
      </c>
      <c r="E2525" t="inlineStr">
        <is>
          <t>No</t>
        </is>
      </c>
      <c r="F2525" s="2" t="n">
        <v>0.998</v>
      </c>
      <c r="G2525" s="6" t="n">
        <v>60</v>
      </c>
      <c r="H2525" s="6">
        <f>F2525*G2525</f>
        <v/>
      </c>
      <c r="I2525">
        <f>_xlfn.XLOOKUP(A2525,MktTitle,MktCat,"n/a")</f>
        <v/>
      </c>
      <c r="J2525" s="3">
        <f>_xlfn.XLOOKUP(A2525,MktTitle,MktTotVol,0)</f>
        <v/>
      </c>
      <c r="K2525">
        <f>IF(H2525&gt;WhaleThreshold,"WHALE","")</f>
        <v/>
      </c>
    </row>
    <row r="2526">
      <c r="A2526" t="inlineStr">
        <is>
          <t>Will Canada win the 2026 FIFA World Cup?</t>
        </is>
      </c>
      <c r="B2526" s="4" t="n">
        <v>46205</v>
      </c>
      <c r="C2526" s="5" t="n">
        <v>46205.97005787037</v>
      </c>
      <c r="D2526" t="inlineStr">
        <is>
          <t>BUY</t>
        </is>
      </c>
      <c r="E2526" t="inlineStr">
        <is>
          <t>No</t>
        </is>
      </c>
      <c r="F2526" s="2" t="n">
        <v>0.998</v>
      </c>
      <c r="G2526" s="6" t="n">
        <v>5</v>
      </c>
      <c r="H2526" s="6">
        <f>F2526*G2526</f>
        <v/>
      </c>
      <c r="I2526">
        <f>_xlfn.XLOOKUP(A2526,MktTitle,MktCat,"n/a")</f>
        <v/>
      </c>
      <c r="J2526" s="3">
        <f>_xlfn.XLOOKUP(A2526,MktTitle,MktTotVol,0)</f>
        <v/>
      </c>
      <c r="K2526">
        <f>IF(H2526&gt;WhaleThreshold,"WHALE","")</f>
        <v/>
      </c>
    </row>
    <row r="2527">
      <c r="A2527" t="inlineStr">
        <is>
          <t>Will Canada win the 2026 FIFA World Cup?</t>
        </is>
      </c>
      <c r="B2527" s="4" t="n">
        <v>46205</v>
      </c>
      <c r="C2527" s="5" t="n">
        <v>46205.97005787037</v>
      </c>
      <c r="D2527" t="inlineStr">
        <is>
          <t>BUY</t>
        </is>
      </c>
      <c r="E2527" t="inlineStr">
        <is>
          <t>No</t>
        </is>
      </c>
      <c r="F2527" s="2" t="n">
        <v>0.998</v>
      </c>
      <c r="G2527" s="6" t="n">
        <v>5</v>
      </c>
      <c r="H2527" s="6">
        <f>F2527*G2527</f>
        <v/>
      </c>
      <c r="I2527">
        <f>_xlfn.XLOOKUP(A2527,MktTitle,MktCat,"n/a")</f>
        <v/>
      </c>
      <c r="J2527" s="3">
        <f>_xlfn.XLOOKUP(A2527,MktTitle,MktTotVol,0)</f>
        <v/>
      </c>
      <c r="K2527">
        <f>IF(H2527&gt;WhaleThreshold,"WHALE","")</f>
        <v/>
      </c>
    </row>
    <row r="2528">
      <c r="A2528" t="inlineStr">
        <is>
          <t>Will Canada win the 2026 FIFA World Cup?</t>
        </is>
      </c>
      <c r="B2528" s="4" t="n">
        <v>46205</v>
      </c>
      <c r="C2528" s="5" t="n">
        <v>46205.97004629629</v>
      </c>
      <c r="D2528" t="inlineStr">
        <is>
          <t>BUY</t>
        </is>
      </c>
      <c r="E2528" t="inlineStr">
        <is>
          <t>No</t>
        </is>
      </c>
      <c r="F2528" s="2" t="n">
        <v>0.998</v>
      </c>
      <c r="G2528" s="6" t="n">
        <v>10</v>
      </c>
      <c r="H2528" s="6">
        <f>F2528*G2528</f>
        <v/>
      </c>
      <c r="I2528">
        <f>_xlfn.XLOOKUP(A2528,MktTitle,MktCat,"n/a")</f>
        <v/>
      </c>
      <c r="J2528" s="3">
        <f>_xlfn.XLOOKUP(A2528,MktTitle,MktTotVol,0)</f>
        <v/>
      </c>
      <c r="K2528">
        <f>IF(H2528&gt;WhaleThreshold,"WHALE","")</f>
        <v/>
      </c>
    </row>
    <row r="2529">
      <c r="A2529" t="inlineStr">
        <is>
          <t>Will Canada win the 2026 FIFA World Cup?</t>
        </is>
      </c>
      <c r="B2529" s="4" t="n">
        <v>46205</v>
      </c>
      <c r="C2529" s="5" t="n">
        <v>46205.97004629629</v>
      </c>
      <c r="D2529" t="inlineStr">
        <is>
          <t>BUY</t>
        </is>
      </c>
      <c r="E2529" t="inlineStr">
        <is>
          <t>No</t>
        </is>
      </c>
      <c r="F2529" s="2" t="n">
        <v>0.998</v>
      </c>
      <c r="G2529" s="6" t="n">
        <v>50.7</v>
      </c>
      <c r="H2529" s="6">
        <f>F2529*G2529</f>
        <v/>
      </c>
      <c r="I2529">
        <f>_xlfn.XLOOKUP(A2529,MktTitle,MktCat,"n/a")</f>
        <v/>
      </c>
      <c r="J2529" s="3">
        <f>_xlfn.XLOOKUP(A2529,MktTitle,MktTotVol,0)</f>
        <v/>
      </c>
      <c r="K2529">
        <f>IF(H2529&gt;WhaleThreshold,"WHALE","")</f>
        <v/>
      </c>
    </row>
    <row r="2530">
      <c r="A2530" t="inlineStr">
        <is>
          <t>Will Canada win the 2026 FIFA World Cup?</t>
        </is>
      </c>
      <c r="B2530" s="4" t="n">
        <v>46205</v>
      </c>
      <c r="C2530" s="5" t="n">
        <v>46205.96988425926</v>
      </c>
      <c r="D2530" t="inlineStr">
        <is>
          <t>BUY</t>
        </is>
      </c>
      <c r="E2530" t="inlineStr">
        <is>
          <t>No</t>
        </is>
      </c>
      <c r="F2530" s="2" t="n">
        <v>0.998</v>
      </c>
      <c r="G2530" s="6" t="n">
        <v>86</v>
      </c>
      <c r="H2530" s="6">
        <f>F2530*G2530</f>
        <v/>
      </c>
      <c r="I2530">
        <f>_xlfn.XLOOKUP(A2530,MktTitle,MktCat,"n/a")</f>
        <v/>
      </c>
      <c r="J2530" s="3">
        <f>_xlfn.XLOOKUP(A2530,MktTitle,MktTotVol,0)</f>
        <v/>
      </c>
      <c r="K2530">
        <f>IF(H2530&gt;WhaleThreshold,"WHALE","")</f>
        <v/>
      </c>
    </row>
    <row r="2531">
      <c r="A2531" t="inlineStr">
        <is>
          <t>Will Canada win the 2026 FIFA World Cup?</t>
        </is>
      </c>
      <c r="B2531" s="4" t="n">
        <v>46205</v>
      </c>
      <c r="C2531" s="5" t="n">
        <v>46205.96988425926</v>
      </c>
      <c r="D2531" t="inlineStr">
        <is>
          <t>BUY</t>
        </is>
      </c>
      <c r="E2531" t="inlineStr">
        <is>
          <t>No</t>
        </is>
      </c>
      <c r="F2531" s="2" t="n">
        <v>0.998</v>
      </c>
      <c r="G2531" s="6" t="n">
        <v>100</v>
      </c>
      <c r="H2531" s="6">
        <f>F2531*G2531</f>
        <v/>
      </c>
      <c r="I2531">
        <f>_xlfn.XLOOKUP(A2531,MktTitle,MktCat,"n/a")</f>
        <v/>
      </c>
      <c r="J2531" s="3">
        <f>_xlfn.XLOOKUP(A2531,MktTitle,MktTotVol,0)</f>
        <v/>
      </c>
      <c r="K2531">
        <f>IF(H2531&gt;WhaleThreshold,"WHALE","")</f>
        <v/>
      </c>
    </row>
    <row r="2532">
      <c r="A2532" t="inlineStr">
        <is>
          <t>Will Canada win the 2026 FIFA World Cup?</t>
        </is>
      </c>
      <c r="B2532" s="4" t="n">
        <v>46205</v>
      </c>
      <c r="C2532" s="5" t="n">
        <v>46205.96987268519</v>
      </c>
      <c r="D2532" t="inlineStr">
        <is>
          <t>BUY</t>
        </is>
      </c>
      <c r="E2532" t="inlineStr">
        <is>
          <t>No</t>
        </is>
      </c>
      <c r="F2532" s="2" t="n">
        <v>0.998</v>
      </c>
      <c r="G2532" s="6" t="n">
        <v>73.59999999999999</v>
      </c>
      <c r="H2532" s="6">
        <f>F2532*G2532</f>
        <v/>
      </c>
      <c r="I2532">
        <f>_xlfn.XLOOKUP(A2532,MktTitle,MktCat,"n/a")</f>
        <v/>
      </c>
      <c r="J2532" s="3">
        <f>_xlfn.XLOOKUP(A2532,MktTitle,MktTotVol,0)</f>
        <v/>
      </c>
      <c r="K2532">
        <f>IF(H2532&gt;WhaleThreshold,"WHALE","")</f>
        <v/>
      </c>
    </row>
    <row r="2533">
      <c r="A2533" t="inlineStr">
        <is>
          <t>Will Canada win the 2026 FIFA World Cup?</t>
        </is>
      </c>
      <c r="B2533" s="4" t="n">
        <v>46205</v>
      </c>
      <c r="C2533" s="5" t="n">
        <v>46205.96987268519</v>
      </c>
      <c r="D2533" t="inlineStr">
        <is>
          <t>BUY</t>
        </is>
      </c>
      <c r="E2533" t="inlineStr">
        <is>
          <t>No</t>
        </is>
      </c>
      <c r="F2533" s="2" t="n">
        <v>0.998</v>
      </c>
      <c r="G2533" s="6" t="n">
        <v>80</v>
      </c>
      <c r="H2533" s="6">
        <f>F2533*G2533</f>
        <v/>
      </c>
      <c r="I2533">
        <f>_xlfn.XLOOKUP(A2533,MktTitle,MktCat,"n/a")</f>
        <v/>
      </c>
      <c r="J2533" s="3">
        <f>_xlfn.XLOOKUP(A2533,MktTitle,MktTotVol,0)</f>
        <v/>
      </c>
      <c r="K2533">
        <f>IF(H2533&gt;WhaleThreshold,"WHALE","")</f>
        <v/>
      </c>
    </row>
    <row r="2534">
      <c r="A2534" t="inlineStr">
        <is>
          <t>Will Canada win the 2026 FIFA World Cup?</t>
        </is>
      </c>
      <c r="B2534" s="4" t="n">
        <v>46205</v>
      </c>
      <c r="C2534" s="5" t="n">
        <v>46205.96980324074</v>
      </c>
      <c r="D2534" t="inlineStr">
        <is>
          <t>BUY</t>
        </is>
      </c>
      <c r="E2534" t="inlineStr">
        <is>
          <t>No</t>
        </is>
      </c>
      <c r="F2534" s="2" t="n">
        <v>0.998</v>
      </c>
      <c r="G2534" s="6" t="n">
        <v>80</v>
      </c>
      <c r="H2534" s="6">
        <f>F2534*G2534</f>
        <v/>
      </c>
      <c r="I2534">
        <f>_xlfn.XLOOKUP(A2534,MktTitle,MktCat,"n/a")</f>
        <v/>
      </c>
      <c r="J2534" s="3">
        <f>_xlfn.XLOOKUP(A2534,MktTitle,MktTotVol,0)</f>
        <v/>
      </c>
      <c r="K2534">
        <f>IF(H2534&gt;WhaleThreshold,"WHALE","")</f>
        <v/>
      </c>
    </row>
    <row r="2535">
      <c r="A2535" t="inlineStr">
        <is>
          <t>Will Canada win the 2026 FIFA World Cup?</t>
        </is>
      </c>
      <c r="B2535" s="4" t="n">
        <v>46205</v>
      </c>
      <c r="C2535" s="5" t="n">
        <v>46205.9696412037</v>
      </c>
      <c r="D2535" t="inlineStr">
        <is>
          <t>BUY</t>
        </is>
      </c>
      <c r="E2535" t="inlineStr">
        <is>
          <t>No</t>
        </is>
      </c>
      <c r="F2535" s="2" t="n">
        <v>0.998</v>
      </c>
      <c r="G2535" s="6" t="n">
        <v>10</v>
      </c>
      <c r="H2535" s="6">
        <f>F2535*G2535</f>
        <v/>
      </c>
      <c r="I2535">
        <f>_xlfn.XLOOKUP(A2535,MktTitle,MktCat,"n/a")</f>
        <v/>
      </c>
      <c r="J2535" s="3">
        <f>_xlfn.XLOOKUP(A2535,MktTitle,MktTotVol,0)</f>
        <v/>
      </c>
      <c r="K2535">
        <f>IF(H2535&gt;WhaleThreshold,"WHALE","")</f>
        <v/>
      </c>
    </row>
    <row r="2536">
      <c r="A2536" t="inlineStr">
        <is>
          <t>Will Canada win the 2026 FIFA World Cup?</t>
        </is>
      </c>
      <c r="B2536" s="4" t="n">
        <v>46205</v>
      </c>
      <c r="C2536" s="5" t="n">
        <v>46205.96835648148</v>
      </c>
      <c r="D2536" t="inlineStr">
        <is>
          <t>SELL</t>
        </is>
      </c>
      <c r="E2536" t="inlineStr">
        <is>
          <t>No</t>
        </is>
      </c>
      <c r="F2536" s="2" t="n">
        <v>0.997</v>
      </c>
      <c r="G2536" s="6" t="n">
        <v>10.58</v>
      </c>
      <c r="H2536" s="6">
        <f>F2536*G2536</f>
        <v/>
      </c>
      <c r="I2536">
        <f>_xlfn.XLOOKUP(A2536,MktTitle,MktCat,"n/a")</f>
        <v/>
      </c>
      <c r="J2536" s="3">
        <f>_xlfn.XLOOKUP(A2536,MktTitle,MktTotVol,0)</f>
        <v/>
      </c>
      <c r="K2536">
        <f>IF(H2536&gt;WhaleThreshold,"WHALE","")</f>
        <v/>
      </c>
    </row>
    <row r="2537">
      <c r="A2537" t="inlineStr">
        <is>
          <t>Will Canada win the 2026 FIFA World Cup?</t>
        </is>
      </c>
      <c r="B2537" s="4" t="n">
        <v>46205</v>
      </c>
      <c r="C2537" s="5" t="n">
        <v>46205.96828703704</v>
      </c>
      <c r="D2537" t="inlineStr">
        <is>
          <t>SELL</t>
        </is>
      </c>
      <c r="E2537" t="inlineStr">
        <is>
          <t>No</t>
        </is>
      </c>
      <c r="F2537" s="2" t="n">
        <v>0.997</v>
      </c>
      <c r="G2537" s="6" t="n">
        <v>10.69</v>
      </c>
      <c r="H2537" s="6">
        <f>F2537*G2537</f>
        <v/>
      </c>
      <c r="I2537">
        <f>_xlfn.XLOOKUP(A2537,MktTitle,MktCat,"n/a")</f>
        <v/>
      </c>
      <c r="J2537" s="3">
        <f>_xlfn.XLOOKUP(A2537,MktTitle,MktTotVol,0)</f>
        <v/>
      </c>
      <c r="K2537">
        <f>IF(H2537&gt;WhaleThreshold,"WHALE","")</f>
        <v/>
      </c>
    </row>
    <row r="2538">
      <c r="A2538" t="inlineStr">
        <is>
          <t>Will Canada win the 2026 FIFA World Cup?</t>
        </is>
      </c>
      <c r="B2538" s="4" t="n">
        <v>46205</v>
      </c>
      <c r="C2538" s="5" t="n">
        <v>46205.96730324074</v>
      </c>
      <c r="D2538" t="inlineStr">
        <is>
          <t>BUY</t>
        </is>
      </c>
      <c r="E2538" t="inlineStr">
        <is>
          <t>No</t>
        </is>
      </c>
      <c r="F2538" s="2" t="n">
        <v>0.998</v>
      </c>
      <c r="G2538" s="6" t="n">
        <v>1.1</v>
      </c>
      <c r="H2538" s="6">
        <f>F2538*G2538</f>
        <v/>
      </c>
      <c r="I2538">
        <f>_xlfn.XLOOKUP(A2538,MktTitle,MktCat,"n/a")</f>
        <v/>
      </c>
      <c r="J2538" s="3">
        <f>_xlfn.XLOOKUP(A2538,MktTitle,MktTotVol,0)</f>
        <v/>
      </c>
      <c r="K2538">
        <f>IF(H2538&gt;WhaleThreshold,"WHALE","")</f>
        <v/>
      </c>
    </row>
    <row r="2539">
      <c r="A2539" t="inlineStr">
        <is>
          <t>Will Canada win the 2026 FIFA World Cup?</t>
        </is>
      </c>
      <c r="B2539" s="4" t="n">
        <v>46205</v>
      </c>
      <c r="C2539" s="5" t="n">
        <v>46205.9672337963</v>
      </c>
      <c r="D2539" t="inlineStr">
        <is>
          <t>BUY</t>
        </is>
      </c>
      <c r="E2539" t="inlineStr">
        <is>
          <t>No</t>
        </is>
      </c>
      <c r="F2539" s="2" t="n">
        <v>0.998</v>
      </c>
      <c r="G2539" s="6" t="n">
        <v>32.4</v>
      </c>
      <c r="H2539" s="6">
        <f>F2539*G2539</f>
        <v/>
      </c>
      <c r="I2539">
        <f>_xlfn.XLOOKUP(A2539,MktTitle,MktCat,"n/a")</f>
        <v/>
      </c>
      <c r="J2539" s="3">
        <f>_xlfn.XLOOKUP(A2539,MktTitle,MktTotVol,0)</f>
        <v/>
      </c>
      <c r="K2539">
        <f>IF(H2539&gt;WhaleThreshold,"WHALE","")</f>
        <v/>
      </c>
    </row>
    <row r="2540">
      <c r="A2540" t="inlineStr">
        <is>
          <t>Will Canada win the 2026 FIFA World Cup?</t>
        </is>
      </c>
      <c r="B2540" s="4" t="n">
        <v>46205</v>
      </c>
      <c r="C2540" s="5" t="n">
        <v>46205.96717592593</v>
      </c>
      <c r="D2540" t="inlineStr">
        <is>
          <t>BUY</t>
        </is>
      </c>
      <c r="E2540" t="inlineStr">
        <is>
          <t>No</t>
        </is>
      </c>
      <c r="F2540" s="2" t="n">
        <v>0.998</v>
      </c>
      <c r="G2540" s="6" t="n">
        <v>110</v>
      </c>
      <c r="H2540" s="6">
        <f>F2540*G2540</f>
        <v/>
      </c>
      <c r="I2540">
        <f>_xlfn.XLOOKUP(A2540,MktTitle,MktCat,"n/a")</f>
        <v/>
      </c>
      <c r="J2540" s="3">
        <f>_xlfn.XLOOKUP(A2540,MktTitle,MktTotVol,0)</f>
        <v/>
      </c>
      <c r="K2540">
        <f>IF(H2540&gt;WhaleThreshold,"WHALE","")</f>
        <v/>
      </c>
    </row>
    <row r="2541">
      <c r="A2541" t="inlineStr">
        <is>
          <t>Will Canada win the 2026 FIFA World Cup?</t>
        </is>
      </c>
      <c r="B2541" s="4" t="n">
        <v>46205</v>
      </c>
      <c r="C2541" s="5" t="n">
        <v>46205.96716435185</v>
      </c>
      <c r="D2541" t="inlineStr">
        <is>
          <t>BUY</t>
        </is>
      </c>
      <c r="E2541" t="inlineStr">
        <is>
          <t>No</t>
        </is>
      </c>
      <c r="F2541" s="2" t="n">
        <v>0.998</v>
      </c>
      <c r="G2541" s="6" t="n">
        <v>5</v>
      </c>
      <c r="H2541" s="6">
        <f>F2541*G2541</f>
        <v/>
      </c>
      <c r="I2541">
        <f>_xlfn.XLOOKUP(A2541,MktTitle,MktCat,"n/a")</f>
        <v/>
      </c>
      <c r="J2541" s="3">
        <f>_xlfn.XLOOKUP(A2541,MktTitle,MktTotVol,0)</f>
        <v/>
      </c>
      <c r="K2541">
        <f>IF(H2541&gt;WhaleThreshold,"WHALE","")</f>
        <v/>
      </c>
    </row>
    <row r="2542">
      <c r="A2542" t="inlineStr">
        <is>
          <t>Will Canada win the 2026 FIFA World Cup?</t>
        </is>
      </c>
      <c r="B2542" s="4" t="n">
        <v>46205</v>
      </c>
      <c r="C2542" s="5" t="n">
        <v>46205.96714120371</v>
      </c>
      <c r="D2542" t="inlineStr">
        <is>
          <t>BUY</t>
        </is>
      </c>
      <c r="E2542" t="inlineStr">
        <is>
          <t>No</t>
        </is>
      </c>
      <c r="F2542" s="2" t="n">
        <v>0.998</v>
      </c>
      <c r="G2542" s="6" t="n">
        <v>40</v>
      </c>
      <c r="H2542" s="6">
        <f>F2542*G2542</f>
        <v/>
      </c>
      <c r="I2542">
        <f>_xlfn.XLOOKUP(A2542,MktTitle,MktCat,"n/a")</f>
        <v/>
      </c>
      <c r="J2542" s="3">
        <f>_xlfn.XLOOKUP(A2542,MktTitle,MktTotVol,0)</f>
        <v/>
      </c>
      <c r="K2542">
        <f>IF(H2542&gt;WhaleThreshold,"WHALE","")</f>
        <v/>
      </c>
    </row>
    <row r="2543">
      <c r="A2543" t="inlineStr">
        <is>
          <t>Will Canada win the 2026 FIFA World Cup?</t>
        </is>
      </c>
      <c r="B2543" s="4" t="n">
        <v>46205</v>
      </c>
      <c r="C2543" s="5" t="n">
        <v>46205.96714120371</v>
      </c>
      <c r="D2543" t="inlineStr">
        <is>
          <t>BUY</t>
        </is>
      </c>
      <c r="E2543" t="inlineStr">
        <is>
          <t>No</t>
        </is>
      </c>
      <c r="F2543" s="2" t="n">
        <v>0.998</v>
      </c>
      <c r="G2543" s="6" t="n">
        <v>22.8</v>
      </c>
      <c r="H2543" s="6">
        <f>F2543*G2543</f>
        <v/>
      </c>
      <c r="I2543">
        <f>_xlfn.XLOOKUP(A2543,MktTitle,MktCat,"n/a")</f>
        <v/>
      </c>
      <c r="J2543" s="3">
        <f>_xlfn.XLOOKUP(A2543,MktTitle,MktTotVol,0)</f>
        <v/>
      </c>
      <c r="K2543">
        <f>IF(H2543&gt;WhaleThreshold,"WHALE","")</f>
        <v/>
      </c>
    </row>
    <row r="2544">
      <c r="A2544" t="inlineStr">
        <is>
          <t>Will Canada win the 2026 FIFA World Cup?</t>
        </is>
      </c>
      <c r="B2544" s="4" t="n">
        <v>46205</v>
      </c>
      <c r="C2544" s="5" t="n">
        <v>46205.96712962963</v>
      </c>
      <c r="D2544" t="inlineStr">
        <is>
          <t>BUY</t>
        </is>
      </c>
      <c r="E2544" t="inlineStr">
        <is>
          <t>No</t>
        </is>
      </c>
      <c r="F2544" s="2" t="n">
        <v>0.998</v>
      </c>
      <c r="G2544" s="6" t="n">
        <v>30</v>
      </c>
      <c r="H2544" s="6">
        <f>F2544*G2544</f>
        <v/>
      </c>
      <c r="I2544">
        <f>_xlfn.XLOOKUP(A2544,MktTitle,MktCat,"n/a")</f>
        <v/>
      </c>
      <c r="J2544" s="3">
        <f>_xlfn.XLOOKUP(A2544,MktTitle,MktTotVol,0)</f>
        <v/>
      </c>
      <c r="K2544">
        <f>IF(H2544&gt;WhaleThreshold,"WHALE","")</f>
        <v/>
      </c>
    </row>
    <row r="2545">
      <c r="A2545" t="inlineStr">
        <is>
          <t>Will Canada win the 2026 FIFA World Cup?</t>
        </is>
      </c>
      <c r="B2545" s="4" t="n">
        <v>46205</v>
      </c>
      <c r="C2545" s="5" t="n">
        <v>46205.96712962963</v>
      </c>
      <c r="D2545" t="inlineStr">
        <is>
          <t>BUY</t>
        </is>
      </c>
      <c r="E2545" t="inlineStr">
        <is>
          <t>No</t>
        </is>
      </c>
      <c r="F2545" s="2" t="n">
        <v>0.998</v>
      </c>
      <c r="G2545" s="6" t="n">
        <v>45.6</v>
      </c>
      <c r="H2545" s="6">
        <f>F2545*G2545</f>
        <v/>
      </c>
      <c r="I2545">
        <f>_xlfn.XLOOKUP(A2545,MktTitle,MktCat,"n/a")</f>
        <v/>
      </c>
      <c r="J2545" s="3">
        <f>_xlfn.XLOOKUP(A2545,MktTitle,MktTotVol,0)</f>
        <v/>
      </c>
      <c r="K2545">
        <f>IF(H2545&gt;WhaleThreshold,"WHALE","")</f>
        <v/>
      </c>
    </row>
    <row r="2546">
      <c r="A2546" t="inlineStr">
        <is>
          <t>Will Canada win the 2026 FIFA World Cup?</t>
        </is>
      </c>
      <c r="B2546" s="4" t="n">
        <v>46205</v>
      </c>
      <c r="C2546" s="5" t="n">
        <v>46205.96710648148</v>
      </c>
      <c r="D2546" t="inlineStr">
        <is>
          <t>BUY</t>
        </is>
      </c>
      <c r="E2546" t="inlineStr">
        <is>
          <t>No</t>
        </is>
      </c>
      <c r="F2546" s="2" t="n">
        <v>0.998</v>
      </c>
      <c r="G2546" s="6" t="n">
        <v>90</v>
      </c>
      <c r="H2546" s="6">
        <f>F2546*G2546</f>
        <v/>
      </c>
      <c r="I2546">
        <f>_xlfn.XLOOKUP(A2546,MktTitle,MktCat,"n/a")</f>
        <v/>
      </c>
      <c r="J2546" s="3">
        <f>_xlfn.XLOOKUP(A2546,MktTitle,MktTotVol,0)</f>
        <v/>
      </c>
      <c r="K2546">
        <f>IF(H2546&gt;WhaleThreshold,"WHALE","")</f>
        <v/>
      </c>
    </row>
    <row r="2547">
      <c r="A2547" t="inlineStr">
        <is>
          <t>Will Canada win the 2026 FIFA World Cup?</t>
        </is>
      </c>
      <c r="B2547" s="4" t="n">
        <v>46205</v>
      </c>
      <c r="C2547" s="5" t="n">
        <v>46205.96685185185</v>
      </c>
      <c r="D2547" t="inlineStr">
        <is>
          <t>BUY</t>
        </is>
      </c>
      <c r="E2547" t="inlineStr">
        <is>
          <t>No</t>
        </is>
      </c>
      <c r="F2547" s="2" t="n">
        <v>0.998</v>
      </c>
      <c r="G2547" s="6" t="n">
        <v>116</v>
      </c>
      <c r="H2547" s="6">
        <f>F2547*G2547</f>
        <v/>
      </c>
      <c r="I2547">
        <f>_xlfn.XLOOKUP(A2547,MktTitle,MktCat,"n/a")</f>
        <v/>
      </c>
      <c r="J2547" s="3">
        <f>_xlfn.XLOOKUP(A2547,MktTitle,MktTotVol,0)</f>
        <v/>
      </c>
      <c r="K2547">
        <f>IF(H2547&gt;WhaleThreshold,"WHALE","")</f>
        <v/>
      </c>
    </row>
    <row r="2548">
      <c r="A2548" t="inlineStr">
        <is>
          <t>Will Canada win the 2026 FIFA World Cup?</t>
        </is>
      </c>
      <c r="B2548" s="4" t="n">
        <v>46205</v>
      </c>
      <c r="C2548" s="5" t="n">
        <v>46205.96682870371</v>
      </c>
      <c r="D2548" t="inlineStr">
        <is>
          <t>BUY</t>
        </is>
      </c>
      <c r="E2548" t="inlineStr">
        <is>
          <t>No</t>
        </is>
      </c>
      <c r="F2548" s="2" t="n">
        <v>0.998</v>
      </c>
      <c r="G2548" s="6" t="n">
        <v>8.4</v>
      </c>
      <c r="H2548" s="6">
        <f>F2548*G2548</f>
        <v/>
      </c>
      <c r="I2548">
        <f>_xlfn.XLOOKUP(A2548,MktTitle,MktCat,"n/a")</f>
        <v/>
      </c>
      <c r="J2548" s="3">
        <f>_xlfn.XLOOKUP(A2548,MktTitle,MktTotVol,0)</f>
        <v/>
      </c>
      <c r="K2548">
        <f>IF(H2548&gt;WhaleThreshold,"WHALE","")</f>
        <v/>
      </c>
    </row>
    <row r="2549">
      <c r="A2549" t="inlineStr">
        <is>
          <t>Will Canada win the 2026 FIFA World Cup?</t>
        </is>
      </c>
      <c r="B2549" s="4" t="n">
        <v>46205</v>
      </c>
      <c r="C2549" s="5" t="n">
        <v>46205.96682870371</v>
      </c>
      <c r="D2549" t="inlineStr">
        <is>
          <t>BUY</t>
        </is>
      </c>
      <c r="E2549" t="inlineStr">
        <is>
          <t>No</t>
        </is>
      </c>
      <c r="F2549" s="2" t="n">
        <v>0.998</v>
      </c>
      <c r="G2549" s="6" t="n">
        <v>40</v>
      </c>
      <c r="H2549" s="6">
        <f>F2549*G2549</f>
        <v/>
      </c>
      <c r="I2549">
        <f>_xlfn.XLOOKUP(A2549,MktTitle,MktCat,"n/a")</f>
        <v/>
      </c>
      <c r="J2549" s="3">
        <f>_xlfn.XLOOKUP(A2549,MktTitle,MktTotVol,0)</f>
        <v/>
      </c>
      <c r="K2549">
        <f>IF(H2549&gt;WhaleThreshold,"WHALE","")</f>
        <v/>
      </c>
    </row>
    <row r="2550">
      <c r="A2550" t="inlineStr">
        <is>
          <t>Will Canada win the 2026 FIFA World Cup?</t>
        </is>
      </c>
      <c r="B2550" s="4" t="n">
        <v>46205</v>
      </c>
      <c r="C2550" s="5" t="n">
        <v>46205.96681712963</v>
      </c>
      <c r="D2550" t="inlineStr">
        <is>
          <t>BUY</t>
        </is>
      </c>
      <c r="E2550" t="inlineStr">
        <is>
          <t>No</t>
        </is>
      </c>
      <c r="F2550" s="2" t="n">
        <v>0.998</v>
      </c>
      <c r="G2550" s="6" t="n">
        <v>100</v>
      </c>
      <c r="H2550" s="6">
        <f>F2550*G2550</f>
        <v/>
      </c>
      <c r="I2550">
        <f>_xlfn.XLOOKUP(A2550,MktTitle,MktCat,"n/a")</f>
        <v/>
      </c>
      <c r="J2550" s="3">
        <f>_xlfn.XLOOKUP(A2550,MktTitle,MktTotVol,0)</f>
        <v/>
      </c>
      <c r="K2550">
        <f>IF(H2550&gt;WhaleThreshold,"WHALE","")</f>
        <v/>
      </c>
    </row>
    <row r="2551">
      <c r="A2551" t="inlineStr">
        <is>
          <t>Will Canada win the 2026 FIFA World Cup?</t>
        </is>
      </c>
      <c r="B2551" s="4" t="n">
        <v>46205</v>
      </c>
      <c r="C2551" s="5" t="n">
        <v>46205.96681712963</v>
      </c>
      <c r="D2551" t="inlineStr">
        <is>
          <t>BUY</t>
        </is>
      </c>
      <c r="E2551" t="inlineStr">
        <is>
          <t>No</t>
        </is>
      </c>
      <c r="F2551" s="2" t="n">
        <v>0.998</v>
      </c>
      <c r="G2551" s="6" t="n">
        <v>73.59999999999999</v>
      </c>
      <c r="H2551" s="6">
        <f>F2551*G2551</f>
        <v/>
      </c>
      <c r="I2551">
        <f>_xlfn.XLOOKUP(A2551,MktTitle,MktCat,"n/a")</f>
        <v/>
      </c>
      <c r="J2551" s="3">
        <f>_xlfn.XLOOKUP(A2551,MktTitle,MktTotVol,0)</f>
        <v/>
      </c>
      <c r="K2551">
        <f>IF(H2551&gt;WhaleThreshold,"WHALE","")</f>
        <v/>
      </c>
    </row>
    <row r="2552">
      <c r="A2552" t="inlineStr">
        <is>
          <t>Will Canada win the 2026 FIFA World Cup?</t>
        </is>
      </c>
      <c r="B2552" s="4" t="n">
        <v>46205</v>
      </c>
      <c r="C2552" s="5" t="n">
        <v>46205.96679398148</v>
      </c>
      <c r="D2552" t="inlineStr">
        <is>
          <t>BUY</t>
        </is>
      </c>
      <c r="E2552" t="inlineStr">
        <is>
          <t>No</t>
        </is>
      </c>
      <c r="F2552" s="2" t="n">
        <v>0.998</v>
      </c>
      <c r="G2552" s="6" t="n">
        <v>10</v>
      </c>
      <c r="H2552" s="6">
        <f>F2552*G2552</f>
        <v/>
      </c>
      <c r="I2552">
        <f>_xlfn.XLOOKUP(A2552,MktTitle,MktCat,"n/a")</f>
        <v/>
      </c>
      <c r="J2552" s="3">
        <f>_xlfn.XLOOKUP(A2552,MktTitle,MktTotVol,0)</f>
        <v/>
      </c>
      <c r="K2552">
        <f>IF(H2552&gt;WhaleThreshold,"WHALE","")</f>
        <v/>
      </c>
    </row>
    <row r="2553">
      <c r="A2553" t="inlineStr">
        <is>
          <t>Will Canada win the 2026 FIFA World Cup?</t>
        </is>
      </c>
      <c r="B2553" s="4" t="n">
        <v>46205</v>
      </c>
      <c r="C2553" s="5" t="n">
        <v>46205.96679398148</v>
      </c>
      <c r="D2553" t="inlineStr">
        <is>
          <t>BUY</t>
        </is>
      </c>
      <c r="E2553" t="inlineStr">
        <is>
          <t>No</t>
        </is>
      </c>
      <c r="F2553" s="2" t="n">
        <v>0.998</v>
      </c>
      <c r="G2553" s="6" t="n">
        <v>15</v>
      </c>
      <c r="H2553" s="6">
        <f>F2553*G2553</f>
        <v/>
      </c>
      <c r="I2553">
        <f>_xlfn.XLOOKUP(A2553,MktTitle,MktCat,"n/a")</f>
        <v/>
      </c>
      <c r="J2553" s="3">
        <f>_xlfn.XLOOKUP(A2553,MktTitle,MktTotVol,0)</f>
        <v/>
      </c>
      <c r="K2553">
        <f>IF(H2553&gt;WhaleThreshold,"WHALE","")</f>
        <v/>
      </c>
    </row>
    <row r="2554">
      <c r="A2554" t="inlineStr">
        <is>
          <t>Will Canada win the 2026 FIFA World Cup?</t>
        </is>
      </c>
      <c r="B2554" s="4" t="n">
        <v>46205</v>
      </c>
      <c r="C2554" s="5" t="n">
        <v>46205.96655092593</v>
      </c>
      <c r="D2554" t="inlineStr">
        <is>
          <t>BUY</t>
        </is>
      </c>
      <c r="E2554" t="inlineStr">
        <is>
          <t>No</t>
        </is>
      </c>
      <c r="F2554" s="2" t="n">
        <v>0.998</v>
      </c>
      <c r="G2554" s="6" t="n">
        <v>5</v>
      </c>
      <c r="H2554" s="6">
        <f>F2554*G2554</f>
        <v/>
      </c>
      <c r="I2554">
        <f>_xlfn.XLOOKUP(A2554,MktTitle,MktCat,"n/a")</f>
        <v/>
      </c>
      <c r="J2554" s="3">
        <f>_xlfn.XLOOKUP(A2554,MktTitle,MktTotVol,0)</f>
        <v/>
      </c>
      <c r="K2554">
        <f>IF(H2554&gt;WhaleThreshold,"WHALE","")</f>
        <v/>
      </c>
    </row>
    <row r="2555">
      <c r="A2555" t="inlineStr">
        <is>
          <t>Will Canada win the 2026 FIFA World Cup?</t>
        </is>
      </c>
      <c r="B2555" s="4" t="n">
        <v>46205</v>
      </c>
      <c r="C2555" s="5" t="n">
        <v>46205.96653935185</v>
      </c>
      <c r="D2555" t="inlineStr">
        <is>
          <t>BUY</t>
        </is>
      </c>
      <c r="E2555" t="inlineStr">
        <is>
          <t>No</t>
        </is>
      </c>
      <c r="F2555" s="2" t="n">
        <v>0.998</v>
      </c>
      <c r="G2555" s="6" t="n">
        <v>115</v>
      </c>
      <c r="H2555" s="6">
        <f>F2555*G2555</f>
        <v/>
      </c>
      <c r="I2555">
        <f>_xlfn.XLOOKUP(A2555,MktTitle,MktCat,"n/a")</f>
        <v/>
      </c>
      <c r="J2555" s="3">
        <f>_xlfn.XLOOKUP(A2555,MktTitle,MktTotVol,0)</f>
        <v/>
      </c>
      <c r="K2555">
        <f>IF(H2555&gt;WhaleThreshold,"WHALE","")</f>
        <v/>
      </c>
    </row>
    <row r="2556">
      <c r="A2556" t="inlineStr">
        <is>
          <t>Will Canada win the 2026 FIFA World Cup?</t>
        </is>
      </c>
      <c r="B2556" s="4" t="n">
        <v>46205</v>
      </c>
      <c r="C2556" s="5" t="n">
        <v>46205.96653935185</v>
      </c>
      <c r="D2556" t="inlineStr">
        <is>
          <t>BUY</t>
        </is>
      </c>
      <c r="E2556" t="inlineStr">
        <is>
          <t>No</t>
        </is>
      </c>
      <c r="F2556" s="2" t="n">
        <v>0.998</v>
      </c>
      <c r="G2556" s="6" t="n">
        <v>73.59999999999999</v>
      </c>
      <c r="H2556" s="6">
        <f>F2556*G2556</f>
        <v/>
      </c>
      <c r="I2556">
        <f>_xlfn.XLOOKUP(A2556,MktTitle,MktCat,"n/a")</f>
        <v/>
      </c>
      <c r="J2556" s="3">
        <f>_xlfn.XLOOKUP(A2556,MktTitle,MktTotVol,0)</f>
        <v/>
      </c>
      <c r="K2556">
        <f>IF(H2556&gt;WhaleThreshold,"WHALE","")</f>
        <v/>
      </c>
    </row>
    <row r="2557">
      <c r="A2557" t="inlineStr">
        <is>
          <t>Will Canada win the 2026 FIFA World Cup?</t>
        </is>
      </c>
      <c r="B2557" s="4" t="n">
        <v>46205</v>
      </c>
      <c r="C2557" s="5" t="n">
        <v>46205.96653935185</v>
      </c>
      <c r="D2557" t="inlineStr">
        <is>
          <t>BUY</t>
        </is>
      </c>
      <c r="E2557" t="inlineStr">
        <is>
          <t>No</t>
        </is>
      </c>
      <c r="F2557" s="2" t="n">
        <v>0.998</v>
      </c>
      <c r="G2557" s="6" t="n">
        <v>115</v>
      </c>
      <c r="H2557" s="6">
        <f>F2557*G2557</f>
        <v/>
      </c>
      <c r="I2557">
        <f>_xlfn.XLOOKUP(A2557,MktTitle,MktCat,"n/a")</f>
        <v/>
      </c>
      <c r="J2557" s="3">
        <f>_xlfn.XLOOKUP(A2557,MktTitle,MktTotVol,0)</f>
        <v/>
      </c>
      <c r="K2557">
        <f>IF(H2557&gt;WhaleThreshold,"WHALE","")</f>
        <v/>
      </c>
    </row>
    <row r="2558">
      <c r="A2558" t="inlineStr">
        <is>
          <t>Will Canada win the 2026 FIFA World Cup?</t>
        </is>
      </c>
      <c r="B2558" s="4" t="n">
        <v>46205</v>
      </c>
      <c r="C2558" s="5" t="n">
        <v>46205.96623842593</v>
      </c>
      <c r="D2558" t="inlineStr">
        <is>
          <t>BUY</t>
        </is>
      </c>
      <c r="E2558" t="inlineStr">
        <is>
          <t>No</t>
        </is>
      </c>
      <c r="F2558" s="2" t="n">
        <v>0.998</v>
      </c>
      <c r="G2558" s="6" t="n">
        <v>10.691</v>
      </c>
      <c r="H2558" s="6">
        <f>F2558*G2558</f>
        <v/>
      </c>
      <c r="I2558">
        <f>_xlfn.XLOOKUP(A2558,MktTitle,MktCat,"n/a")</f>
        <v/>
      </c>
      <c r="J2558" s="3">
        <f>_xlfn.XLOOKUP(A2558,MktTitle,MktTotVol,0)</f>
        <v/>
      </c>
      <c r="K2558">
        <f>IF(H2558&gt;WhaleThreshold,"WHALE","")</f>
        <v/>
      </c>
    </row>
    <row r="2559">
      <c r="A2559" t="inlineStr">
        <is>
          <t>Will Canada win the 2026 FIFA World Cup?</t>
        </is>
      </c>
      <c r="B2559" s="4" t="n">
        <v>46205</v>
      </c>
      <c r="C2559" s="5" t="n">
        <v>46205.96623842593</v>
      </c>
      <c r="D2559" t="inlineStr">
        <is>
          <t>BUY</t>
        </is>
      </c>
      <c r="E2559" t="inlineStr">
        <is>
          <t>No</t>
        </is>
      </c>
      <c r="F2559" s="2" t="n">
        <v>0.998</v>
      </c>
      <c r="G2559" s="6" t="n">
        <v>10.581</v>
      </c>
      <c r="H2559" s="6">
        <f>F2559*G2559</f>
        <v/>
      </c>
      <c r="I2559">
        <f>_xlfn.XLOOKUP(A2559,MktTitle,MktCat,"n/a")</f>
        <v/>
      </c>
      <c r="J2559" s="3">
        <f>_xlfn.XLOOKUP(A2559,MktTitle,MktTotVol,0)</f>
        <v/>
      </c>
      <c r="K2559">
        <f>IF(H2559&gt;WhaleThreshold,"WHALE","")</f>
        <v/>
      </c>
    </row>
    <row r="2560">
      <c r="A2560" t="inlineStr">
        <is>
          <t>Will Canada win the 2026 FIFA World Cup?</t>
        </is>
      </c>
      <c r="B2560" s="4" t="n">
        <v>46205</v>
      </c>
      <c r="C2560" s="5" t="n">
        <v>46205.96622685185</v>
      </c>
      <c r="D2560" t="inlineStr">
        <is>
          <t>BUY</t>
        </is>
      </c>
      <c r="E2560" t="inlineStr">
        <is>
          <t>No</t>
        </is>
      </c>
      <c r="F2560" s="2" t="n">
        <v>0.998</v>
      </c>
      <c r="G2560" s="6" t="n">
        <v>10</v>
      </c>
      <c r="H2560" s="6">
        <f>F2560*G2560</f>
        <v/>
      </c>
      <c r="I2560">
        <f>_xlfn.XLOOKUP(A2560,MktTitle,MktCat,"n/a")</f>
        <v/>
      </c>
      <c r="J2560" s="3">
        <f>_xlfn.XLOOKUP(A2560,MktTitle,MktTotVol,0)</f>
        <v/>
      </c>
      <c r="K2560">
        <f>IF(H2560&gt;WhaleThreshold,"WHALE","")</f>
        <v/>
      </c>
    </row>
    <row r="2561">
      <c r="A2561" t="inlineStr">
        <is>
          <t>Will Canada win the 2026 FIFA World Cup?</t>
        </is>
      </c>
      <c r="B2561" s="4" t="n">
        <v>46205</v>
      </c>
      <c r="C2561" s="5" t="n">
        <v>46205.96620370371</v>
      </c>
      <c r="D2561" t="inlineStr">
        <is>
          <t>BUY</t>
        </is>
      </c>
      <c r="E2561" t="inlineStr">
        <is>
          <t>No</t>
        </is>
      </c>
      <c r="F2561" s="2" t="n">
        <v>0.998</v>
      </c>
      <c r="G2561" s="6" t="n">
        <v>54</v>
      </c>
      <c r="H2561" s="6">
        <f>F2561*G2561</f>
        <v/>
      </c>
      <c r="I2561">
        <f>_xlfn.XLOOKUP(A2561,MktTitle,MktCat,"n/a")</f>
        <v/>
      </c>
      <c r="J2561" s="3">
        <f>_xlfn.XLOOKUP(A2561,MktTitle,MktTotVol,0)</f>
        <v/>
      </c>
      <c r="K2561">
        <f>IF(H2561&gt;WhaleThreshold,"WHALE","")</f>
        <v/>
      </c>
    </row>
    <row r="2562">
      <c r="A2562" t="inlineStr">
        <is>
          <t>Will Canada win the 2026 FIFA World Cup?</t>
        </is>
      </c>
      <c r="B2562" s="4" t="n">
        <v>46205</v>
      </c>
      <c r="C2562" s="5" t="n">
        <v>46205.96594907407</v>
      </c>
      <c r="D2562" t="inlineStr">
        <is>
          <t>BUY</t>
        </is>
      </c>
      <c r="E2562" t="inlineStr">
        <is>
          <t>No</t>
        </is>
      </c>
      <c r="F2562" s="2" t="n">
        <v>0.998</v>
      </c>
      <c r="G2562" s="6" t="n">
        <v>10</v>
      </c>
      <c r="H2562" s="6">
        <f>F2562*G2562</f>
        <v/>
      </c>
      <c r="I2562">
        <f>_xlfn.XLOOKUP(A2562,MktTitle,MktCat,"n/a")</f>
        <v/>
      </c>
      <c r="J2562" s="3">
        <f>_xlfn.XLOOKUP(A2562,MktTitle,MktTotVol,0)</f>
        <v/>
      </c>
      <c r="K2562">
        <f>IF(H2562&gt;WhaleThreshold,"WHALE","")</f>
        <v/>
      </c>
    </row>
    <row r="2563">
      <c r="A2563" t="inlineStr">
        <is>
          <t>Will Canada win the 2026 FIFA World Cup?</t>
        </is>
      </c>
      <c r="B2563" s="4" t="n">
        <v>46205</v>
      </c>
      <c r="C2563" s="5" t="n">
        <v>46205.96592592593</v>
      </c>
      <c r="D2563" t="inlineStr">
        <is>
          <t>BUY</t>
        </is>
      </c>
      <c r="E2563" t="inlineStr">
        <is>
          <t>No</t>
        </is>
      </c>
      <c r="F2563" s="2" t="n">
        <v>0.998</v>
      </c>
      <c r="G2563" s="6" t="n">
        <v>28</v>
      </c>
      <c r="H2563" s="6">
        <f>F2563*G2563</f>
        <v/>
      </c>
      <c r="I2563">
        <f>_xlfn.XLOOKUP(A2563,MktTitle,MktCat,"n/a")</f>
        <v/>
      </c>
      <c r="J2563" s="3">
        <f>_xlfn.XLOOKUP(A2563,MktTitle,MktTotVol,0)</f>
        <v/>
      </c>
      <c r="K2563">
        <f>IF(H2563&gt;WhaleThreshold,"WHALE","")</f>
        <v/>
      </c>
    </row>
    <row r="2564">
      <c r="A2564" t="inlineStr">
        <is>
          <t>Will Canada win the 2026 FIFA World Cup?</t>
        </is>
      </c>
      <c r="B2564" s="4" t="n">
        <v>46205</v>
      </c>
      <c r="C2564" s="5" t="n">
        <v>46205.96582175926</v>
      </c>
      <c r="D2564" t="inlineStr">
        <is>
          <t>BUY</t>
        </is>
      </c>
      <c r="E2564" t="inlineStr">
        <is>
          <t>No</t>
        </is>
      </c>
      <c r="F2564" s="2" t="n">
        <v>0.998</v>
      </c>
      <c r="G2564" s="6" t="n">
        <v>5</v>
      </c>
      <c r="H2564" s="6">
        <f>F2564*G2564</f>
        <v/>
      </c>
      <c r="I2564">
        <f>_xlfn.XLOOKUP(A2564,MktTitle,MktCat,"n/a")</f>
        <v/>
      </c>
      <c r="J2564" s="3">
        <f>_xlfn.XLOOKUP(A2564,MktTitle,MktTotVol,0)</f>
        <v/>
      </c>
      <c r="K2564">
        <f>IF(H2564&gt;WhaleThreshold,"WHALE","")</f>
        <v/>
      </c>
    </row>
    <row r="2565">
      <c r="A2565" t="inlineStr">
        <is>
          <t>Will Canada win the 2026 FIFA World Cup?</t>
        </is>
      </c>
      <c r="B2565" s="4" t="n">
        <v>46205</v>
      </c>
      <c r="C2565" s="5" t="n">
        <v>46205.96578703704</v>
      </c>
      <c r="D2565" t="inlineStr">
        <is>
          <t>BUY</t>
        </is>
      </c>
      <c r="E2565" t="inlineStr">
        <is>
          <t>No</t>
        </is>
      </c>
      <c r="F2565" s="2" t="n">
        <v>0.998</v>
      </c>
      <c r="G2565" s="6" t="n">
        <v>115</v>
      </c>
      <c r="H2565" s="6">
        <f>F2565*G2565</f>
        <v/>
      </c>
      <c r="I2565">
        <f>_xlfn.XLOOKUP(A2565,MktTitle,MktCat,"n/a")</f>
        <v/>
      </c>
      <c r="J2565" s="3">
        <f>_xlfn.XLOOKUP(A2565,MktTitle,MktTotVol,0)</f>
        <v/>
      </c>
      <c r="K2565">
        <f>IF(H2565&gt;WhaleThreshold,"WHALE","")</f>
        <v/>
      </c>
    </row>
    <row r="2566">
      <c r="A2566" t="inlineStr">
        <is>
          <t>Will Canada win the 2026 FIFA World Cup?</t>
        </is>
      </c>
      <c r="B2566" s="4" t="n">
        <v>46205</v>
      </c>
      <c r="C2566" s="5" t="n">
        <v>46205.96578703704</v>
      </c>
      <c r="D2566" t="inlineStr">
        <is>
          <t>BUY</t>
        </is>
      </c>
      <c r="E2566" t="inlineStr">
        <is>
          <t>No</t>
        </is>
      </c>
      <c r="F2566" s="2" t="n">
        <v>0.998</v>
      </c>
      <c r="G2566" s="6" t="n">
        <v>37.4</v>
      </c>
      <c r="H2566" s="6">
        <f>F2566*G2566</f>
        <v/>
      </c>
      <c r="I2566">
        <f>_xlfn.XLOOKUP(A2566,MktTitle,MktCat,"n/a")</f>
        <v/>
      </c>
      <c r="J2566" s="3">
        <f>_xlfn.XLOOKUP(A2566,MktTitle,MktTotVol,0)</f>
        <v/>
      </c>
      <c r="K2566">
        <f>IF(H2566&gt;WhaleThreshold,"WHALE","")</f>
        <v/>
      </c>
    </row>
    <row r="2567">
      <c r="A2567" t="inlineStr">
        <is>
          <t>Will Canada win the 2026 FIFA World Cup?</t>
        </is>
      </c>
      <c r="B2567" s="4" t="n">
        <v>46205</v>
      </c>
      <c r="C2567" s="5" t="n">
        <v>46205.9641550926</v>
      </c>
      <c r="D2567" t="inlineStr">
        <is>
          <t>BUY</t>
        </is>
      </c>
      <c r="E2567" t="inlineStr">
        <is>
          <t>No</t>
        </is>
      </c>
      <c r="F2567" s="2" t="n">
        <v>0.998</v>
      </c>
      <c r="G2567" s="6" t="n">
        <v>15</v>
      </c>
      <c r="H2567" s="6">
        <f>F2567*G2567</f>
        <v/>
      </c>
      <c r="I2567">
        <f>_xlfn.XLOOKUP(A2567,MktTitle,MktCat,"n/a")</f>
        <v/>
      </c>
      <c r="J2567" s="3">
        <f>_xlfn.XLOOKUP(A2567,MktTitle,MktTotVol,0)</f>
        <v/>
      </c>
      <c r="K2567">
        <f>IF(H2567&gt;WhaleThreshold,"WHALE","")</f>
        <v/>
      </c>
    </row>
    <row r="2568">
      <c r="A2568" t="inlineStr">
        <is>
          <t>Will Canada win the 2026 FIFA World Cup?</t>
        </is>
      </c>
      <c r="B2568" s="4" t="n">
        <v>46205</v>
      </c>
      <c r="C2568" s="5" t="n">
        <v>46205.9641550926</v>
      </c>
      <c r="D2568" t="inlineStr">
        <is>
          <t>BUY</t>
        </is>
      </c>
      <c r="E2568" t="inlineStr">
        <is>
          <t>No</t>
        </is>
      </c>
      <c r="F2568" s="2" t="n">
        <v>0.998</v>
      </c>
      <c r="G2568" s="6" t="n">
        <v>39</v>
      </c>
      <c r="H2568" s="6">
        <f>F2568*G2568</f>
        <v/>
      </c>
      <c r="I2568">
        <f>_xlfn.XLOOKUP(A2568,MktTitle,MktCat,"n/a")</f>
        <v/>
      </c>
      <c r="J2568" s="3">
        <f>_xlfn.XLOOKUP(A2568,MktTitle,MktTotVol,0)</f>
        <v/>
      </c>
      <c r="K2568">
        <f>IF(H2568&gt;WhaleThreshold,"WHALE","")</f>
        <v/>
      </c>
    </row>
    <row r="2569">
      <c r="A2569" t="inlineStr">
        <is>
          <t>Will Canada win the 2026 FIFA World Cup?</t>
        </is>
      </c>
      <c r="B2569" s="4" t="n">
        <v>46205</v>
      </c>
      <c r="C2569" s="5" t="n">
        <v>46205.96412037037</v>
      </c>
      <c r="D2569" t="inlineStr">
        <is>
          <t>BUY</t>
        </is>
      </c>
      <c r="E2569" t="inlineStr">
        <is>
          <t>No</t>
        </is>
      </c>
      <c r="F2569" s="2" t="n">
        <v>0.998</v>
      </c>
      <c r="G2569" s="6" t="n">
        <v>116</v>
      </c>
      <c r="H2569" s="6">
        <f>F2569*G2569</f>
        <v/>
      </c>
      <c r="I2569">
        <f>_xlfn.XLOOKUP(A2569,MktTitle,MktCat,"n/a")</f>
        <v/>
      </c>
      <c r="J2569" s="3">
        <f>_xlfn.XLOOKUP(A2569,MktTitle,MktTotVol,0)</f>
        <v/>
      </c>
      <c r="K2569">
        <f>IF(H2569&gt;WhaleThreshold,"WHALE","")</f>
        <v/>
      </c>
    </row>
    <row r="2570">
      <c r="A2570" t="inlineStr">
        <is>
          <t>Will Canada win the 2026 FIFA World Cup?</t>
        </is>
      </c>
      <c r="B2570" s="4" t="n">
        <v>46205</v>
      </c>
      <c r="C2570" s="5" t="n">
        <v>46205.96412037037</v>
      </c>
      <c r="D2570" t="inlineStr">
        <is>
          <t>BUY</t>
        </is>
      </c>
      <c r="E2570" t="inlineStr">
        <is>
          <t>No</t>
        </is>
      </c>
      <c r="F2570" s="2" t="n">
        <v>0.998</v>
      </c>
      <c r="G2570" s="6" t="n">
        <v>51.533</v>
      </c>
      <c r="H2570" s="6">
        <f>F2570*G2570</f>
        <v/>
      </c>
      <c r="I2570">
        <f>_xlfn.XLOOKUP(A2570,MktTitle,MktCat,"n/a")</f>
        <v/>
      </c>
      <c r="J2570" s="3">
        <f>_xlfn.XLOOKUP(A2570,MktTitle,MktTotVol,0)</f>
        <v/>
      </c>
      <c r="K2570">
        <f>IF(H2570&gt;WhaleThreshold,"WHALE","")</f>
        <v/>
      </c>
    </row>
    <row r="2571">
      <c r="A2571" t="inlineStr">
        <is>
          <t>Will Canada win the 2026 FIFA World Cup?</t>
        </is>
      </c>
      <c r="B2571" s="4" t="n">
        <v>46205</v>
      </c>
      <c r="C2571" s="5" t="n">
        <v>46205.96412037037</v>
      </c>
      <c r="D2571" t="inlineStr">
        <is>
          <t>BUY</t>
        </is>
      </c>
      <c r="E2571" t="inlineStr">
        <is>
          <t>No</t>
        </is>
      </c>
      <c r="F2571" s="2" t="n">
        <v>0.998</v>
      </c>
      <c r="G2571" s="6" t="n">
        <v>62</v>
      </c>
      <c r="H2571" s="6">
        <f>F2571*G2571</f>
        <v/>
      </c>
      <c r="I2571">
        <f>_xlfn.XLOOKUP(A2571,MktTitle,MktCat,"n/a")</f>
        <v/>
      </c>
      <c r="J2571" s="3">
        <f>_xlfn.XLOOKUP(A2571,MktTitle,MktTotVol,0)</f>
        <v/>
      </c>
      <c r="K2571">
        <f>IF(H2571&gt;WhaleThreshold,"WHALE","")</f>
        <v/>
      </c>
    </row>
    <row r="2572">
      <c r="A2572" t="inlineStr">
        <is>
          <t>Will Canada win the 2026 FIFA World Cup?</t>
        </is>
      </c>
      <c r="B2572" s="4" t="n">
        <v>46205</v>
      </c>
      <c r="C2572" s="5" t="n">
        <v>46205.9641087963</v>
      </c>
      <c r="D2572" t="inlineStr">
        <is>
          <t>BUY</t>
        </is>
      </c>
      <c r="E2572" t="inlineStr">
        <is>
          <t>No</t>
        </is>
      </c>
      <c r="F2572" s="2" t="n">
        <v>0.998</v>
      </c>
      <c r="G2572" s="6" t="n">
        <v>110</v>
      </c>
      <c r="H2572" s="6">
        <f>F2572*G2572</f>
        <v/>
      </c>
      <c r="I2572">
        <f>_xlfn.XLOOKUP(A2572,MktTitle,MktCat,"n/a")</f>
        <v/>
      </c>
      <c r="J2572" s="3">
        <f>_xlfn.XLOOKUP(A2572,MktTitle,MktTotVol,0)</f>
        <v/>
      </c>
      <c r="K2572">
        <f>IF(H2572&gt;WhaleThreshold,"WHALE","")</f>
        <v/>
      </c>
    </row>
    <row r="2573">
      <c r="A2573" t="inlineStr">
        <is>
          <t>Will Canada win the 2026 FIFA World Cup?</t>
        </is>
      </c>
      <c r="B2573" s="4" t="n">
        <v>46205</v>
      </c>
      <c r="C2573" s="5" t="n">
        <v>46205.9641087963</v>
      </c>
      <c r="D2573" t="inlineStr">
        <is>
          <t>BUY</t>
        </is>
      </c>
      <c r="E2573" t="inlineStr">
        <is>
          <t>No</t>
        </is>
      </c>
      <c r="F2573" s="2" t="n">
        <v>0.998</v>
      </c>
      <c r="G2573" s="6" t="n">
        <v>25.5</v>
      </c>
      <c r="H2573" s="6">
        <f>F2573*G2573</f>
        <v/>
      </c>
      <c r="I2573">
        <f>_xlfn.XLOOKUP(A2573,MktTitle,MktCat,"n/a")</f>
        <v/>
      </c>
      <c r="J2573" s="3">
        <f>_xlfn.XLOOKUP(A2573,MktTitle,MktTotVol,0)</f>
        <v/>
      </c>
      <c r="K2573">
        <f>IF(H2573&gt;WhaleThreshold,"WHALE","")</f>
        <v/>
      </c>
    </row>
    <row r="2574">
      <c r="A2574" t="inlineStr">
        <is>
          <t>Will Canada win the 2026 FIFA World Cup?</t>
        </is>
      </c>
      <c r="B2574" s="4" t="n">
        <v>46205</v>
      </c>
      <c r="C2574" s="5" t="n">
        <v>46205.9641087963</v>
      </c>
      <c r="D2574" t="inlineStr">
        <is>
          <t>BUY</t>
        </is>
      </c>
      <c r="E2574" t="inlineStr">
        <is>
          <t>No</t>
        </is>
      </c>
      <c r="F2574" s="2" t="n">
        <v>0.998</v>
      </c>
      <c r="G2574" s="6" t="n">
        <v>10</v>
      </c>
      <c r="H2574" s="6">
        <f>F2574*G2574</f>
        <v/>
      </c>
      <c r="I2574">
        <f>_xlfn.XLOOKUP(A2574,MktTitle,MktCat,"n/a")</f>
        <v/>
      </c>
      <c r="J2574" s="3">
        <f>_xlfn.XLOOKUP(A2574,MktTitle,MktTotVol,0)</f>
        <v/>
      </c>
      <c r="K2574">
        <f>IF(H2574&gt;WhaleThreshold,"WHALE","")</f>
        <v/>
      </c>
    </row>
    <row r="2575">
      <c r="A2575" t="inlineStr">
        <is>
          <t>Will Canada win the 2026 FIFA World Cup?</t>
        </is>
      </c>
      <c r="B2575" s="4" t="n">
        <v>46205</v>
      </c>
      <c r="C2575" s="5" t="n">
        <v>46205.96408564815</v>
      </c>
      <c r="D2575" t="inlineStr">
        <is>
          <t>BUY</t>
        </is>
      </c>
      <c r="E2575" t="inlineStr">
        <is>
          <t>No</t>
        </is>
      </c>
      <c r="F2575" s="2" t="n">
        <v>0.998</v>
      </c>
      <c r="G2575" s="6" t="n">
        <v>110</v>
      </c>
      <c r="H2575" s="6">
        <f>F2575*G2575</f>
        <v/>
      </c>
      <c r="I2575">
        <f>_xlfn.XLOOKUP(A2575,MktTitle,MktCat,"n/a")</f>
        <v/>
      </c>
      <c r="J2575" s="3">
        <f>_xlfn.XLOOKUP(A2575,MktTitle,MktTotVol,0)</f>
        <v/>
      </c>
      <c r="K2575">
        <f>IF(H2575&gt;WhaleThreshold,"WHALE","")</f>
        <v/>
      </c>
    </row>
    <row r="2576">
      <c r="A2576" t="inlineStr">
        <is>
          <t>Will Canada win the 2026 FIFA World Cup?</t>
        </is>
      </c>
      <c r="B2576" s="4" t="n">
        <v>46205</v>
      </c>
      <c r="C2576" s="5" t="n">
        <v>46205.96408564815</v>
      </c>
      <c r="D2576" t="inlineStr">
        <is>
          <t>BUY</t>
        </is>
      </c>
      <c r="E2576" t="inlineStr">
        <is>
          <t>No</t>
        </is>
      </c>
      <c r="F2576" s="2" t="n">
        <v>0.998</v>
      </c>
      <c r="G2576" s="6" t="n">
        <v>51.1</v>
      </c>
      <c r="H2576" s="6">
        <f>F2576*G2576</f>
        <v/>
      </c>
      <c r="I2576">
        <f>_xlfn.XLOOKUP(A2576,MktTitle,MktCat,"n/a")</f>
        <v/>
      </c>
      <c r="J2576" s="3">
        <f>_xlfn.XLOOKUP(A2576,MktTitle,MktTotVol,0)</f>
        <v/>
      </c>
      <c r="K2576">
        <f>IF(H2576&gt;WhaleThreshold,"WHALE","")</f>
        <v/>
      </c>
    </row>
    <row r="2577">
      <c r="A2577" t="inlineStr">
        <is>
          <t>Will Canada win the 2026 FIFA World Cup?</t>
        </is>
      </c>
      <c r="B2577" s="4" t="n">
        <v>46205</v>
      </c>
      <c r="C2577" s="5" t="n">
        <v>46205.96407407407</v>
      </c>
      <c r="D2577" t="inlineStr">
        <is>
          <t>BUY</t>
        </is>
      </c>
      <c r="E2577" t="inlineStr">
        <is>
          <t>No</t>
        </is>
      </c>
      <c r="F2577" s="2" t="n">
        <v>0.998</v>
      </c>
      <c r="G2577" s="6" t="n">
        <v>73.59999999999999</v>
      </c>
      <c r="H2577" s="6">
        <f>F2577*G2577</f>
        <v/>
      </c>
      <c r="I2577">
        <f>_xlfn.XLOOKUP(A2577,MktTitle,MktCat,"n/a")</f>
        <v/>
      </c>
      <c r="J2577" s="3">
        <f>_xlfn.XLOOKUP(A2577,MktTitle,MktTotVol,0)</f>
        <v/>
      </c>
      <c r="K2577">
        <f>IF(H2577&gt;WhaleThreshold,"WHALE","")</f>
        <v/>
      </c>
    </row>
    <row r="2578">
      <c r="A2578" t="inlineStr">
        <is>
          <t>Will Canada win the 2026 FIFA World Cup?</t>
        </is>
      </c>
      <c r="B2578" s="4" t="n">
        <v>46205</v>
      </c>
      <c r="C2578" s="5" t="n">
        <v>46205.96407407407</v>
      </c>
      <c r="D2578" t="inlineStr">
        <is>
          <t>BUY</t>
        </is>
      </c>
      <c r="E2578" t="inlineStr">
        <is>
          <t>No</t>
        </is>
      </c>
      <c r="F2578" s="2" t="n">
        <v>0.998</v>
      </c>
      <c r="G2578" s="6" t="n">
        <v>110</v>
      </c>
      <c r="H2578" s="6">
        <f>F2578*G2578</f>
        <v/>
      </c>
      <c r="I2578">
        <f>_xlfn.XLOOKUP(A2578,MktTitle,MktCat,"n/a")</f>
        <v/>
      </c>
      <c r="J2578" s="3">
        <f>_xlfn.XLOOKUP(A2578,MktTitle,MktTotVol,0)</f>
        <v/>
      </c>
      <c r="K2578">
        <f>IF(H2578&gt;WhaleThreshold,"WHALE","")</f>
        <v/>
      </c>
    </row>
    <row r="2579">
      <c r="A2579" t="inlineStr">
        <is>
          <t>Will Canada win the 2026 FIFA World Cup?</t>
        </is>
      </c>
      <c r="B2579" s="4" t="n">
        <v>46205</v>
      </c>
      <c r="C2579" s="5" t="n">
        <v>46205.96407407407</v>
      </c>
      <c r="D2579" t="inlineStr">
        <is>
          <t>BUY</t>
        </is>
      </c>
      <c r="E2579" t="inlineStr">
        <is>
          <t>No</t>
        </is>
      </c>
      <c r="F2579" s="2" t="n">
        <v>0.998</v>
      </c>
      <c r="G2579" s="6" t="n">
        <v>5</v>
      </c>
      <c r="H2579" s="6">
        <f>F2579*G2579</f>
        <v/>
      </c>
      <c r="I2579">
        <f>_xlfn.XLOOKUP(A2579,MktTitle,MktCat,"n/a")</f>
        <v/>
      </c>
      <c r="J2579" s="3">
        <f>_xlfn.XLOOKUP(A2579,MktTitle,MktTotVol,0)</f>
        <v/>
      </c>
      <c r="K2579">
        <f>IF(H2579&gt;WhaleThreshold,"WHALE","")</f>
        <v/>
      </c>
    </row>
    <row r="2580">
      <c r="A2580" t="inlineStr">
        <is>
          <t>Will Canada win the 2026 FIFA World Cup?</t>
        </is>
      </c>
      <c r="B2580" s="4" t="n">
        <v>46205</v>
      </c>
      <c r="C2580" s="5" t="n">
        <v>46205.96403935185</v>
      </c>
      <c r="D2580" t="inlineStr">
        <is>
          <t>BUY</t>
        </is>
      </c>
      <c r="E2580" t="inlineStr">
        <is>
          <t>No</t>
        </is>
      </c>
      <c r="F2580" s="2" t="n">
        <v>0.998</v>
      </c>
      <c r="G2580" s="6" t="n">
        <v>115</v>
      </c>
      <c r="H2580" s="6">
        <f>F2580*G2580</f>
        <v/>
      </c>
      <c r="I2580">
        <f>_xlfn.XLOOKUP(A2580,MktTitle,MktCat,"n/a")</f>
        <v/>
      </c>
      <c r="J2580" s="3">
        <f>_xlfn.XLOOKUP(A2580,MktTitle,MktTotVol,0)</f>
        <v/>
      </c>
      <c r="K2580">
        <f>IF(H2580&gt;WhaleThreshold,"WHALE","")</f>
        <v/>
      </c>
    </row>
    <row r="2581">
      <c r="A2581" t="inlineStr">
        <is>
          <t>Will Canada win the 2026 FIFA World Cup?</t>
        </is>
      </c>
      <c r="B2581" s="4" t="n">
        <v>46205</v>
      </c>
      <c r="C2581" s="5" t="n">
        <v>46205.96325231482</v>
      </c>
      <c r="D2581" t="inlineStr">
        <is>
          <t>BUY</t>
        </is>
      </c>
      <c r="E2581" t="inlineStr">
        <is>
          <t>No</t>
        </is>
      </c>
      <c r="F2581" s="2" t="n">
        <v>0.998</v>
      </c>
      <c r="G2581" s="6" t="n">
        <v>20</v>
      </c>
      <c r="H2581" s="6">
        <f>F2581*G2581</f>
        <v/>
      </c>
      <c r="I2581">
        <f>_xlfn.XLOOKUP(A2581,MktTitle,MktCat,"n/a")</f>
        <v/>
      </c>
      <c r="J2581" s="3">
        <f>_xlfn.XLOOKUP(A2581,MktTitle,MktTotVol,0)</f>
        <v/>
      </c>
      <c r="K2581">
        <f>IF(H2581&gt;WhaleThreshold,"WHALE","")</f>
        <v/>
      </c>
    </row>
    <row r="2582">
      <c r="A2582" t="inlineStr">
        <is>
          <t>Will Canada win the 2026 FIFA World Cup?</t>
        </is>
      </c>
      <c r="B2582" s="4" t="n">
        <v>46205</v>
      </c>
      <c r="C2582" s="5" t="n">
        <v>46205.96325231482</v>
      </c>
      <c r="D2582" t="inlineStr">
        <is>
          <t>BUY</t>
        </is>
      </c>
      <c r="E2582" t="inlineStr">
        <is>
          <t>No</t>
        </is>
      </c>
      <c r="F2582" s="2" t="n">
        <v>0.998</v>
      </c>
      <c r="G2582" s="6" t="n">
        <v>16</v>
      </c>
      <c r="H2582" s="6">
        <f>F2582*G2582</f>
        <v/>
      </c>
      <c r="I2582">
        <f>_xlfn.XLOOKUP(A2582,MktTitle,MktCat,"n/a")</f>
        <v/>
      </c>
      <c r="J2582" s="3">
        <f>_xlfn.XLOOKUP(A2582,MktTitle,MktTotVol,0)</f>
        <v/>
      </c>
      <c r="K2582">
        <f>IF(H2582&gt;WhaleThreshold,"WHALE","")</f>
        <v/>
      </c>
    </row>
    <row r="2583">
      <c r="A2583" t="inlineStr">
        <is>
          <t>Will Canada win the 2026 FIFA World Cup?</t>
        </is>
      </c>
      <c r="B2583" s="4" t="n">
        <v>46205</v>
      </c>
      <c r="C2583" s="5" t="n">
        <v>46205.96321759259</v>
      </c>
      <c r="D2583" t="inlineStr">
        <is>
          <t>BUY</t>
        </is>
      </c>
      <c r="E2583" t="inlineStr">
        <is>
          <t>No</t>
        </is>
      </c>
      <c r="F2583" s="2" t="n">
        <v>0.998</v>
      </c>
      <c r="G2583" s="6" t="n">
        <v>2.1</v>
      </c>
      <c r="H2583" s="6">
        <f>F2583*G2583</f>
        <v/>
      </c>
      <c r="I2583">
        <f>_xlfn.XLOOKUP(A2583,MktTitle,MktCat,"n/a")</f>
        <v/>
      </c>
      <c r="J2583" s="3">
        <f>_xlfn.XLOOKUP(A2583,MktTitle,MktTotVol,0)</f>
        <v/>
      </c>
      <c r="K2583">
        <f>IF(H2583&gt;WhaleThreshold,"WHALE","")</f>
        <v/>
      </c>
    </row>
    <row r="2584">
      <c r="A2584" t="inlineStr">
        <is>
          <t>Will Canada win the 2026 FIFA World Cup?</t>
        </is>
      </c>
      <c r="B2584" s="4" t="n">
        <v>46205</v>
      </c>
      <c r="C2584" s="5" t="n">
        <v>46205.96313657407</v>
      </c>
      <c r="D2584" t="inlineStr">
        <is>
          <t>SELL</t>
        </is>
      </c>
      <c r="E2584" t="inlineStr">
        <is>
          <t>No</t>
        </is>
      </c>
      <c r="F2584" s="2" t="n">
        <v>0.997</v>
      </c>
      <c r="G2584" s="6" t="n">
        <v>10.77</v>
      </c>
      <c r="H2584" s="6">
        <f>F2584*G2584</f>
        <v/>
      </c>
      <c r="I2584">
        <f>_xlfn.XLOOKUP(A2584,MktTitle,MktCat,"n/a")</f>
        <v/>
      </c>
      <c r="J2584" s="3">
        <f>_xlfn.XLOOKUP(A2584,MktTitle,MktTotVol,0)</f>
        <v/>
      </c>
      <c r="K2584">
        <f>IF(H2584&gt;WhaleThreshold,"WHALE","")</f>
        <v/>
      </c>
    </row>
    <row r="2585">
      <c r="A2585" t="inlineStr">
        <is>
          <t>Will Canada win the 2026 FIFA World Cup?</t>
        </is>
      </c>
      <c r="B2585" s="4" t="n">
        <v>46205</v>
      </c>
      <c r="C2585" s="5" t="n">
        <v>46205.9630787037</v>
      </c>
      <c r="D2585" t="inlineStr">
        <is>
          <t>SELL</t>
        </is>
      </c>
      <c r="E2585" t="inlineStr">
        <is>
          <t>No</t>
        </is>
      </c>
      <c r="F2585" s="2" t="n">
        <v>0.997</v>
      </c>
      <c r="G2585" s="6" t="n">
        <v>10.89</v>
      </c>
      <c r="H2585" s="6">
        <f>F2585*G2585</f>
        <v/>
      </c>
      <c r="I2585">
        <f>_xlfn.XLOOKUP(A2585,MktTitle,MktCat,"n/a")</f>
        <v/>
      </c>
      <c r="J2585" s="3">
        <f>_xlfn.XLOOKUP(A2585,MktTitle,MktTotVol,0)</f>
        <v/>
      </c>
      <c r="K2585">
        <f>IF(H2585&gt;WhaleThreshold,"WHALE","")</f>
        <v/>
      </c>
    </row>
    <row r="2586">
      <c r="A2586" t="inlineStr">
        <is>
          <t>Will Canada win the 2026 FIFA World Cup?</t>
        </is>
      </c>
      <c r="B2586" s="4" t="n">
        <v>46205</v>
      </c>
      <c r="C2586" s="5" t="n">
        <v>46205.96300925926</v>
      </c>
      <c r="D2586" t="inlineStr">
        <is>
          <t>BUY</t>
        </is>
      </c>
      <c r="E2586" t="inlineStr">
        <is>
          <t>No</t>
        </is>
      </c>
      <c r="F2586" s="2" t="n">
        <v>0.998</v>
      </c>
      <c r="G2586" s="6" t="n">
        <v>10</v>
      </c>
      <c r="H2586" s="6">
        <f>F2586*G2586</f>
        <v/>
      </c>
      <c r="I2586">
        <f>_xlfn.XLOOKUP(A2586,MktTitle,MktCat,"n/a")</f>
        <v/>
      </c>
      <c r="J2586" s="3">
        <f>_xlfn.XLOOKUP(A2586,MktTitle,MktTotVol,0)</f>
        <v/>
      </c>
      <c r="K2586">
        <f>IF(H2586&gt;WhaleThreshold,"WHALE","")</f>
        <v/>
      </c>
    </row>
    <row r="2587">
      <c r="A2587" t="inlineStr">
        <is>
          <t>Will Canada win the 2026 FIFA World Cup?</t>
        </is>
      </c>
      <c r="B2587" s="4" t="n">
        <v>46205</v>
      </c>
      <c r="C2587" s="5" t="n">
        <v>46205.96278935186</v>
      </c>
      <c r="D2587" t="inlineStr">
        <is>
          <t>BUY</t>
        </is>
      </c>
      <c r="E2587" t="inlineStr">
        <is>
          <t>No</t>
        </is>
      </c>
      <c r="F2587" s="2" t="n">
        <v>0.998</v>
      </c>
      <c r="G2587" s="6" t="n">
        <v>10.8915</v>
      </c>
      <c r="H2587" s="6">
        <f>F2587*G2587</f>
        <v/>
      </c>
      <c r="I2587">
        <f>_xlfn.XLOOKUP(A2587,MktTitle,MktCat,"n/a")</f>
        <v/>
      </c>
      <c r="J2587" s="3">
        <f>_xlfn.XLOOKUP(A2587,MktTitle,MktTotVol,0)</f>
        <v/>
      </c>
      <c r="K2587">
        <f>IF(H2587&gt;WhaleThreshold,"WHALE","")</f>
        <v/>
      </c>
    </row>
    <row r="2588">
      <c r="A2588" t="inlineStr">
        <is>
          <t>Will Canada win the 2026 FIFA World Cup?</t>
        </is>
      </c>
      <c r="B2588" s="4" t="n">
        <v>46205</v>
      </c>
      <c r="C2588" s="5" t="n">
        <v>46205.96278935186</v>
      </c>
      <c r="D2588" t="inlineStr">
        <is>
          <t>BUY</t>
        </is>
      </c>
      <c r="E2588" t="inlineStr">
        <is>
          <t>No</t>
        </is>
      </c>
      <c r="F2588" s="2" t="n">
        <v>0.998</v>
      </c>
      <c r="G2588" s="6" t="n">
        <v>10.7715</v>
      </c>
      <c r="H2588" s="6">
        <f>F2588*G2588</f>
        <v/>
      </c>
      <c r="I2588">
        <f>_xlfn.XLOOKUP(A2588,MktTitle,MktCat,"n/a")</f>
        <v/>
      </c>
      <c r="J2588" s="3">
        <f>_xlfn.XLOOKUP(A2588,MktTitle,MktTotVol,0)</f>
        <v/>
      </c>
      <c r="K2588">
        <f>IF(H2588&gt;WhaleThreshold,"WHALE","")</f>
        <v/>
      </c>
    </row>
    <row r="2589">
      <c r="A2589" t="inlineStr">
        <is>
          <t>Will Canada win the 2026 FIFA World Cup?</t>
        </is>
      </c>
      <c r="B2589" s="4" t="n">
        <v>46205</v>
      </c>
      <c r="C2589" s="5" t="n">
        <v>46205.96275462963</v>
      </c>
      <c r="D2589" t="inlineStr">
        <is>
          <t>BUY</t>
        </is>
      </c>
      <c r="E2589" t="inlineStr">
        <is>
          <t>No</t>
        </is>
      </c>
      <c r="F2589" s="2" t="n">
        <v>0.998</v>
      </c>
      <c r="G2589" s="6" t="n">
        <v>50</v>
      </c>
      <c r="H2589" s="6">
        <f>F2589*G2589</f>
        <v/>
      </c>
      <c r="I2589">
        <f>_xlfn.XLOOKUP(A2589,MktTitle,MktCat,"n/a")</f>
        <v/>
      </c>
      <c r="J2589" s="3">
        <f>_xlfn.XLOOKUP(A2589,MktTitle,MktTotVol,0)</f>
        <v/>
      </c>
      <c r="K2589">
        <f>IF(H2589&gt;WhaleThreshold,"WHALE","")</f>
        <v/>
      </c>
    </row>
    <row r="2590">
      <c r="A2590" t="inlineStr">
        <is>
          <t>Will Canada win the 2026 FIFA World Cup?</t>
        </is>
      </c>
      <c r="B2590" s="4" t="n">
        <v>46205</v>
      </c>
      <c r="C2590" s="5" t="n">
        <v>46205.96266203704</v>
      </c>
      <c r="D2590" t="inlineStr">
        <is>
          <t>BUY</t>
        </is>
      </c>
      <c r="E2590" t="inlineStr">
        <is>
          <t>No</t>
        </is>
      </c>
      <c r="F2590" s="2" t="n">
        <v>0.998</v>
      </c>
      <c r="G2590" s="6" t="n">
        <v>115</v>
      </c>
      <c r="H2590" s="6">
        <f>F2590*G2590</f>
        <v/>
      </c>
      <c r="I2590">
        <f>_xlfn.XLOOKUP(A2590,MktTitle,MktCat,"n/a")</f>
        <v/>
      </c>
      <c r="J2590" s="3">
        <f>_xlfn.XLOOKUP(A2590,MktTitle,MktTotVol,0)</f>
        <v/>
      </c>
      <c r="K2590">
        <f>IF(H2590&gt;WhaleThreshold,"WHALE","")</f>
        <v/>
      </c>
    </row>
    <row r="2591">
      <c r="A2591" t="inlineStr">
        <is>
          <t>Will Canada win the 2026 FIFA World Cup?</t>
        </is>
      </c>
      <c r="B2591" s="4" t="n">
        <v>46205</v>
      </c>
      <c r="C2591" s="5" t="n">
        <v>46205.96266203704</v>
      </c>
      <c r="D2591" t="inlineStr">
        <is>
          <t>BUY</t>
        </is>
      </c>
      <c r="E2591" t="inlineStr">
        <is>
          <t>No</t>
        </is>
      </c>
      <c r="F2591" s="2" t="n">
        <v>0.998</v>
      </c>
      <c r="G2591" s="6" t="n">
        <v>38.3</v>
      </c>
      <c r="H2591" s="6">
        <f>F2591*G2591</f>
        <v/>
      </c>
      <c r="I2591">
        <f>_xlfn.XLOOKUP(A2591,MktTitle,MktCat,"n/a")</f>
        <v/>
      </c>
      <c r="J2591" s="3">
        <f>_xlfn.XLOOKUP(A2591,MktTitle,MktTotVol,0)</f>
        <v/>
      </c>
      <c r="K2591">
        <f>IF(H2591&gt;WhaleThreshold,"WHALE","")</f>
        <v/>
      </c>
    </row>
    <row r="2592">
      <c r="A2592" t="inlineStr">
        <is>
          <t>Will Canada win the 2026 FIFA World Cup?</t>
        </is>
      </c>
      <c r="B2592" s="4" t="n">
        <v>46205</v>
      </c>
      <c r="C2592" s="5" t="n">
        <v>46205.96266203704</v>
      </c>
      <c r="D2592" t="inlineStr">
        <is>
          <t>BUY</t>
        </is>
      </c>
      <c r="E2592" t="inlineStr">
        <is>
          <t>No</t>
        </is>
      </c>
      <c r="F2592" s="2" t="n">
        <v>0.998</v>
      </c>
      <c r="G2592" s="6" t="n">
        <v>10</v>
      </c>
      <c r="H2592" s="6">
        <f>F2592*G2592</f>
        <v/>
      </c>
      <c r="I2592">
        <f>_xlfn.XLOOKUP(A2592,MktTitle,MktCat,"n/a")</f>
        <v/>
      </c>
      <c r="J2592" s="3">
        <f>_xlfn.XLOOKUP(A2592,MktTitle,MktTotVol,0)</f>
        <v/>
      </c>
      <c r="K2592">
        <f>IF(H2592&gt;WhaleThreshold,"WHALE","")</f>
        <v/>
      </c>
    </row>
    <row r="2593">
      <c r="A2593" t="inlineStr">
        <is>
          <t>Will Canada win the 2026 FIFA World Cup?</t>
        </is>
      </c>
      <c r="B2593" s="4" t="n">
        <v>46205</v>
      </c>
      <c r="C2593" s="5" t="n">
        <v>46205.96265046296</v>
      </c>
      <c r="D2593" t="inlineStr">
        <is>
          <t>BUY</t>
        </is>
      </c>
      <c r="E2593" t="inlineStr">
        <is>
          <t>No</t>
        </is>
      </c>
      <c r="F2593" s="2" t="n">
        <v>0.998</v>
      </c>
      <c r="G2593" s="6" t="n">
        <v>50</v>
      </c>
      <c r="H2593" s="6">
        <f>F2593*G2593</f>
        <v/>
      </c>
      <c r="I2593">
        <f>_xlfn.XLOOKUP(A2593,MktTitle,MktCat,"n/a")</f>
        <v/>
      </c>
      <c r="J2593" s="3">
        <f>_xlfn.XLOOKUP(A2593,MktTitle,MktTotVol,0)</f>
        <v/>
      </c>
      <c r="K2593">
        <f>IF(H2593&gt;WhaleThreshold,"WHALE","")</f>
        <v/>
      </c>
    </row>
    <row r="2594">
      <c r="A2594" t="inlineStr">
        <is>
          <t>Will Canada win the 2026 FIFA World Cup?</t>
        </is>
      </c>
      <c r="B2594" s="4" t="n">
        <v>46205</v>
      </c>
      <c r="C2594" s="5" t="n">
        <v>46205.96265046296</v>
      </c>
      <c r="D2594" t="inlineStr">
        <is>
          <t>BUY</t>
        </is>
      </c>
      <c r="E2594" t="inlineStr">
        <is>
          <t>No</t>
        </is>
      </c>
      <c r="F2594" s="2" t="n">
        <v>0.998</v>
      </c>
      <c r="G2594" s="6" t="n">
        <v>73.59999999999999</v>
      </c>
      <c r="H2594" s="6">
        <f>F2594*G2594</f>
        <v/>
      </c>
      <c r="I2594">
        <f>_xlfn.XLOOKUP(A2594,MktTitle,MktCat,"n/a")</f>
        <v/>
      </c>
      <c r="J2594" s="3">
        <f>_xlfn.XLOOKUP(A2594,MktTitle,MktTotVol,0)</f>
        <v/>
      </c>
      <c r="K2594">
        <f>IF(H2594&gt;WhaleThreshold,"WHALE","")</f>
        <v/>
      </c>
    </row>
    <row r="2595">
      <c r="A2595" t="inlineStr">
        <is>
          <t>Will Canada win the 2026 FIFA World Cup?</t>
        </is>
      </c>
      <c r="B2595" s="4" t="n">
        <v>46205</v>
      </c>
      <c r="C2595" s="5" t="n">
        <v>46205.96259259259</v>
      </c>
      <c r="D2595" t="inlineStr">
        <is>
          <t>BUY</t>
        </is>
      </c>
      <c r="E2595" t="inlineStr">
        <is>
          <t>No</t>
        </is>
      </c>
      <c r="F2595" s="2" t="n">
        <v>0.998</v>
      </c>
      <c r="G2595" s="6" t="n">
        <v>26.1</v>
      </c>
      <c r="H2595" s="6">
        <f>F2595*G2595</f>
        <v/>
      </c>
      <c r="I2595">
        <f>_xlfn.XLOOKUP(A2595,MktTitle,MktCat,"n/a")</f>
        <v/>
      </c>
      <c r="J2595" s="3">
        <f>_xlfn.XLOOKUP(A2595,MktTitle,MktTotVol,0)</f>
        <v/>
      </c>
      <c r="K2595">
        <f>IF(H2595&gt;WhaleThreshold,"WHALE","")</f>
        <v/>
      </c>
    </row>
    <row r="2596">
      <c r="A2596" t="inlineStr">
        <is>
          <t>Will Canada win the 2026 FIFA World Cup?</t>
        </is>
      </c>
      <c r="B2596" s="4" t="n">
        <v>46205</v>
      </c>
      <c r="C2596" s="5" t="n">
        <v>46205.96255787037</v>
      </c>
      <c r="D2596" t="inlineStr">
        <is>
          <t>BUY</t>
        </is>
      </c>
      <c r="E2596" t="inlineStr">
        <is>
          <t>No</t>
        </is>
      </c>
      <c r="F2596" s="2" t="n">
        <v>0.998</v>
      </c>
      <c r="G2596" s="6" t="n">
        <v>20</v>
      </c>
      <c r="H2596" s="6">
        <f>F2596*G2596</f>
        <v/>
      </c>
      <c r="I2596">
        <f>_xlfn.XLOOKUP(A2596,MktTitle,MktCat,"n/a")</f>
        <v/>
      </c>
      <c r="J2596" s="3">
        <f>_xlfn.XLOOKUP(A2596,MktTitle,MktTotVol,0)</f>
        <v/>
      </c>
      <c r="K2596">
        <f>IF(H2596&gt;WhaleThreshold,"WHALE","")</f>
        <v/>
      </c>
    </row>
    <row r="2597">
      <c r="A2597" t="inlineStr">
        <is>
          <t>Will Canada win the 2026 FIFA World Cup?</t>
        </is>
      </c>
      <c r="B2597" s="4" t="n">
        <v>46205</v>
      </c>
      <c r="C2597" s="5" t="n">
        <v>46205.96254629629</v>
      </c>
      <c r="D2597" t="inlineStr">
        <is>
          <t>BUY</t>
        </is>
      </c>
      <c r="E2597" t="inlineStr">
        <is>
          <t>No</t>
        </is>
      </c>
      <c r="F2597" s="2" t="n">
        <v>0.998</v>
      </c>
      <c r="G2597" s="6" t="n">
        <v>10</v>
      </c>
      <c r="H2597" s="6">
        <f>F2597*G2597</f>
        <v/>
      </c>
      <c r="I2597">
        <f>_xlfn.XLOOKUP(A2597,MktTitle,MktCat,"n/a")</f>
        <v/>
      </c>
      <c r="J2597" s="3">
        <f>_xlfn.XLOOKUP(A2597,MktTitle,MktTotVol,0)</f>
        <v/>
      </c>
      <c r="K2597">
        <f>IF(H2597&gt;WhaleThreshold,"WHALE","")</f>
        <v/>
      </c>
    </row>
    <row r="2598">
      <c r="A2598" t="inlineStr">
        <is>
          <t>Will Canada win the 2026 FIFA World Cup?</t>
        </is>
      </c>
      <c r="B2598" s="4" t="n">
        <v>46205</v>
      </c>
      <c r="C2598" s="5" t="n">
        <v>46205.9624537037</v>
      </c>
      <c r="D2598" t="inlineStr">
        <is>
          <t>SELL</t>
        </is>
      </c>
      <c r="E2598" t="inlineStr">
        <is>
          <t>Yes</t>
        </is>
      </c>
      <c r="F2598" s="2" t="n">
        <v>0.002</v>
      </c>
      <c r="G2598" s="6" t="n">
        <v>252</v>
      </c>
      <c r="H2598" s="6">
        <f>F2598*G2598</f>
        <v/>
      </c>
      <c r="I2598">
        <f>_xlfn.XLOOKUP(A2598,MktTitle,MktCat,"n/a")</f>
        <v/>
      </c>
      <c r="J2598" s="3">
        <f>_xlfn.XLOOKUP(A2598,MktTitle,MktTotVol,0)</f>
        <v/>
      </c>
      <c r="K2598">
        <f>IF(H2598&gt;WhaleThreshold,"WHALE","")</f>
        <v/>
      </c>
    </row>
    <row r="2599">
      <c r="A2599" t="inlineStr">
        <is>
          <t>Will Canada win the 2026 FIFA World Cup?</t>
        </is>
      </c>
      <c r="B2599" s="4" t="n">
        <v>46205</v>
      </c>
      <c r="C2599" s="5" t="n">
        <v>46205.96206018519</v>
      </c>
      <c r="D2599" t="inlineStr">
        <is>
          <t>SELL</t>
        </is>
      </c>
      <c r="E2599" t="inlineStr">
        <is>
          <t>Yes</t>
        </is>
      </c>
      <c r="F2599" s="2" t="n">
        <v>0.002</v>
      </c>
      <c r="G2599" s="6" t="n">
        <v>4.73</v>
      </c>
      <c r="H2599" s="6">
        <f>F2599*G2599</f>
        <v/>
      </c>
      <c r="I2599">
        <f>_xlfn.XLOOKUP(A2599,MktTitle,MktCat,"n/a")</f>
        <v/>
      </c>
      <c r="J2599" s="3">
        <f>_xlfn.XLOOKUP(A2599,MktTitle,MktTotVol,0)</f>
        <v/>
      </c>
      <c r="K2599">
        <f>IF(H2599&gt;WhaleThreshold,"WHALE","")</f>
        <v/>
      </c>
    </row>
    <row r="2600">
      <c r="A2600" t="inlineStr">
        <is>
          <t>Will Canada win the 2026 FIFA World Cup?</t>
        </is>
      </c>
      <c r="B2600" s="4" t="n">
        <v>46205</v>
      </c>
      <c r="C2600" s="5" t="n">
        <v>46205.96200231482</v>
      </c>
      <c r="D2600" t="inlineStr">
        <is>
          <t>BUY</t>
        </is>
      </c>
      <c r="E2600" t="inlineStr">
        <is>
          <t>No</t>
        </is>
      </c>
      <c r="F2600" s="2" t="n">
        <v>0.998</v>
      </c>
      <c r="G2600" s="6" t="n">
        <v>10</v>
      </c>
      <c r="H2600" s="6">
        <f>F2600*G2600</f>
        <v/>
      </c>
      <c r="I2600">
        <f>_xlfn.XLOOKUP(A2600,MktTitle,MktCat,"n/a")</f>
        <v/>
      </c>
      <c r="J2600" s="3">
        <f>_xlfn.XLOOKUP(A2600,MktTitle,MktTotVol,0)</f>
        <v/>
      </c>
      <c r="K2600">
        <f>IF(H2600&gt;WhaleThreshold,"WHALE","")</f>
        <v/>
      </c>
    </row>
    <row r="2601">
      <c r="A2601" t="inlineStr">
        <is>
          <t>Will Canada win the 2026 FIFA World Cup?</t>
        </is>
      </c>
      <c r="B2601" s="4" t="n">
        <v>46205</v>
      </c>
      <c r="C2601" s="5" t="n">
        <v>46205.96199074074</v>
      </c>
      <c r="D2601" t="inlineStr">
        <is>
          <t>BUY</t>
        </is>
      </c>
      <c r="E2601" t="inlineStr">
        <is>
          <t>No</t>
        </is>
      </c>
      <c r="F2601" s="2" t="n">
        <v>0.998</v>
      </c>
      <c r="G2601" s="6" t="n">
        <v>10</v>
      </c>
      <c r="H2601" s="6">
        <f>F2601*G2601</f>
        <v/>
      </c>
      <c r="I2601">
        <f>_xlfn.XLOOKUP(A2601,MktTitle,MktCat,"n/a")</f>
        <v/>
      </c>
      <c r="J2601" s="3">
        <f>_xlfn.XLOOKUP(A2601,MktTitle,MktTotVol,0)</f>
        <v/>
      </c>
      <c r="K2601">
        <f>IF(H2601&gt;WhaleThreshold,"WHALE","")</f>
        <v/>
      </c>
    </row>
    <row r="2602">
      <c r="A2602" t="inlineStr">
        <is>
          <t>Will Canada win the 2026 FIFA World Cup?</t>
        </is>
      </c>
      <c r="B2602" s="4" t="n">
        <v>46205</v>
      </c>
      <c r="C2602" s="5" t="n">
        <v>46205.96195601852</v>
      </c>
      <c r="D2602" t="inlineStr">
        <is>
          <t>BUY</t>
        </is>
      </c>
      <c r="E2602" t="inlineStr">
        <is>
          <t>No</t>
        </is>
      </c>
      <c r="F2602" s="2" t="n">
        <v>0.998</v>
      </c>
      <c r="G2602" s="6" t="n">
        <v>10</v>
      </c>
      <c r="H2602" s="6">
        <f>F2602*G2602</f>
        <v/>
      </c>
      <c r="I2602">
        <f>_xlfn.XLOOKUP(A2602,MktTitle,MktCat,"n/a")</f>
        <v/>
      </c>
      <c r="J2602" s="3">
        <f>_xlfn.XLOOKUP(A2602,MktTitle,MktTotVol,0)</f>
        <v/>
      </c>
      <c r="K2602">
        <f>IF(H2602&gt;WhaleThreshold,"WHALE","")</f>
        <v/>
      </c>
    </row>
    <row r="2603">
      <c r="A2603" t="inlineStr">
        <is>
          <t>Will Canada win the 2026 FIFA World Cup?</t>
        </is>
      </c>
      <c r="B2603" s="4" t="n">
        <v>46205</v>
      </c>
      <c r="C2603" s="5" t="n">
        <v>46205.96193287037</v>
      </c>
      <c r="D2603" t="inlineStr">
        <is>
          <t>BUY</t>
        </is>
      </c>
      <c r="E2603" t="inlineStr">
        <is>
          <t>No</t>
        </is>
      </c>
      <c r="F2603" s="2" t="n">
        <v>0.998</v>
      </c>
      <c r="G2603" s="6" t="n">
        <v>10</v>
      </c>
      <c r="H2603" s="6">
        <f>F2603*G2603</f>
        <v/>
      </c>
      <c r="I2603">
        <f>_xlfn.XLOOKUP(A2603,MktTitle,MktCat,"n/a")</f>
        <v/>
      </c>
      <c r="J2603" s="3">
        <f>_xlfn.XLOOKUP(A2603,MktTitle,MktTotVol,0)</f>
        <v/>
      </c>
      <c r="K2603">
        <f>IF(H2603&gt;WhaleThreshold,"WHALE","")</f>
        <v/>
      </c>
    </row>
    <row r="2604">
      <c r="A2604" t="inlineStr">
        <is>
          <t>Will Canada win the 2026 FIFA World Cup?</t>
        </is>
      </c>
      <c r="B2604" s="4" t="n">
        <v>46205</v>
      </c>
      <c r="C2604" s="5" t="n">
        <v>46205.96192129629</v>
      </c>
      <c r="D2604" t="inlineStr">
        <is>
          <t>BUY</t>
        </is>
      </c>
      <c r="E2604" t="inlineStr">
        <is>
          <t>No</t>
        </is>
      </c>
      <c r="F2604" s="2" t="n">
        <v>0.998</v>
      </c>
      <c r="G2604" s="6" t="n">
        <v>10</v>
      </c>
      <c r="H2604" s="6">
        <f>F2604*G2604</f>
        <v/>
      </c>
      <c r="I2604">
        <f>_xlfn.XLOOKUP(A2604,MktTitle,MktCat,"n/a")</f>
        <v/>
      </c>
      <c r="J2604" s="3">
        <f>_xlfn.XLOOKUP(A2604,MktTitle,MktTotVol,0)</f>
        <v/>
      </c>
      <c r="K2604">
        <f>IF(H2604&gt;WhaleThreshold,"WHALE","")</f>
        <v/>
      </c>
    </row>
    <row r="2605">
      <c r="A2605" t="inlineStr">
        <is>
          <t>Will Canada win the 2026 FIFA World Cup?</t>
        </is>
      </c>
      <c r="B2605" s="4" t="n">
        <v>46205</v>
      </c>
      <c r="C2605" s="5" t="n">
        <v>46205.96188657408</v>
      </c>
      <c r="D2605" t="inlineStr">
        <is>
          <t>BUY</t>
        </is>
      </c>
      <c r="E2605" t="inlineStr">
        <is>
          <t>No</t>
        </is>
      </c>
      <c r="F2605" s="2" t="n">
        <v>0.998</v>
      </c>
      <c r="G2605" s="6" t="n">
        <v>10</v>
      </c>
      <c r="H2605" s="6">
        <f>F2605*G2605</f>
        <v/>
      </c>
      <c r="I2605">
        <f>_xlfn.XLOOKUP(A2605,MktTitle,MktCat,"n/a")</f>
        <v/>
      </c>
      <c r="J2605" s="3">
        <f>_xlfn.XLOOKUP(A2605,MktTitle,MktTotVol,0)</f>
        <v/>
      </c>
      <c r="K2605">
        <f>IF(H2605&gt;WhaleThreshold,"WHALE","")</f>
        <v/>
      </c>
    </row>
    <row r="2606">
      <c r="A2606" t="inlineStr">
        <is>
          <t>Will Canada win the 2026 FIFA World Cup?</t>
        </is>
      </c>
      <c r="B2606" s="4" t="n">
        <v>46205</v>
      </c>
      <c r="C2606" s="5" t="n">
        <v>46205.96185185185</v>
      </c>
      <c r="D2606" t="inlineStr">
        <is>
          <t>BUY</t>
        </is>
      </c>
      <c r="E2606" t="inlineStr">
        <is>
          <t>No</t>
        </is>
      </c>
      <c r="F2606" s="2" t="n">
        <v>0.998</v>
      </c>
      <c r="G2606" s="6" t="n">
        <v>10</v>
      </c>
      <c r="H2606" s="6">
        <f>F2606*G2606</f>
        <v/>
      </c>
      <c r="I2606">
        <f>_xlfn.XLOOKUP(A2606,MktTitle,MktCat,"n/a")</f>
        <v/>
      </c>
      <c r="J2606" s="3">
        <f>_xlfn.XLOOKUP(A2606,MktTitle,MktTotVol,0)</f>
        <v/>
      </c>
      <c r="K2606">
        <f>IF(H2606&gt;WhaleThreshold,"WHALE","")</f>
        <v/>
      </c>
    </row>
    <row r="2607">
      <c r="A2607" t="inlineStr">
        <is>
          <t>Will Canada win the 2026 FIFA World Cup?</t>
        </is>
      </c>
      <c r="B2607" s="4" t="n">
        <v>46205</v>
      </c>
      <c r="C2607" s="5" t="n">
        <v>46205.96185185185</v>
      </c>
      <c r="D2607" t="inlineStr">
        <is>
          <t>BUY</t>
        </is>
      </c>
      <c r="E2607" t="inlineStr">
        <is>
          <t>No</t>
        </is>
      </c>
      <c r="F2607" s="2" t="n">
        <v>0.998</v>
      </c>
      <c r="G2607" s="6" t="n">
        <v>10</v>
      </c>
      <c r="H2607" s="6">
        <f>F2607*G2607</f>
        <v/>
      </c>
      <c r="I2607">
        <f>_xlfn.XLOOKUP(A2607,MktTitle,MktCat,"n/a")</f>
        <v/>
      </c>
      <c r="J2607" s="3">
        <f>_xlfn.XLOOKUP(A2607,MktTitle,MktTotVol,0)</f>
        <v/>
      </c>
      <c r="K2607">
        <f>IF(H2607&gt;WhaleThreshold,"WHALE","")</f>
        <v/>
      </c>
    </row>
    <row r="2608">
      <c r="A2608" t="inlineStr">
        <is>
          <t>Will Canada win the 2026 FIFA World Cup?</t>
        </is>
      </c>
      <c r="B2608" s="4" t="n">
        <v>46205</v>
      </c>
      <c r="C2608" s="5" t="n">
        <v>46205.9618287037</v>
      </c>
      <c r="D2608" t="inlineStr">
        <is>
          <t>BUY</t>
        </is>
      </c>
      <c r="E2608" t="inlineStr">
        <is>
          <t>No</t>
        </is>
      </c>
      <c r="F2608" s="2" t="n">
        <v>0.998</v>
      </c>
      <c r="G2608" s="6" t="n">
        <v>10</v>
      </c>
      <c r="H2608" s="6">
        <f>F2608*G2608</f>
        <v/>
      </c>
      <c r="I2608">
        <f>_xlfn.XLOOKUP(A2608,MktTitle,MktCat,"n/a")</f>
        <v/>
      </c>
      <c r="J2608" s="3">
        <f>_xlfn.XLOOKUP(A2608,MktTitle,MktTotVol,0)</f>
        <v/>
      </c>
      <c r="K2608">
        <f>IF(H2608&gt;WhaleThreshold,"WHALE","")</f>
        <v/>
      </c>
    </row>
    <row r="2609">
      <c r="A2609" t="inlineStr">
        <is>
          <t>Will Canada win the 2026 FIFA World Cup?</t>
        </is>
      </c>
      <c r="B2609" s="4" t="n">
        <v>46205</v>
      </c>
      <c r="C2609" s="5" t="n">
        <v>46205.96181712963</v>
      </c>
      <c r="D2609" t="inlineStr">
        <is>
          <t>BUY</t>
        </is>
      </c>
      <c r="E2609" t="inlineStr">
        <is>
          <t>No</t>
        </is>
      </c>
      <c r="F2609" s="2" t="n">
        <v>0.998</v>
      </c>
      <c r="G2609" s="6" t="n">
        <v>10</v>
      </c>
      <c r="H2609" s="6">
        <f>F2609*G2609</f>
        <v/>
      </c>
      <c r="I2609">
        <f>_xlfn.XLOOKUP(A2609,MktTitle,MktCat,"n/a")</f>
        <v/>
      </c>
      <c r="J2609" s="3">
        <f>_xlfn.XLOOKUP(A2609,MktTitle,MktTotVol,0)</f>
        <v/>
      </c>
      <c r="K2609">
        <f>IF(H2609&gt;WhaleThreshold,"WHALE","")</f>
        <v/>
      </c>
    </row>
    <row r="2610">
      <c r="A2610" t="inlineStr">
        <is>
          <t>Will Canada win the 2026 FIFA World Cup?</t>
        </is>
      </c>
      <c r="B2610" s="4" t="n">
        <v>46205</v>
      </c>
      <c r="C2610" s="5" t="n">
        <v>46205.96179398148</v>
      </c>
      <c r="D2610" t="inlineStr">
        <is>
          <t>BUY</t>
        </is>
      </c>
      <c r="E2610" t="inlineStr">
        <is>
          <t>No</t>
        </is>
      </c>
      <c r="F2610" s="2" t="n">
        <v>0.998</v>
      </c>
      <c r="G2610" s="6" t="n">
        <v>10</v>
      </c>
      <c r="H2610" s="6">
        <f>F2610*G2610</f>
        <v/>
      </c>
      <c r="I2610">
        <f>_xlfn.XLOOKUP(A2610,MktTitle,MktCat,"n/a")</f>
        <v/>
      </c>
      <c r="J2610" s="3">
        <f>_xlfn.XLOOKUP(A2610,MktTitle,MktTotVol,0)</f>
        <v/>
      </c>
      <c r="K2610">
        <f>IF(H2610&gt;WhaleThreshold,"WHALE","")</f>
        <v/>
      </c>
    </row>
    <row r="2611">
      <c r="A2611" t="inlineStr">
        <is>
          <t>Will Canada win the 2026 FIFA World Cup?</t>
        </is>
      </c>
      <c r="B2611" s="4" t="n">
        <v>46205</v>
      </c>
      <c r="C2611" s="5" t="n">
        <v>46205.96179398148</v>
      </c>
      <c r="D2611" t="inlineStr">
        <is>
          <t>BUY</t>
        </is>
      </c>
      <c r="E2611" t="inlineStr">
        <is>
          <t>No</t>
        </is>
      </c>
      <c r="F2611" s="2" t="n">
        <v>0.998</v>
      </c>
      <c r="G2611" s="6" t="n">
        <v>20</v>
      </c>
      <c r="H2611" s="6">
        <f>F2611*G2611</f>
        <v/>
      </c>
      <c r="I2611">
        <f>_xlfn.XLOOKUP(A2611,MktTitle,MktCat,"n/a")</f>
        <v/>
      </c>
      <c r="J2611" s="3">
        <f>_xlfn.XLOOKUP(A2611,MktTitle,MktTotVol,0)</f>
        <v/>
      </c>
      <c r="K2611">
        <f>IF(H2611&gt;WhaleThreshold,"WHALE","")</f>
        <v/>
      </c>
    </row>
    <row r="2612">
      <c r="A2612" t="inlineStr">
        <is>
          <t>Will Canada win the 2026 FIFA World Cup?</t>
        </is>
      </c>
      <c r="B2612" s="4" t="n">
        <v>46205</v>
      </c>
      <c r="C2612" s="5" t="n">
        <v>46205.96178240741</v>
      </c>
      <c r="D2612" t="inlineStr">
        <is>
          <t>BUY</t>
        </is>
      </c>
      <c r="E2612" t="inlineStr">
        <is>
          <t>No</t>
        </is>
      </c>
      <c r="F2612" s="2" t="n">
        <v>0.998</v>
      </c>
      <c r="G2612" s="6" t="n">
        <v>20</v>
      </c>
      <c r="H2612" s="6">
        <f>F2612*G2612</f>
        <v/>
      </c>
      <c r="I2612">
        <f>_xlfn.XLOOKUP(A2612,MktTitle,MktCat,"n/a")</f>
        <v/>
      </c>
      <c r="J2612" s="3">
        <f>_xlfn.XLOOKUP(A2612,MktTitle,MktTotVol,0)</f>
        <v/>
      </c>
      <c r="K2612">
        <f>IF(H2612&gt;WhaleThreshold,"WHALE","")</f>
        <v/>
      </c>
    </row>
    <row r="2613">
      <c r="A2613" t="inlineStr">
        <is>
          <t>Will Canada win the 2026 FIFA World Cup?</t>
        </is>
      </c>
      <c r="B2613" s="4" t="n">
        <v>46205</v>
      </c>
      <c r="C2613" s="5" t="n">
        <v>46205.96175925926</v>
      </c>
      <c r="D2613" t="inlineStr">
        <is>
          <t>BUY</t>
        </is>
      </c>
      <c r="E2613" t="inlineStr">
        <is>
          <t>No</t>
        </is>
      </c>
      <c r="F2613" s="2" t="n">
        <v>0.998</v>
      </c>
      <c r="G2613" s="6" t="n">
        <v>10</v>
      </c>
      <c r="H2613" s="6">
        <f>F2613*G2613</f>
        <v/>
      </c>
      <c r="I2613">
        <f>_xlfn.XLOOKUP(A2613,MktTitle,MktCat,"n/a")</f>
        <v/>
      </c>
      <c r="J2613" s="3">
        <f>_xlfn.XLOOKUP(A2613,MktTitle,MktTotVol,0)</f>
        <v/>
      </c>
      <c r="K2613">
        <f>IF(H2613&gt;WhaleThreshold,"WHALE","")</f>
        <v/>
      </c>
    </row>
    <row r="2614">
      <c r="A2614" t="inlineStr">
        <is>
          <t>Will Canada win the 2026 FIFA World Cup?</t>
        </is>
      </c>
      <c r="B2614" s="4" t="n">
        <v>46205</v>
      </c>
      <c r="C2614" s="5" t="n">
        <v>46205.96175925926</v>
      </c>
      <c r="D2614" t="inlineStr">
        <is>
          <t>BUY</t>
        </is>
      </c>
      <c r="E2614" t="inlineStr">
        <is>
          <t>No</t>
        </is>
      </c>
      <c r="F2614" s="2" t="n">
        <v>0.998</v>
      </c>
      <c r="G2614" s="6" t="n">
        <v>10</v>
      </c>
      <c r="H2614" s="6">
        <f>F2614*G2614</f>
        <v/>
      </c>
      <c r="I2614">
        <f>_xlfn.XLOOKUP(A2614,MktTitle,MktCat,"n/a")</f>
        <v/>
      </c>
      <c r="J2614" s="3">
        <f>_xlfn.XLOOKUP(A2614,MktTitle,MktTotVol,0)</f>
        <v/>
      </c>
      <c r="K2614">
        <f>IF(H2614&gt;WhaleThreshold,"WHALE","")</f>
        <v/>
      </c>
    </row>
    <row r="2615">
      <c r="A2615" t="inlineStr">
        <is>
          <t>Will Canada win the 2026 FIFA World Cup?</t>
        </is>
      </c>
      <c r="B2615" s="4" t="n">
        <v>46205</v>
      </c>
      <c r="C2615" s="5" t="n">
        <v>46205.96081018518</v>
      </c>
      <c r="D2615" t="inlineStr">
        <is>
          <t>SELL</t>
        </is>
      </c>
      <c r="E2615" t="inlineStr">
        <is>
          <t>Yes</t>
        </is>
      </c>
      <c r="F2615" s="2" t="n">
        <v>0.002</v>
      </c>
      <c r="G2615" s="6" t="n">
        <v>51.77</v>
      </c>
      <c r="H2615" s="6">
        <f>F2615*G2615</f>
        <v/>
      </c>
      <c r="I2615">
        <f>_xlfn.XLOOKUP(A2615,MktTitle,MktCat,"n/a")</f>
        <v/>
      </c>
      <c r="J2615" s="3">
        <f>_xlfn.XLOOKUP(A2615,MktTitle,MktTotVol,0)</f>
        <v/>
      </c>
      <c r="K2615">
        <f>IF(H2615&gt;WhaleThreshold,"WHALE","")</f>
        <v/>
      </c>
    </row>
    <row r="2616">
      <c r="A2616" t="inlineStr">
        <is>
          <t>Will Canada win the 2026 FIFA World Cup?</t>
        </is>
      </c>
      <c r="B2616" s="4" t="n">
        <v>46205</v>
      </c>
      <c r="C2616" s="5" t="n">
        <v>46205.96077546296</v>
      </c>
      <c r="D2616" t="inlineStr">
        <is>
          <t>BUY</t>
        </is>
      </c>
      <c r="E2616" t="inlineStr">
        <is>
          <t>No</t>
        </is>
      </c>
      <c r="F2616" s="2" t="n">
        <v>0.998</v>
      </c>
      <c r="G2616" s="6" t="n">
        <v>95</v>
      </c>
      <c r="H2616" s="6">
        <f>F2616*G2616</f>
        <v/>
      </c>
      <c r="I2616">
        <f>_xlfn.XLOOKUP(A2616,MktTitle,MktCat,"n/a")</f>
        <v/>
      </c>
      <c r="J2616" s="3">
        <f>_xlfn.XLOOKUP(A2616,MktTitle,MktTotVol,0)</f>
        <v/>
      </c>
      <c r="K2616">
        <f>IF(H2616&gt;WhaleThreshold,"WHALE","")</f>
        <v/>
      </c>
    </row>
    <row r="2617">
      <c r="A2617" t="inlineStr">
        <is>
          <t>Will Canada win the 2026 FIFA World Cup?</t>
        </is>
      </c>
      <c r="B2617" s="4" t="n">
        <v>46205</v>
      </c>
      <c r="C2617" s="5" t="n">
        <v>46205.96077546296</v>
      </c>
      <c r="D2617" t="inlineStr">
        <is>
          <t>BUY</t>
        </is>
      </c>
      <c r="E2617" t="inlineStr">
        <is>
          <t>No</t>
        </is>
      </c>
      <c r="F2617" s="2" t="n">
        <v>0.998</v>
      </c>
      <c r="G2617" s="6" t="n">
        <v>1.1</v>
      </c>
      <c r="H2617" s="6">
        <f>F2617*G2617</f>
        <v/>
      </c>
      <c r="I2617">
        <f>_xlfn.XLOOKUP(A2617,MktTitle,MktCat,"n/a")</f>
        <v/>
      </c>
      <c r="J2617" s="3">
        <f>_xlfn.XLOOKUP(A2617,MktTitle,MktTotVol,0)</f>
        <v/>
      </c>
      <c r="K2617">
        <f>IF(H2617&gt;WhaleThreshold,"WHALE","")</f>
        <v/>
      </c>
    </row>
    <row r="2618">
      <c r="A2618" t="inlineStr">
        <is>
          <t>Will Canada win the 2026 FIFA World Cup?</t>
        </is>
      </c>
      <c r="B2618" s="4" t="n">
        <v>46205</v>
      </c>
      <c r="C2618" s="5" t="n">
        <v>46205.96070601852</v>
      </c>
      <c r="D2618" t="inlineStr">
        <is>
          <t>SELL</t>
        </is>
      </c>
      <c r="E2618" t="inlineStr">
        <is>
          <t>No</t>
        </is>
      </c>
      <c r="F2618" s="2" t="n">
        <v>0.997</v>
      </c>
      <c r="G2618" s="6" t="n">
        <v>10.01</v>
      </c>
      <c r="H2618" s="6">
        <f>F2618*G2618</f>
        <v/>
      </c>
      <c r="I2618">
        <f>_xlfn.XLOOKUP(A2618,MktTitle,MktCat,"n/a")</f>
        <v/>
      </c>
      <c r="J2618" s="3">
        <f>_xlfn.XLOOKUP(A2618,MktTitle,MktTotVol,0)</f>
        <v/>
      </c>
      <c r="K2618">
        <f>IF(H2618&gt;WhaleThreshold,"WHALE","")</f>
        <v/>
      </c>
    </row>
    <row r="2619">
      <c r="A2619" t="inlineStr">
        <is>
          <t>Will Canada win the 2026 FIFA World Cup?</t>
        </is>
      </c>
      <c r="B2619" s="4" t="n">
        <v>46205</v>
      </c>
      <c r="C2619" s="5" t="n">
        <v>46205.96068287037</v>
      </c>
      <c r="D2619" t="inlineStr">
        <is>
          <t>BUY</t>
        </is>
      </c>
      <c r="E2619" t="inlineStr">
        <is>
          <t>No</t>
        </is>
      </c>
      <c r="F2619" s="2" t="n">
        <v>0.998</v>
      </c>
      <c r="G2619" s="6" t="n">
        <v>85</v>
      </c>
      <c r="H2619" s="6">
        <f>F2619*G2619</f>
        <v/>
      </c>
      <c r="I2619">
        <f>_xlfn.XLOOKUP(A2619,MktTitle,MktCat,"n/a")</f>
        <v/>
      </c>
      <c r="J2619" s="3">
        <f>_xlfn.XLOOKUP(A2619,MktTitle,MktTotVol,0)</f>
        <v/>
      </c>
      <c r="K2619">
        <f>IF(H2619&gt;WhaleThreshold,"WHALE","")</f>
        <v/>
      </c>
    </row>
    <row r="2620">
      <c r="A2620" t="inlineStr">
        <is>
          <t>Will Canada win the 2026 FIFA World Cup?</t>
        </is>
      </c>
      <c r="B2620" s="4" t="n">
        <v>46205</v>
      </c>
      <c r="C2620" s="5" t="n">
        <v>46205.9606712963</v>
      </c>
      <c r="D2620" t="inlineStr">
        <is>
          <t>BUY</t>
        </is>
      </c>
      <c r="E2620" t="inlineStr">
        <is>
          <t>No</t>
        </is>
      </c>
      <c r="F2620" s="2" t="n">
        <v>0.998</v>
      </c>
      <c r="G2620" s="6" t="n">
        <v>8</v>
      </c>
      <c r="H2620" s="6">
        <f>F2620*G2620</f>
        <v/>
      </c>
      <c r="I2620">
        <f>_xlfn.XLOOKUP(A2620,MktTitle,MktCat,"n/a")</f>
        <v/>
      </c>
      <c r="J2620" s="3">
        <f>_xlfn.XLOOKUP(A2620,MktTitle,MktTotVol,0)</f>
        <v/>
      </c>
      <c r="K2620">
        <f>IF(H2620&gt;WhaleThreshold,"WHALE","")</f>
        <v/>
      </c>
    </row>
    <row r="2621">
      <c r="A2621" t="inlineStr">
        <is>
          <t>Will Canada win the 2026 FIFA World Cup?</t>
        </is>
      </c>
      <c r="B2621" s="4" t="n">
        <v>46205</v>
      </c>
      <c r="C2621" s="5" t="n">
        <v>46205.96060185185</v>
      </c>
      <c r="D2621" t="inlineStr">
        <is>
          <t>BUY</t>
        </is>
      </c>
      <c r="E2621" t="inlineStr">
        <is>
          <t>No</t>
        </is>
      </c>
      <c r="F2621" s="2" t="n">
        <v>0.998</v>
      </c>
      <c r="G2621" s="6" t="n">
        <v>70</v>
      </c>
      <c r="H2621" s="6">
        <f>F2621*G2621</f>
        <v/>
      </c>
      <c r="I2621">
        <f>_xlfn.XLOOKUP(A2621,MktTitle,MktCat,"n/a")</f>
        <v/>
      </c>
      <c r="J2621" s="3">
        <f>_xlfn.XLOOKUP(A2621,MktTitle,MktTotVol,0)</f>
        <v/>
      </c>
      <c r="K2621">
        <f>IF(H2621&gt;WhaleThreshold,"WHALE","")</f>
        <v/>
      </c>
    </row>
    <row r="2622">
      <c r="A2622" t="inlineStr">
        <is>
          <t>Will Canada win the 2026 FIFA World Cup?</t>
        </is>
      </c>
      <c r="B2622" s="4" t="n">
        <v>46205</v>
      </c>
      <c r="C2622" s="5" t="n">
        <v>46205.96060185185</v>
      </c>
      <c r="D2622" t="inlineStr">
        <is>
          <t>SELL</t>
        </is>
      </c>
      <c r="E2622" t="inlineStr">
        <is>
          <t>Yes</t>
        </is>
      </c>
      <c r="F2622" s="2" t="n">
        <v>0.002</v>
      </c>
      <c r="G2622" s="6" t="n">
        <v>66.76000000000001</v>
      </c>
      <c r="H2622" s="6">
        <f>F2622*G2622</f>
        <v/>
      </c>
      <c r="I2622">
        <f>_xlfn.XLOOKUP(A2622,MktTitle,MktCat,"n/a")</f>
        <v/>
      </c>
      <c r="J2622" s="3">
        <f>_xlfn.XLOOKUP(A2622,MktTitle,MktTotVol,0)</f>
        <v/>
      </c>
      <c r="K2622">
        <f>IF(H2622&gt;WhaleThreshold,"WHALE","")</f>
        <v/>
      </c>
    </row>
    <row r="2623">
      <c r="A2623" t="inlineStr">
        <is>
          <t>Will Canada win the 2026 FIFA World Cup?</t>
        </is>
      </c>
      <c r="B2623" s="4" t="n">
        <v>46205</v>
      </c>
      <c r="C2623" s="5" t="n">
        <v>46205.96057870371</v>
      </c>
      <c r="D2623" t="inlineStr">
        <is>
          <t>BUY</t>
        </is>
      </c>
      <c r="E2623" t="inlineStr">
        <is>
          <t>No</t>
        </is>
      </c>
      <c r="F2623" s="2" t="n">
        <v>0.998</v>
      </c>
      <c r="G2623" s="6" t="n">
        <v>45</v>
      </c>
      <c r="H2623" s="6">
        <f>F2623*G2623</f>
        <v/>
      </c>
      <c r="I2623">
        <f>_xlfn.XLOOKUP(A2623,MktTitle,MktCat,"n/a")</f>
        <v/>
      </c>
      <c r="J2623" s="3">
        <f>_xlfn.XLOOKUP(A2623,MktTitle,MktTotVol,0)</f>
        <v/>
      </c>
      <c r="K2623">
        <f>IF(H2623&gt;WhaleThreshold,"WHALE","")</f>
        <v/>
      </c>
    </row>
    <row r="2624">
      <c r="A2624" t="inlineStr">
        <is>
          <t>Will Canada win the 2026 FIFA World Cup?</t>
        </is>
      </c>
      <c r="B2624" s="4" t="n">
        <v>46205</v>
      </c>
      <c r="C2624" s="5" t="n">
        <v>46205.9603587963</v>
      </c>
      <c r="D2624" t="inlineStr">
        <is>
          <t>BUY</t>
        </is>
      </c>
      <c r="E2624" t="inlineStr">
        <is>
          <t>No</t>
        </is>
      </c>
      <c r="F2624" s="2" t="n">
        <v>0.998</v>
      </c>
      <c r="G2624" s="6" t="n">
        <v>10.01</v>
      </c>
      <c r="H2624" s="6">
        <f>F2624*G2624</f>
        <v/>
      </c>
      <c r="I2624">
        <f>_xlfn.XLOOKUP(A2624,MktTitle,MktCat,"n/a")</f>
        <v/>
      </c>
      <c r="J2624" s="3">
        <f>_xlfn.XLOOKUP(A2624,MktTitle,MktTotVol,0)</f>
        <v/>
      </c>
      <c r="K2624">
        <f>IF(H2624&gt;WhaleThreshold,"WHALE","")</f>
        <v/>
      </c>
    </row>
    <row r="2625">
      <c r="A2625" t="inlineStr">
        <is>
          <t>Will Canada win the 2026 FIFA World Cup?</t>
        </is>
      </c>
      <c r="B2625" s="4" t="n">
        <v>46205</v>
      </c>
      <c r="C2625" s="5" t="n">
        <v>46205.96018518518</v>
      </c>
      <c r="D2625" t="inlineStr">
        <is>
          <t>SELL</t>
        </is>
      </c>
      <c r="E2625" t="inlineStr">
        <is>
          <t>Yes</t>
        </is>
      </c>
      <c r="F2625" s="2" t="n">
        <v>0.002</v>
      </c>
      <c r="G2625" s="6" t="n">
        <v>64.34</v>
      </c>
      <c r="H2625" s="6">
        <f>F2625*G2625</f>
        <v/>
      </c>
      <c r="I2625">
        <f>_xlfn.XLOOKUP(A2625,MktTitle,MktCat,"n/a")</f>
        <v/>
      </c>
      <c r="J2625" s="3">
        <f>_xlfn.XLOOKUP(A2625,MktTitle,MktTotVol,0)</f>
        <v/>
      </c>
      <c r="K2625">
        <f>IF(H2625&gt;WhaleThreshold,"WHALE","")</f>
        <v/>
      </c>
    </row>
    <row r="2626">
      <c r="A2626" t="inlineStr">
        <is>
          <t>Will Canada win the 2026 FIFA World Cup?</t>
        </is>
      </c>
      <c r="B2626" s="4" t="n">
        <v>46205</v>
      </c>
      <c r="C2626" s="5" t="n">
        <v>46205.96015046296</v>
      </c>
      <c r="D2626" t="inlineStr">
        <is>
          <t>BUY</t>
        </is>
      </c>
      <c r="E2626" t="inlineStr">
        <is>
          <t>No</t>
        </is>
      </c>
      <c r="F2626" s="2" t="n">
        <v>0.998</v>
      </c>
      <c r="G2626" s="6" t="n">
        <v>5</v>
      </c>
      <c r="H2626" s="6">
        <f>F2626*G2626</f>
        <v/>
      </c>
      <c r="I2626">
        <f>_xlfn.XLOOKUP(A2626,MktTitle,MktCat,"n/a")</f>
        <v/>
      </c>
      <c r="J2626" s="3">
        <f>_xlfn.XLOOKUP(A2626,MktTitle,MktTotVol,0)</f>
        <v/>
      </c>
      <c r="K2626">
        <f>IF(H2626&gt;WhaleThreshold,"WHALE","")</f>
        <v/>
      </c>
    </row>
    <row r="2627">
      <c r="A2627" t="inlineStr">
        <is>
          <t>Will Canada win the 2026 FIFA World Cup?</t>
        </is>
      </c>
      <c r="B2627" s="4" t="n">
        <v>46205</v>
      </c>
      <c r="C2627" s="5" t="n">
        <v>46205.96011574074</v>
      </c>
      <c r="D2627" t="inlineStr">
        <is>
          <t>SELL</t>
        </is>
      </c>
      <c r="E2627" t="inlineStr">
        <is>
          <t>Yes</t>
        </is>
      </c>
      <c r="F2627" s="2" t="n">
        <v>0.002</v>
      </c>
      <c r="G2627" s="6" t="n">
        <v>61.62</v>
      </c>
      <c r="H2627" s="6">
        <f>F2627*G2627</f>
        <v/>
      </c>
      <c r="I2627">
        <f>_xlfn.XLOOKUP(A2627,MktTitle,MktCat,"n/a")</f>
        <v/>
      </c>
      <c r="J2627" s="3">
        <f>_xlfn.XLOOKUP(A2627,MktTitle,MktTotVol,0)</f>
        <v/>
      </c>
      <c r="K2627">
        <f>IF(H2627&gt;WhaleThreshold,"WHALE","")</f>
        <v/>
      </c>
    </row>
    <row r="2628">
      <c r="A2628" t="inlineStr">
        <is>
          <t>Will Canada win the 2026 FIFA World Cup?</t>
        </is>
      </c>
      <c r="B2628" s="4" t="n">
        <v>46205</v>
      </c>
      <c r="C2628" s="5" t="n">
        <v>46205.95997685185</v>
      </c>
      <c r="D2628" t="inlineStr">
        <is>
          <t>BUY</t>
        </is>
      </c>
      <c r="E2628" t="inlineStr">
        <is>
          <t>No</t>
        </is>
      </c>
      <c r="F2628" s="2" t="n">
        <v>0.998</v>
      </c>
      <c r="G2628" s="6" t="n">
        <v>22.82</v>
      </c>
      <c r="H2628" s="6">
        <f>F2628*G2628</f>
        <v/>
      </c>
      <c r="I2628">
        <f>_xlfn.XLOOKUP(A2628,MktTitle,MktCat,"n/a")</f>
        <v/>
      </c>
      <c r="J2628" s="3">
        <f>_xlfn.XLOOKUP(A2628,MktTitle,MktTotVol,0)</f>
        <v/>
      </c>
      <c r="K2628">
        <f>IF(H2628&gt;WhaleThreshold,"WHALE","")</f>
        <v/>
      </c>
    </row>
    <row r="2629">
      <c r="A2629" t="inlineStr">
        <is>
          <t>Will Canada win the 2026 FIFA World Cup?</t>
        </is>
      </c>
      <c r="B2629" s="4" t="n">
        <v>46205</v>
      </c>
      <c r="C2629" s="5" t="n">
        <v>46205.95994212963</v>
      </c>
      <c r="D2629" t="inlineStr">
        <is>
          <t>BUY</t>
        </is>
      </c>
      <c r="E2629" t="inlineStr">
        <is>
          <t>No</t>
        </is>
      </c>
      <c r="F2629" s="2" t="n">
        <v>0.998</v>
      </c>
      <c r="G2629" s="6" t="n">
        <v>25.2</v>
      </c>
      <c r="H2629" s="6">
        <f>F2629*G2629</f>
        <v/>
      </c>
      <c r="I2629">
        <f>_xlfn.XLOOKUP(A2629,MktTitle,MktCat,"n/a")</f>
        <v/>
      </c>
      <c r="J2629" s="3">
        <f>_xlfn.XLOOKUP(A2629,MktTitle,MktTotVol,0)</f>
        <v/>
      </c>
      <c r="K2629">
        <f>IF(H2629&gt;WhaleThreshold,"WHALE","")</f>
        <v/>
      </c>
    </row>
    <row r="2630">
      <c r="A2630" t="inlineStr">
        <is>
          <t>Will Canada win the 2026 FIFA World Cup?</t>
        </is>
      </c>
      <c r="B2630" s="4" t="n">
        <v>46205</v>
      </c>
      <c r="C2630" s="5" t="n">
        <v>46205.95991898148</v>
      </c>
      <c r="D2630" t="inlineStr">
        <is>
          <t>BUY</t>
        </is>
      </c>
      <c r="E2630" t="inlineStr">
        <is>
          <t>No</t>
        </is>
      </c>
      <c r="F2630" s="2" t="n">
        <v>0.998</v>
      </c>
      <c r="G2630" s="6" t="n">
        <v>50.4</v>
      </c>
      <c r="H2630" s="6">
        <f>F2630*G2630</f>
        <v/>
      </c>
      <c r="I2630">
        <f>_xlfn.XLOOKUP(A2630,MktTitle,MktCat,"n/a")</f>
        <v/>
      </c>
      <c r="J2630" s="3">
        <f>_xlfn.XLOOKUP(A2630,MktTitle,MktTotVol,0)</f>
        <v/>
      </c>
      <c r="K2630">
        <f>IF(H2630&gt;WhaleThreshold,"WHALE","")</f>
        <v/>
      </c>
    </row>
    <row r="2631">
      <c r="A2631" t="inlineStr">
        <is>
          <t>Will Canada win the 2026 FIFA World Cup?</t>
        </is>
      </c>
      <c r="B2631" s="4" t="n">
        <v>46205</v>
      </c>
      <c r="C2631" s="5" t="n">
        <v>46205.95991898148</v>
      </c>
      <c r="D2631" t="inlineStr">
        <is>
          <t>BUY</t>
        </is>
      </c>
      <c r="E2631" t="inlineStr">
        <is>
          <t>No</t>
        </is>
      </c>
      <c r="F2631" s="2" t="n">
        <v>0.998</v>
      </c>
      <c r="G2631" s="6" t="n">
        <v>50.12</v>
      </c>
      <c r="H2631" s="6">
        <f>F2631*G2631</f>
        <v/>
      </c>
      <c r="I2631">
        <f>_xlfn.XLOOKUP(A2631,MktTitle,MktCat,"n/a")</f>
        <v/>
      </c>
      <c r="J2631" s="3">
        <f>_xlfn.XLOOKUP(A2631,MktTitle,MktTotVol,0)</f>
        <v/>
      </c>
      <c r="K2631">
        <f>IF(H2631&gt;WhaleThreshold,"WHALE","")</f>
        <v/>
      </c>
    </row>
    <row r="2632">
      <c r="A2632" t="inlineStr">
        <is>
          <t>Will Canada win the 2026 FIFA World Cup?</t>
        </is>
      </c>
      <c r="B2632" s="4" t="n">
        <v>46205</v>
      </c>
      <c r="C2632" s="5" t="n">
        <v>46205.95990740741</v>
      </c>
      <c r="D2632" t="inlineStr">
        <is>
          <t>BUY</t>
        </is>
      </c>
      <c r="E2632" t="inlineStr">
        <is>
          <t>No</t>
        </is>
      </c>
      <c r="F2632" s="2" t="n">
        <v>0.998</v>
      </c>
      <c r="G2632" s="6" t="n">
        <v>5</v>
      </c>
      <c r="H2632" s="6">
        <f>F2632*G2632</f>
        <v/>
      </c>
      <c r="I2632">
        <f>_xlfn.XLOOKUP(A2632,MktTitle,MktCat,"n/a")</f>
        <v/>
      </c>
      <c r="J2632" s="3">
        <f>_xlfn.XLOOKUP(A2632,MktTitle,MktTotVol,0)</f>
        <v/>
      </c>
      <c r="K2632">
        <f>IF(H2632&gt;WhaleThreshold,"WHALE","")</f>
        <v/>
      </c>
    </row>
    <row r="2633">
      <c r="A2633" t="inlineStr">
        <is>
          <t>Will Canada win the 2026 FIFA World Cup?</t>
        </is>
      </c>
      <c r="B2633" s="4" t="n">
        <v>46205</v>
      </c>
      <c r="C2633" s="5" t="n">
        <v>46205.95988425926</v>
      </c>
      <c r="D2633" t="inlineStr">
        <is>
          <t>BUY</t>
        </is>
      </c>
      <c r="E2633" t="inlineStr">
        <is>
          <t>No</t>
        </is>
      </c>
      <c r="F2633" s="2" t="n">
        <v>0.998</v>
      </c>
      <c r="G2633" s="6" t="n">
        <v>20</v>
      </c>
      <c r="H2633" s="6">
        <f>F2633*G2633</f>
        <v/>
      </c>
      <c r="I2633">
        <f>_xlfn.XLOOKUP(A2633,MktTitle,MktCat,"n/a")</f>
        <v/>
      </c>
      <c r="J2633" s="3">
        <f>_xlfn.XLOOKUP(A2633,MktTitle,MktTotVol,0)</f>
        <v/>
      </c>
      <c r="K2633">
        <f>IF(H2633&gt;WhaleThreshold,"WHALE","")</f>
        <v/>
      </c>
    </row>
    <row r="2634">
      <c r="A2634" t="inlineStr">
        <is>
          <t>Will Canada win the 2026 FIFA World Cup?</t>
        </is>
      </c>
      <c r="B2634" s="4" t="n">
        <v>46205</v>
      </c>
      <c r="C2634" s="5" t="n">
        <v>46205.95983796296</v>
      </c>
      <c r="D2634" t="inlineStr">
        <is>
          <t>BUY</t>
        </is>
      </c>
      <c r="E2634" t="inlineStr">
        <is>
          <t>No</t>
        </is>
      </c>
      <c r="F2634" s="2" t="n">
        <v>0.998</v>
      </c>
      <c r="G2634" s="6" t="n">
        <v>20.92</v>
      </c>
      <c r="H2634" s="6">
        <f>F2634*G2634</f>
        <v/>
      </c>
      <c r="I2634">
        <f>_xlfn.XLOOKUP(A2634,MktTitle,MktCat,"n/a")</f>
        <v/>
      </c>
      <c r="J2634" s="3">
        <f>_xlfn.XLOOKUP(A2634,MktTitle,MktTotVol,0)</f>
        <v/>
      </c>
      <c r="K2634">
        <f>IF(H2634&gt;WhaleThreshold,"WHALE","")</f>
        <v/>
      </c>
    </row>
    <row r="2635">
      <c r="A2635" t="inlineStr">
        <is>
          <t>Will Canada win the 2026 FIFA World Cup?</t>
        </is>
      </c>
      <c r="B2635" s="4" t="n">
        <v>46205</v>
      </c>
      <c r="C2635" s="5" t="n">
        <v>46205.95980324074</v>
      </c>
      <c r="D2635" t="inlineStr">
        <is>
          <t>BUY</t>
        </is>
      </c>
      <c r="E2635" t="inlineStr">
        <is>
          <t>No</t>
        </is>
      </c>
      <c r="F2635" s="2" t="n">
        <v>0.998</v>
      </c>
      <c r="G2635" s="6" t="n">
        <v>65</v>
      </c>
      <c r="H2635" s="6">
        <f>F2635*G2635</f>
        <v/>
      </c>
      <c r="I2635">
        <f>_xlfn.XLOOKUP(A2635,MktTitle,MktCat,"n/a")</f>
        <v/>
      </c>
      <c r="J2635" s="3">
        <f>_xlfn.XLOOKUP(A2635,MktTitle,MktTotVol,0)</f>
        <v/>
      </c>
      <c r="K2635">
        <f>IF(H2635&gt;WhaleThreshold,"WHALE","")</f>
        <v/>
      </c>
    </row>
    <row r="2636">
      <c r="A2636" t="inlineStr">
        <is>
          <t>Will Canada win the 2026 FIFA World Cup?</t>
        </is>
      </c>
      <c r="B2636" s="4" t="n">
        <v>46205</v>
      </c>
      <c r="C2636" s="5" t="n">
        <v>46205.95978009259</v>
      </c>
      <c r="D2636" t="inlineStr">
        <is>
          <t>BUY</t>
        </is>
      </c>
      <c r="E2636" t="inlineStr">
        <is>
          <t>No</t>
        </is>
      </c>
      <c r="F2636" s="2" t="n">
        <v>0.998</v>
      </c>
      <c r="G2636" s="6" t="n">
        <v>115</v>
      </c>
      <c r="H2636" s="6">
        <f>F2636*G2636</f>
        <v/>
      </c>
      <c r="I2636">
        <f>_xlfn.XLOOKUP(A2636,MktTitle,MktCat,"n/a")</f>
        <v/>
      </c>
      <c r="J2636" s="3">
        <f>_xlfn.XLOOKUP(A2636,MktTitle,MktTotVol,0)</f>
        <v/>
      </c>
      <c r="K2636">
        <f>IF(H2636&gt;WhaleThreshold,"WHALE","")</f>
        <v/>
      </c>
    </row>
    <row r="2637">
      <c r="A2637" t="inlineStr">
        <is>
          <t>Will Canada win the 2026 FIFA World Cup?</t>
        </is>
      </c>
      <c r="B2637" s="4" t="n">
        <v>46205</v>
      </c>
      <c r="C2637" s="5" t="n">
        <v>46205.95976851852</v>
      </c>
      <c r="D2637" t="inlineStr">
        <is>
          <t>BUY</t>
        </is>
      </c>
      <c r="E2637" t="inlineStr">
        <is>
          <t>No</t>
        </is>
      </c>
      <c r="F2637" s="2" t="n">
        <v>0.998</v>
      </c>
      <c r="G2637" s="6" t="n">
        <v>115</v>
      </c>
      <c r="H2637" s="6">
        <f>F2637*G2637</f>
        <v/>
      </c>
      <c r="I2637">
        <f>_xlfn.XLOOKUP(A2637,MktTitle,MktCat,"n/a")</f>
        <v/>
      </c>
      <c r="J2637" s="3">
        <f>_xlfn.XLOOKUP(A2637,MktTitle,MktTotVol,0)</f>
        <v/>
      </c>
      <c r="K2637">
        <f>IF(H2637&gt;WhaleThreshold,"WHALE","")</f>
        <v/>
      </c>
    </row>
    <row r="2638">
      <c r="A2638" t="inlineStr">
        <is>
          <t>Will Canada win the 2026 FIFA World Cup?</t>
        </is>
      </c>
      <c r="B2638" s="4" t="n">
        <v>46205</v>
      </c>
      <c r="C2638" s="5" t="n">
        <v>46205.95976851852</v>
      </c>
      <c r="D2638" t="inlineStr">
        <is>
          <t>BUY</t>
        </is>
      </c>
      <c r="E2638" t="inlineStr">
        <is>
          <t>No</t>
        </is>
      </c>
      <c r="F2638" s="2" t="n">
        <v>0.998</v>
      </c>
      <c r="G2638" s="6" t="n">
        <v>60</v>
      </c>
      <c r="H2638" s="6">
        <f>F2638*G2638</f>
        <v/>
      </c>
      <c r="I2638">
        <f>_xlfn.XLOOKUP(A2638,MktTitle,MktCat,"n/a")</f>
        <v/>
      </c>
      <c r="J2638" s="3">
        <f>_xlfn.XLOOKUP(A2638,MktTitle,MktTotVol,0)</f>
        <v/>
      </c>
      <c r="K2638">
        <f>IF(H2638&gt;WhaleThreshold,"WHALE","")</f>
        <v/>
      </c>
    </row>
    <row r="2639">
      <c r="A2639" t="inlineStr">
        <is>
          <t>Will Canada win the 2026 FIFA World Cup?</t>
        </is>
      </c>
      <c r="B2639" s="4" t="n">
        <v>46205</v>
      </c>
      <c r="C2639" s="5" t="n">
        <v>46205.95974537037</v>
      </c>
      <c r="D2639" t="inlineStr">
        <is>
          <t>BUY</t>
        </is>
      </c>
      <c r="E2639" t="inlineStr">
        <is>
          <t>No</t>
        </is>
      </c>
      <c r="F2639" s="2" t="n">
        <v>0.998</v>
      </c>
      <c r="G2639" s="6" t="n">
        <v>55</v>
      </c>
      <c r="H2639" s="6">
        <f>F2639*G2639</f>
        <v/>
      </c>
      <c r="I2639">
        <f>_xlfn.XLOOKUP(A2639,MktTitle,MktCat,"n/a")</f>
        <v/>
      </c>
      <c r="J2639" s="3">
        <f>_xlfn.XLOOKUP(A2639,MktTitle,MktTotVol,0)</f>
        <v/>
      </c>
      <c r="K2639">
        <f>IF(H2639&gt;WhaleThreshold,"WHALE","")</f>
        <v/>
      </c>
    </row>
    <row r="2640">
      <c r="A2640" t="inlineStr">
        <is>
          <t>Will Canada win the 2026 FIFA World Cup?</t>
        </is>
      </c>
      <c r="B2640" s="4" t="n">
        <v>46205</v>
      </c>
      <c r="C2640" s="5" t="n">
        <v>46205.95974537037</v>
      </c>
      <c r="D2640" t="inlineStr">
        <is>
          <t>BUY</t>
        </is>
      </c>
      <c r="E2640" t="inlineStr">
        <is>
          <t>No</t>
        </is>
      </c>
      <c r="F2640" s="2" t="n">
        <v>0.998</v>
      </c>
      <c r="G2640" s="6" t="n">
        <v>115</v>
      </c>
      <c r="H2640" s="6">
        <f>F2640*G2640</f>
        <v/>
      </c>
      <c r="I2640">
        <f>_xlfn.XLOOKUP(A2640,MktTitle,MktCat,"n/a")</f>
        <v/>
      </c>
      <c r="J2640" s="3">
        <f>_xlfn.XLOOKUP(A2640,MktTitle,MktTotVol,0)</f>
        <v/>
      </c>
      <c r="K2640">
        <f>IF(H2640&gt;WhaleThreshold,"WHALE","")</f>
        <v/>
      </c>
    </row>
    <row r="2641">
      <c r="A2641" t="inlineStr">
        <is>
          <t>Will Canada win the 2026 FIFA World Cup?</t>
        </is>
      </c>
      <c r="B2641" s="4" t="n">
        <v>46205</v>
      </c>
      <c r="C2641" s="5" t="n">
        <v>46205.9597337963</v>
      </c>
      <c r="D2641" t="inlineStr">
        <is>
          <t>BUY</t>
        </is>
      </c>
      <c r="E2641" t="inlineStr">
        <is>
          <t>No</t>
        </is>
      </c>
      <c r="F2641" s="2" t="n">
        <v>0.998</v>
      </c>
      <c r="G2641" s="6" t="n">
        <v>23.4</v>
      </c>
      <c r="H2641" s="6">
        <f>F2641*G2641</f>
        <v/>
      </c>
      <c r="I2641">
        <f>_xlfn.XLOOKUP(A2641,MktTitle,MktCat,"n/a")</f>
        <v/>
      </c>
      <c r="J2641" s="3">
        <f>_xlfn.XLOOKUP(A2641,MktTitle,MktTotVol,0)</f>
        <v/>
      </c>
      <c r="K2641">
        <f>IF(H2641&gt;WhaleThreshold,"WHALE","")</f>
        <v/>
      </c>
    </row>
    <row r="2642">
      <c r="A2642" t="inlineStr">
        <is>
          <t>Will Canada win the 2026 FIFA World Cup?</t>
        </is>
      </c>
      <c r="B2642" s="4" t="n">
        <v>46205</v>
      </c>
      <c r="C2642" s="5" t="n">
        <v>46205.9597337963</v>
      </c>
      <c r="D2642" t="inlineStr">
        <is>
          <t>BUY</t>
        </is>
      </c>
      <c r="E2642" t="inlineStr">
        <is>
          <t>No</t>
        </is>
      </c>
      <c r="F2642" s="2" t="n">
        <v>0.998</v>
      </c>
      <c r="G2642" s="6" t="n">
        <v>46.8</v>
      </c>
      <c r="H2642" s="6">
        <f>F2642*G2642</f>
        <v/>
      </c>
      <c r="I2642">
        <f>_xlfn.XLOOKUP(A2642,MktTitle,MktCat,"n/a")</f>
        <v/>
      </c>
      <c r="J2642" s="3">
        <f>_xlfn.XLOOKUP(A2642,MktTitle,MktTotVol,0)</f>
        <v/>
      </c>
      <c r="K2642">
        <f>IF(H2642&gt;WhaleThreshold,"WHALE","")</f>
        <v/>
      </c>
    </row>
    <row r="2643">
      <c r="A2643" t="inlineStr">
        <is>
          <t>Will Canada win the 2026 FIFA World Cup?</t>
        </is>
      </c>
      <c r="B2643" s="4" t="n">
        <v>46205</v>
      </c>
      <c r="C2643" s="5" t="n">
        <v>46205.95971064815</v>
      </c>
      <c r="D2643" t="inlineStr">
        <is>
          <t>BUY</t>
        </is>
      </c>
      <c r="E2643" t="inlineStr">
        <is>
          <t>No</t>
        </is>
      </c>
      <c r="F2643" s="2" t="n">
        <v>0.998</v>
      </c>
      <c r="G2643" s="6" t="n">
        <v>115</v>
      </c>
      <c r="H2643" s="6">
        <f>F2643*G2643</f>
        <v/>
      </c>
      <c r="I2643">
        <f>_xlfn.XLOOKUP(A2643,MktTitle,MktCat,"n/a")</f>
        <v/>
      </c>
      <c r="J2643" s="3">
        <f>_xlfn.XLOOKUP(A2643,MktTitle,MktTotVol,0)</f>
        <v/>
      </c>
      <c r="K2643">
        <f>IF(H2643&gt;WhaleThreshold,"WHALE","")</f>
        <v/>
      </c>
    </row>
    <row r="2644">
      <c r="A2644" t="inlineStr">
        <is>
          <t>Will Canada win the 2026 FIFA World Cup?</t>
        </is>
      </c>
      <c r="B2644" s="4" t="n">
        <v>46205</v>
      </c>
      <c r="C2644" s="5" t="n">
        <v>46205.95953703704</v>
      </c>
      <c r="D2644" t="inlineStr">
        <is>
          <t>BUY</t>
        </is>
      </c>
      <c r="E2644" t="inlineStr">
        <is>
          <t>No</t>
        </is>
      </c>
      <c r="F2644" s="2" t="n">
        <v>0.998</v>
      </c>
      <c r="G2644" s="6" t="n">
        <v>5.23</v>
      </c>
      <c r="H2644" s="6">
        <f>F2644*G2644</f>
        <v/>
      </c>
      <c r="I2644">
        <f>_xlfn.XLOOKUP(A2644,MktTitle,MktCat,"n/a")</f>
        <v/>
      </c>
      <c r="J2644" s="3">
        <f>_xlfn.XLOOKUP(A2644,MktTitle,MktTotVol,0)</f>
        <v/>
      </c>
      <c r="K2644">
        <f>IF(H2644&gt;WhaleThreshold,"WHALE","")</f>
        <v/>
      </c>
    </row>
    <row r="2645">
      <c r="A2645" t="inlineStr">
        <is>
          <t>Will Canada win the 2026 FIFA World Cup?</t>
        </is>
      </c>
      <c r="B2645" s="4" t="n">
        <v>46205</v>
      </c>
      <c r="C2645" s="5" t="n">
        <v>46205.95894675926</v>
      </c>
      <c r="D2645" t="inlineStr">
        <is>
          <t>BUY</t>
        </is>
      </c>
      <c r="E2645" t="inlineStr">
        <is>
          <t>No</t>
        </is>
      </c>
      <c r="F2645" s="2" t="n">
        <v>0.998</v>
      </c>
      <c r="G2645" s="6" t="n">
        <v>2.94</v>
      </c>
      <c r="H2645" s="6">
        <f>F2645*G2645</f>
        <v/>
      </c>
      <c r="I2645">
        <f>_xlfn.XLOOKUP(A2645,MktTitle,MktCat,"n/a")</f>
        <v/>
      </c>
      <c r="J2645" s="3">
        <f>_xlfn.XLOOKUP(A2645,MktTitle,MktTotVol,0)</f>
        <v/>
      </c>
      <c r="K2645">
        <f>IF(H2645&gt;WhaleThreshold,"WHALE","")</f>
        <v/>
      </c>
    </row>
    <row r="2646">
      <c r="A2646" t="inlineStr">
        <is>
          <t>Will Canada win the 2026 FIFA World Cup?</t>
        </is>
      </c>
      <c r="B2646" s="4" t="n">
        <v>46205</v>
      </c>
      <c r="C2646" s="5" t="n">
        <v>46205.95893518518</v>
      </c>
      <c r="D2646" t="inlineStr">
        <is>
          <t>BUY</t>
        </is>
      </c>
      <c r="E2646" t="inlineStr">
        <is>
          <t>No</t>
        </is>
      </c>
      <c r="F2646" s="2" t="n">
        <v>0.998</v>
      </c>
      <c r="G2646" s="6" t="n">
        <v>5</v>
      </c>
      <c r="H2646" s="6">
        <f>F2646*G2646</f>
        <v/>
      </c>
      <c r="I2646">
        <f>_xlfn.XLOOKUP(A2646,MktTitle,MktCat,"n/a")</f>
        <v/>
      </c>
      <c r="J2646" s="3">
        <f>_xlfn.XLOOKUP(A2646,MktTitle,MktTotVol,0)</f>
        <v/>
      </c>
      <c r="K2646">
        <f>IF(H2646&gt;WhaleThreshold,"WHALE","")</f>
        <v/>
      </c>
    </row>
    <row r="2647">
      <c r="A2647" t="inlineStr">
        <is>
          <t>Will Canada win the 2026 FIFA World Cup?</t>
        </is>
      </c>
      <c r="B2647" s="4" t="n">
        <v>46205</v>
      </c>
      <c r="C2647" s="5" t="n">
        <v>46205.95890046296</v>
      </c>
      <c r="D2647" t="inlineStr">
        <is>
          <t>BUY</t>
        </is>
      </c>
      <c r="E2647" t="inlineStr">
        <is>
          <t>No</t>
        </is>
      </c>
      <c r="F2647" s="2" t="n">
        <v>0.998</v>
      </c>
      <c r="G2647" s="6" t="n">
        <v>5</v>
      </c>
      <c r="H2647" s="6">
        <f>F2647*G2647</f>
        <v/>
      </c>
      <c r="I2647">
        <f>_xlfn.XLOOKUP(A2647,MktTitle,MktCat,"n/a")</f>
        <v/>
      </c>
      <c r="J2647" s="3">
        <f>_xlfn.XLOOKUP(A2647,MktTitle,MktTotVol,0)</f>
        <v/>
      </c>
      <c r="K2647">
        <f>IF(H2647&gt;WhaleThreshold,"WHALE","")</f>
        <v/>
      </c>
    </row>
    <row r="2648">
      <c r="A2648" t="inlineStr">
        <is>
          <t>Will Canada win the 2026 FIFA World Cup?</t>
        </is>
      </c>
      <c r="B2648" s="4" t="n">
        <v>46205</v>
      </c>
      <c r="C2648" s="5" t="n">
        <v>46205.95886574074</v>
      </c>
      <c r="D2648" t="inlineStr">
        <is>
          <t>BUY</t>
        </is>
      </c>
      <c r="E2648" t="inlineStr">
        <is>
          <t>No</t>
        </is>
      </c>
      <c r="F2648" s="2" t="n">
        <v>0.998</v>
      </c>
      <c r="G2648" s="6" t="n">
        <v>10</v>
      </c>
      <c r="H2648" s="6">
        <f>F2648*G2648</f>
        <v/>
      </c>
      <c r="I2648">
        <f>_xlfn.XLOOKUP(A2648,MktTitle,MktCat,"n/a")</f>
        <v/>
      </c>
      <c r="J2648" s="3">
        <f>_xlfn.XLOOKUP(A2648,MktTitle,MktTotVol,0)</f>
        <v/>
      </c>
      <c r="K2648">
        <f>IF(H2648&gt;WhaleThreshold,"WHALE","")</f>
        <v/>
      </c>
    </row>
    <row r="2649">
      <c r="A2649" t="inlineStr">
        <is>
          <t>Will Canada win the 2026 FIFA World Cup?</t>
        </is>
      </c>
      <c r="B2649" s="4" t="n">
        <v>46205</v>
      </c>
      <c r="C2649" s="5" t="n">
        <v>46205.95886574074</v>
      </c>
      <c r="D2649" t="inlineStr">
        <is>
          <t>BUY</t>
        </is>
      </c>
      <c r="E2649" t="inlineStr">
        <is>
          <t>No</t>
        </is>
      </c>
      <c r="F2649" s="2" t="n">
        <v>0.998</v>
      </c>
      <c r="G2649" s="6" t="n">
        <v>10</v>
      </c>
      <c r="H2649" s="6">
        <f>F2649*G2649</f>
        <v/>
      </c>
      <c r="I2649">
        <f>_xlfn.XLOOKUP(A2649,MktTitle,MktCat,"n/a")</f>
        <v/>
      </c>
      <c r="J2649" s="3">
        <f>_xlfn.XLOOKUP(A2649,MktTitle,MktTotVol,0)</f>
        <v/>
      </c>
      <c r="K2649">
        <f>IF(H2649&gt;WhaleThreshold,"WHALE","")</f>
        <v/>
      </c>
    </row>
    <row r="2650">
      <c r="A2650" t="inlineStr">
        <is>
          <t>Will Canada win the 2026 FIFA World Cup?</t>
        </is>
      </c>
      <c r="B2650" s="4" t="n">
        <v>46205</v>
      </c>
      <c r="C2650" s="5" t="n">
        <v>46205.95884259259</v>
      </c>
      <c r="D2650" t="inlineStr">
        <is>
          <t>BUY</t>
        </is>
      </c>
      <c r="E2650" t="inlineStr">
        <is>
          <t>Yes</t>
        </is>
      </c>
      <c r="F2650" s="2" t="n">
        <v>0.003</v>
      </c>
      <c r="G2650" s="6" t="n">
        <v>339</v>
      </c>
      <c r="H2650" s="6">
        <f>F2650*G2650</f>
        <v/>
      </c>
      <c r="I2650">
        <f>_xlfn.XLOOKUP(A2650,MktTitle,MktCat,"n/a")</f>
        <v/>
      </c>
      <c r="J2650" s="3">
        <f>_xlfn.XLOOKUP(A2650,MktTitle,MktTotVol,0)</f>
        <v/>
      </c>
      <c r="K2650">
        <f>IF(H2650&gt;WhaleThreshold,"WHALE","")</f>
        <v/>
      </c>
    </row>
    <row r="2651">
      <c r="A2651" t="inlineStr">
        <is>
          <t>Will Canada win the 2026 FIFA World Cup?</t>
        </is>
      </c>
      <c r="B2651" s="4" t="n">
        <v>46205</v>
      </c>
      <c r="C2651" s="5" t="n">
        <v>46205.95884259259</v>
      </c>
      <c r="D2651" t="inlineStr">
        <is>
          <t>BUY</t>
        </is>
      </c>
      <c r="E2651" t="inlineStr">
        <is>
          <t>No</t>
        </is>
      </c>
      <c r="F2651" s="2" t="n">
        <v>0.998</v>
      </c>
      <c r="G2651" s="6" t="n">
        <v>10</v>
      </c>
      <c r="H2651" s="6">
        <f>F2651*G2651</f>
        <v/>
      </c>
      <c r="I2651">
        <f>_xlfn.XLOOKUP(A2651,MktTitle,MktCat,"n/a")</f>
        <v/>
      </c>
      <c r="J2651" s="3">
        <f>_xlfn.XLOOKUP(A2651,MktTitle,MktTotVol,0)</f>
        <v/>
      </c>
      <c r="K2651">
        <f>IF(H2651&gt;WhaleThreshold,"WHALE","")</f>
        <v/>
      </c>
    </row>
    <row r="2652">
      <c r="A2652" t="inlineStr">
        <is>
          <t>Will Canada win the 2026 FIFA World Cup?</t>
        </is>
      </c>
      <c r="B2652" s="4" t="n">
        <v>46205</v>
      </c>
      <c r="C2652" s="5" t="n">
        <v>46205.95883101852</v>
      </c>
      <c r="D2652" t="inlineStr">
        <is>
          <t>BUY</t>
        </is>
      </c>
      <c r="E2652" t="inlineStr">
        <is>
          <t>No</t>
        </is>
      </c>
      <c r="F2652" s="2" t="n">
        <v>0.998</v>
      </c>
      <c r="G2652" s="6" t="n">
        <v>115</v>
      </c>
      <c r="H2652" s="6">
        <f>F2652*G2652</f>
        <v/>
      </c>
      <c r="I2652">
        <f>_xlfn.XLOOKUP(A2652,MktTitle,MktCat,"n/a")</f>
        <v/>
      </c>
      <c r="J2652" s="3">
        <f>_xlfn.XLOOKUP(A2652,MktTitle,MktTotVol,0)</f>
        <v/>
      </c>
      <c r="K2652">
        <f>IF(H2652&gt;WhaleThreshold,"WHALE","")</f>
        <v/>
      </c>
    </row>
    <row r="2653">
      <c r="A2653" t="inlineStr">
        <is>
          <t>Will Canada win the 2026 FIFA World Cup?</t>
        </is>
      </c>
      <c r="B2653" s="4" t="n">
        <v>46205</v>
      </c>
      <c r="C2653" s="5" t="n">
        <v>46205.95880787037</v>
      </c>
      <c r="D2653" t="inlineStr">
        <is>
          <t>BUY</t>
        </is>
      </c>
      <c r="E2653" t="inlineStr">
        <is>
          <t>No</t>
        </is>
      </c>
      <c r="F2653" s="2" t="n">
        <v>0.998</v>
      </c>
      <c r="G2653" s="6" t="n">
        <v>20</v>
      </c>
      <c r="H2653" s="6">
        <f>F2653*G2653</f>
        <v/>
      </c>
      <c r="I2653">
        <f>_xlfn.XLOOKUP(A2653,MktTitle,MktCat,"n/a")</f>
        <v/>
      </c>
      <c r="J2653" s="3">
        <f>_xlfn.XLOOKUP(A2653,MktTitle,MktTotVol,0)</f>
        <v/>
      </c>
      <c r="K2653">
        <f>IF(H2653&gt;WhaleThreshold,"WHALE","")</f>
        <v/>
      </c>
    </row>
    <row r="2654">
      <c r="A2654" t="inlineStr">
        <is>
          <t>Will Canada win the 2026 FIFA World Cup?</t>
        </is>
      </c>
      <c r="B2654" s="4" t="n">
        <v>46205</v>
      </c>
      <c r="C2654" s="5" t="n">
        <v>46205.95880787037</v>
      </c>
      <c r="D2654" t="inlineStr">
        <is>
          <t>BUY</t>
        </is>
      </c>
      <c r="E2654" t="inlineStr">
        <is>
          <t>No</t>
        </is>
      </c>
      <c r="F2654" s="2" t="n">
        <v>0.998</v>
      </c>
      <c r="G2654" s="6" t="n">
        <v>70</v>
      </c>
      <c r="H2654" s="6">
        <f>F2654*G2654</f>
        <v/>
      </c>
      <c r="I2654">
        <f>_xlfn.XLOOKUP(A2654,MktTitle,MktCat,"n/a")</f>
        <v/>
      </c>
      <c r="J2654" s="3">
        <f>_xlfn.XLOOKUP(A2654,MktTitle,MktTotVol,0)</f>
        <v/>
      </c>
      <c r="K2654">
        <f>IF(H2654&gt;WhaleThreshold,"WHALE","")</f>
        <v/>
      </c>
    </row>
    <row r="2655">
      <c r="A2655" t="inlineStr">
        <is>
          <t>Will Canada win the 2026 FIFA World Cup?</t>
        </is>
      </c>
      <c r="B2655" s="4" t="n">
        <v>46205</v>
      </c>
      <c r="C2655" s="5" t="n">
        <v>46205.95880787037</v>
      </c>
      <c r="D2655" t="inlineStr">
        <is>
          <t>BUY</t>
        </is>
      </c>
      <c r="E2655" t="inlineStr">
        <is>
          <t>No</t>
        </is>
      </c>
      <c r="F2655" s="2" t="n">
        <v>0.998</v>
      </c>
      <c r="G2655" s="6" t="n">
        <v>27.2</v>
      </c>
      <c r="H2655" s="6">
        <f>F2655*G2655</f>
        <v/>
      </c>
      <c r="I2655">
        <f>_xlfn.XLOOKUP(A2655,MktTitle,MktCat,"n/a")</f>
        <v/>
      </c>
      <c r="J2655" s="3">
        <f>_xlfn.XLOOKUP(A2655,MktTitle,MktTotVol,0)</f>
        <v/>
      </c>
      <c r="K2655">
        <f>IF(H2655&gt;WhaleThreshold,"WHALE","")</f>
        <v/>
      </c>
    </row>
    <row r="2656">
      <c r="A2656" t="inlineStr">
        <is>
          <t>Will Canada win the 2026 FIFA World Cup?</t>
        </is>
      </c>
      <c r="B2656" s="4" t="n">
        <v>46205</v>
      </c>
      <c r="C2656" s="5" t="n">
        <v>46205.9587962963</v>
      </c>
      <c r="D2656" t="inlineStr">
        <is>
          <t>BUY</t>
        </is>
      </c>
      <c r="E2656" t="inlineStr">
        <is>
          <t>No</t>
        </is>
      </c>
      <c r="F2656" s="2" t="n">
        <v>0.998</v>
      </c>
      <c r="G2656" s="6" t="n">
        <v>115</v>
      </c>
      <c r="H2656" s="6">
        <f>F2656*G2656</f>
        <v/>
      </c>
      <c r="I2656">
        <f>_xlfn.XLOOKUP(A2656,MktTitle,MktCat,"n/a")</f>
        <v/>
      </c>
      <c r="J2656" s="3">
        <f>_xlfn.XLOOKUP(A2656,MktTitle,MktTotVol,0)</f>
        <v/>
      </c>
      <c r="K2656">
        <f>IF(H2656&gt;WhaleThreshold,"WHALE","")</f>
        <v/>
      </c>
    </row>
    <row r="2657">
      <c r="A2657" t="inlineStr">
        <is>
          <t>Will Canada win the 2026 FIFA World Cup?</t>
        </is>
      </c>
      <c r="B2657" s="4" t="n">
        <v>46205</v>
      </c>
      <c r="C2657" s="5" t="n">
        <v>46205.9587962963</v>
      </c>
      <c r="D2657" t="inlineStr">
        <is>
          <t>BUY</t>
        </is>
      </c>
      <c r="E2657" t="inlineStr">
        <is>
          <t>No</t>
        </is>
      </c>
      <c r="F2657" s="2" t="n">
        <v>0.998</v>
      </c>
      <c r="G2657" s="6" t="n">
        <v>47</v>
      </c>
      <c r="H2657" s="6">
        <f>F2657*G2657</f>
        <v/>
      </c>
      <c r="I2657">
        <f>_xlfn.XLOOKUP(A2657,MktTitle,MktCat,"n/a")</f>
        <v/>
      </c>
      <c r="J2657" s="3">
        <f>_xlfn.XLOOKUP(A2657,MktTitle,MktTotVol,0)</f>
        <v/>
      </c>
      <c r="K2657">
        <f>IF(H2657&gt;WhaleThreshold,"WHALE","")</f>
        <v/>
      </c>
    </row>
    <row r="2658">
      <c r="A2658" t="inlineStr">
        <is>
          <t>Will Canada win the 2026 FIFA World Cup?</t>
        </is>
      </c>
      <c r="B2658" s="4" t="n">
        <v>46205</v>
      </c>
      <c r="C2658" s="5" t="n">
        <v>46205.9587962963</v>
      </c>
      <c r="D2658" t="inlineStr">
        <is>
          <t>BUY</t>
        </is>
      </c>
      <c r="E2658" t="inlineStr">
        <is>
          <t>No</t>
        </is>
      </c>
      <c r="F2658" s="2" t="n">
        <v>0.998</v>
      </c>
      <c r="G2658" s="6" t="n">
        <v>115</v>
      </c>
      <c r="H2658" s="6">
        <f>F2658*G2658</f>
        <v/>
      </c>
      <c r="I2658">
        <f>_xlfn.XLOOKUP(A2658,MktTitle,MktCat,"n/a")</f>
        <v/>
      </c>
      <c r="J2658" s="3">
        <f>_xlfn.XLOOKUP(A2658,MktTitle,MktTotVol,0)</f>
        <v/>
      </c>
      <c r="K2658">
        <f>IF(H2658&gt;WhaleThreshold,"WHALE","")</f>
        <v/>
      </c>
    </row>
    <row r="2659">
      <c r="A2659" t="inlineStr">
        <is>
          <t>Will Canada win the 2026 FIFA World Cup?</t>
        </is>
      </c>
      <c r="B2659" s="4" t="n">
        <v>46205</v>
      </c>
      <c r="C2659" s="5" t="n">
        <v>46205.95851851852</v>
      </c>
      <c r="D2659" t="inlineStr">
        <is>
          <t>BUY</t>
        </is>
      </c>
      <c r="E2659" t="inlineStr">
        <is>
          <t>No</t>
        </is>
      </c>
      <c r="F2659" s="2" t="n">
        <v>0.998</v>
      </c>
      <c r="G2659" s="6" t="n">
        <v>10</v>
      </c>
      <c r="H2659" s="6">
        <f>F2659*G2659</f>
        <v/>
      </c>
      <c r="I2659">
        <f>_xlfn.XLOOKUP(A2659,MktTitle,MktCat,"n/a")</f>
        <v/>
      </c>
      <c r="J2659" s="3">
        <f>_xlfn.XLOOKUP(A2659,MktTitle,MktTotVol,0)</f>
        <v/>
      </c>
      <c r="K2659">
        <f>IF(H2659&gt;WhaleThreshold,"WHALE","")</f>
        <v/>
      </c>
    </row>
    <row r="2660">
      <c r="A2660" t="inlineStr">
        <is>
          <t>Will Canada win the 2026 FIFA World Cup?</t>
        </is>
      </c>
      <c r="B2660" s="4" t="n">
        <v>46205</v>
      </c>
      <c r="C2660" s="5" t="n">
        <v>46205.95849537037</v>
      </c>
      <c r="D2660" t="inlineStr">
        <is>
          <t>BUY</t>
        </is>
      </c>
      <c r="E2660" t="inlineStr">
        <is>
          <t>No</t>
        </is>
      </c>
      <c r="F2660" s="2" t="n">
        <v>0.998</v>
      </c>
      <c r="G2660" s="6" t="n">
        <v>10</v>
      </c>
      <c r="H2660" s="6">
        <f>F2660*G2660</f>
        <v/>
      </c>
      <c r="I2660">
        <f>_xlfn.XLOOKUP(A2660,MktTitle,MktCat,"n/a")</f>
        <v/>
      </c>
      <c r="J2660" s="3">
        <f>_xlfn.XLOOKUP(A2660,MktTitle,MktTotVol,0)</f>
        <v/>
      </c>
      <c r="K2660">
        <f>IF(H2660&gt;WhaleThreshold,"WHALE","")</f>
        <v/>
      </c>
    </row>
    <row r="2661">
      <c r="A2661" t="inlineStr">
        <is>
          <t>Will Canada win the 2026 FIFA World Cup?</t>
        </is>
      </c>
      <c r="B2661" s="4" t="n">
        <v>46205</v>
      </c>
      <c r="C2661" s="5" t="n">
        <v>46205.95837962963</v>
      </c>
      <c r="D2661" t="inlineStr">
        <is>
          <t>BUY</t>
        </is>
      </c>
      <c r="E2661" t="inlineStr">
        <is>
          <t>No</t>
        </is>
      </c>
      <c r="F2661" s="2" t="n">
        <v>0.998</v>
      </c>
      <c r="G2661" s="6" t="n">
        <v>15</v>
      </c>
      <c r="H2661" s="6">
        <f>F2661*G2661</f>
        <v/>
      </c>
      <c r="I2661">
        <f>_xlfn.XLOOKUP(A2661,MktTitle,MktCat,"n/a")</f>
        <v/>
      </c>
      <c r="J2661" s="3">
        <f>_xlfn.XLOOKUP(A2661,MktTitle,MktTotVol,0)</f>
        <v/>
      </c>
      <c r="K2661">
        <f>IF(H2661&gt;WhaleThreshold,"WHALE","")</f>
        <v/>
      </c>
    </row>
    <row r="2662">
      <c r="A2662" t="inlineStr">
        <is>
          <t>Will Canada win the 2026 FIFA World Cup?</t>
        </is>
      </c>
      <c r="B2662" s="4" t="n">
        <v>46205</v>
      </c>
      <c r="C2662" s="5" t="n">
        <v>46205.95835648148</v>
      </c>
      <c r="D2662" t="inlineStr">
        <is>
          <t>BUY</t>
        </is>
      </c>
      <c r="E2662" t="inlineStr">
        <is>
          <t>No</t>
        </is>
      </c>
      <c r="F2662" s="2" t="n">
        <v>0.998</v>
      </c>
      <c r="G2662" s="6" t="n">
        <v>50</v>
      </c>
      <c r="H2662" s="6">
        <f>F2662*G2662</f>
        <v/>
      </c>
      <c r="I2662">
        <f>_xlfn.XLOOKUP(A2662,MktTitle,MktCat,"n/a")</f>
        <v/>
      </c>
      <c r="J2662" s="3">
        <f>_xlfn.XLOOKUP(A2662,MktTitle,MktTotVol,0)</f>
        <v/>
      </c>
      <c r="K2662">
        <f>IF(H2662&gt;WhaleThreshold,"WHALE","")</f>
        <v/>
      </c>
    </row>
    <row r="2663">
      <c r="A2663" t="inlineStr">
        <is>
          <t>Will Canada win the 2026 FIFA World Cup?</t>
        </is>
      </c>
      <c r="B2663" s="4" t="n">
        <v>46205</v>
      </c>
      <c r="C2663" s="5" t="n">
        <v>46205.95834490741</v>
      </c>
      <c r="D2663" t="inlineStr">
        <is>
          <t>BUY</t>
        </is>
      </c>
      <c r="E2663" t="inlineStr">
        <is>
          <t>No</t>
        </is>
      </c>
      <c r="F2663" s="2" t="n">
        <v>0.998</v>
      </c>
      <c r="G2663" s="6" t="n">
        <v>65</v>
      </c>
      <c r="H2663" s="6">
        <f>F2663*G2663</f>
        <v/>
      </c>
      <c r="I2663">
        <f>_xlfn.XLOOKUP(A2663,MktTitle,MktCat,"n/a")</f>
        <v/>
      </c>
      <c r="J2663" s="3">
        <f>_xlfn.XLOOKUP(A2663,MktTitle,MktTotVol,0)</f>
        <v/>
      </c>
      <c r="K2663">
        <f>IF(H2663&gt;WhaleThreshold,"WHALE","")</f>
        <v/>
      </c>
    </row>
    <row r="2664">
      <c r="A2664" t="inlineStr">
        <is>
          <t>Will Canada win the 2026 FIFA World Cup?</t>
        </is>
      </c>
      <c r="B2664" s="4" t="n">
        <v>46205</v>
      </c>
      <c r="C2664" s="5" t="n">
        <v>46205.95834490741</v>
      </c>
      <c r="D2664" t="inlineStr">
        <is>
          <t>BUY</t>
        </is>
      </c>
      <c r="E2664" t="inlineStr">
        <is>
          <t>No</t>
        </is>
      </c>
      <c r="F2664" s="2" t="n">
        <v>0.998</v>
      </c>
      <c r="G2664" s="6" t="n">
        <v>115</v>
      </c>
      <c r="H2664" s="6">
        <f>F2664*G2664</f>
        <v/>
      </c>
      <c r="I2664">
        <f>_xlfn.XLOOKUP(A2664,MktTitle,MktCat,"n/a")</f>
        <v/>
      </c>
      <c r="J2664" s="3">
        <f>_xlfn.XLOOKUP(A2664,MktTitle,MktTotVol,0)</f>
        <v/>
      </c>
      <c r="K2664">
        <f>IF(H2664&gt;WhaleThreshold,"WHALE","")</f>
        <v/>
      </c>
    </row>
    <row r="2665">
      <c r="A2665" t="inlineStr">
        <is>
          <t>Will Canada win the 2026 FIFA World Cup?</t>
        </is>
      </c>
      <c r="B2665" s="4" t="n">
        <v>46205</v>
      </c>
      <c r="C2665" s="5" t="n">
        <v>46205.95832175926</v>
      </c>
      <c r="D2665" t="inlineStr">
        <is>
          <t>BUY</t>
        </is>
      </c>
      <c r="E2665" t="inlineStr">
        <is>
          <t>No</t>
        </is>
      </c>
      <c r="F2665" s="2" t="n">
        <v>0.998</v>
      </c>
      <c r="G2665" s="6" t="n">
        <v>73.59999999999999</v>
      </c>
      <c r="H2665" s="6">
        <f>F2665*G2665</f>
        <v/>
      </c>
      <c r="I2665">
        <f>_xlfn.XLOOKUP(A2665,MktTitle,MktCat,"n/a")</f>
        <v/>
      </c>
      <c r="J2665" s="3">
        <f>_xlfn.XLOOKUP(A2665,MktTitle,MktTotVol,0)</f>
        <v/>
      </c>
      <c r="K2665">
        <f>IF(H2665&gt;WhaleThreshold,"WHALE","")</f>
        <v/>
      </c>
    </row>
    <row r="2666">
      <c r="A2666" t="inlineStr">
        <is>
          <t>Will Canada win the 2026 FIFA World Cup?</t>
        </is>
      </c>
      <c r="B2666" s="4" t="n">
        <v>46205</v>
      </c>
      <c r="C2666" s="5" t="n">
        <v>46205.95655092593</v>
      </c>
      <c r="D2666" t="inlineStr">
        <is>
          <t>SELL</t>
        </is>
      </c>
      <c r="E2666" t="inlineStr">
        <is>
          <t>No</t>
        </is>
      </c>
      <c r="F2666" s="2" t="n">
        <v>0.997</v>
      </c>
      <c r="G2666" s="6" t="n">
        <v>10.91</v>
      </c>
      <c r="H2666" s="6">
        <f>F2666*G2666</f>
        <v/>
      </c>
      <c r="I2666">
        <f>_xlfn.XLOOKUP(A2666,MktTitle,MktCat,"n/a")</f>
        <v/>
      </c>
      <c r="J2666" s="3">
        <f>_xlfn.XLOOKUP(A2666,MktTitle,MktTotVol,0)</f>
        <v/>
      </c>
      <c r="K2666">
        <f>IF(H2666&gt;WhaleThreshold,"WHALE","")</f>
        <v/>
      </c>
    </row>
    <row r="2667">
      <c r="A2667" t="inlineStr">
        <is>
          <t>Will Canada win the 2026 FIFA World Cup?</t>
        </is>
      </c>
      <c r="B2667" s="4" t="n">
        <v>46205</v>
      </c>
      <c r="C2667" s="5" t="n">
        <v>46205.95650462963</v>
      </c>
      <c r="D2667" t="inlineStr">
        <is>
          <t>SELL</t>
        </is>
      </c>
      <c r="E2667" t="inlineStr">
        <is>
          <t>No</t>
        </is>
      </c>
      <c r="F2667" s="2" t="n">
        <v>0.997</v>
      </c>
      <c r="G2667" s="6" t="n">
        <v>10.91</v>
      </c>
      <c r="H2667" s="6">
        <f>F2667*G2667</f>
        <v/>
      </c>
      <c r="I2667">
        <f>_xlfn.XLOOKUP(A2667,MktTitle,MktCat,"n/a")</f>
        <v/>
      </c>
      <c r="J2667" s="3">
        <f>_xlfn.XLOOKUP(A2667,MktTitle,MktTotVol,0)</f>
        <v/>
      </c>
      <c r="K2667">
        <f>IF(H2667&gt;WhaleThreshold,"WHALE","")</f>
        <v/>
      </c>
    </row>
    <row r="2668">
      <c r="A2668" t="inlineStr">
        <is>
          <t>Will Canada win the 2026 FIFA World Cup?</t>
        </is>
      </c>
      <c r="B2668" s="4" t="n">
        <v>46205</v>
      </c>
      <c r="C2668" s="5" t="n">
        <v>46205.95646990741</v>
      </c>
      <c r="D2668" t="inlineStr">
        <is>
          <t>SELL</t>
        </is>
      </c>
      <c r="E2668" t="inlineStr">
        <is>
          <t>No</t>
        </is>
      </c>
      <c r="F2668" s="2" t="n">
        <v>0.997</v>
      </c>
      <c r="G2668" s="6" t="n">
        <v>10.91</v>
      </c>
      <c r="H2668" s="6">
        <f>F2668*G2668</f>
        <v/>
      </c>
      <c r="I2668">
        <f>_xlfn.XLOOKUP(A2668,MktTitle,MktCat,"n/a")</f>
        <v/>
      </c>
      <c r="J2668" s="3">
        <f>_xlfn.XLOOKUP(A2668,MktTitle,MktTotVol,0)</f>
        <v/>
      </c>
      <c r="K2668">
        <f>IF(H2668&gt;WhaleThreshold,"WHALE","")</f>
        <v/>
      </c>
    </row>
    <row r="2669">
      <c r="A2669" t="inlineStr">
        <is>
          <t>Will Canada win the 2026 FIFA World Cup?</t>
        </is>
      </c>
      <c r="B2669" s="4" t="n">
        <v>46205</v>
      </c>
      <c r="C2669" s="5" t="n">
        <v>46205.95619212963</v>
      </c>
      <c r="D2669" t="inlineStr">
        <is>
          <t>SELL</t>
        </is>
      </c>
      <c r="E2669" t="inlineStr">
        <is>
          <t>Yes</t>
        </is>
      </c>
      <c r="F2669" s="2" t="n">
        <v>0.002</v>
      </c>
      <c r="G2669" s="6" t="n">
        <v>141</v>
      </c>
      <c r="H2669" s="6">
        <f>F2669*G2669</f>
        <v/>
      </c>
      <c r="I2669">
        <f>_xlfn.XLOOKUP(A2669,MktTitle,MktCat,"n/a")</f>
        <v/>
      </c>
      <c r="J2669" s="3">
        <f>_xlfn.XLOOKUP(A2669,MktTitle,MktTotVol,0)</f>
        <v/>
      </c>
      <c r="K2669">
        <f>IF(H2669&gt;WhaleThreshold,"WHALE","")</f>
        <v/>
      </c>
    </row>
    <row r="2670">
      <c r="A2670" t="inlineStr">
        <is>
          <t>Will Canada win the 2026 FIFA World Cup?</t>
        </is>
      </c>
      <c r="B2670" s="4" t="n">
        <v>46205</v>
      </c>
      <c r="C2670" s="5" t="n">
        <v>46205.95571759259</v>
      </c>
      <c r="D2670" t="inlineStr">
        <is>
          <t>BUY</t>
        </is>
      </c>
      <c r="E2670" t="inlineStr">
        <is>
          <t>No</t>
        </is>
      </c>
      <c r="F2670" s="2" t="n">
        <v>0.998</v>
      </c>
      <c r="G2670" s="6" t="n">
        <v>10.9115</v>
      </c>
      <c r="H2670" s="6">
        <f>F2670*G2670</f>
        <v/>
      </c>
      <c r="I2670">
        <f>_xlfn.XLOOKUP(A2670,MktTitle,MktCat,"n/a")</f>
        <v/>
      </c>
      <c r="J2670" s="3">
        <f>_xlfn.XLOOKUP(A2670,MktTitle,MktTotVol,0)</f>
        <v/>
      </c>
      <c r="K2670">
        <f>IF(H2670&gt;WhaleThreshold,"WHALE","")</f>
        <v/>
      </c>
    </row>
    <row r="2671">
      <c r="A2671" t="inlineStr">
        <is>
          <t>Will Canada win the 2026 FIFA World Cup?</t>
        </is>
      </c>
      <c r="B2671" s="4" t="n">
        <v>46205</v>
      </c>
      <c r="C2671" s="5" t="n">
        <v>46205.95571759259</v>
      </c>
      <c r="D2671" t="inlineStr">
        <is>
          <t>BUY</t>
        </is>
      </c>
      <c r="E2671" t="inlineStr">
        <is>
          <t>No</t>
        </is>
      </c>
      <c r="F2671" s="2" t="n">
        <v>0.998</v>
      </c>
      <c r="G2671" s="6" t="n">
        <v>10.9115</v>
      </c>
      <c r="H2671" s="6">
        <f>F2671*G2671</f>
        <v/>
      </c>
      <c r="I2671">
        <f>_xlfn.XLOOKUP(A2671,MktTitle,MktCat,"n/a")</f>
        <v/>
      </c>
      <c r="J2671" s="3">
        <f>_xlfn.XLOOKUP(A2671,MktTitle,MktTotVol,0)</f>
        <v/>
      </c>
      <c r="K2671">
        <f>IF(H2671&gt;WhaleThreshold,"WHALE","")</f>
        <v/>
      </c>
    </row>
    <row r="2672">
      <c r="A2672" t="inlineStr">
        <is>
          <t>Will Canada win the 2026 FIFA World Cup?</t>
        </is>
      </c>
      <c r="B2672" s="4" t="n">
        <v>46205</v>
      </c>
      <c r="C2672" s="5" t="n">
        <v>46205.95571759259</v>
      </c>
      <c r="D2672" t="inlineStr">
        <is>
          <t>BUY</t>
        </is>
      </c>
      <c r="E2672" t="inlineStr">
        <is>
          <t>No</t>
        </is>
      </c>
      <c r="F2672" s="2" t="n">
        <v>0.998</v>
      </c>
      <c r="G2672" s="6" t="n">
        <v>10.9115</v>
      </c>
      <c r="H2672" s="6">
        <f>F2672*G2672</f>
        <v/>
      </c>
      <c r="I2672">
        <f>_xlfn.XLOOKUP(A2672,MktTitle,MktCat,"n/a")</f>
        <v/>
      </c>
      <c r="J2672" s="3">
        <f>_xlfn.XLOOKUP(A2672,MktTitle,MktTotVol,0)</f>
        <v/>
      </c>
      <c r="K2672">
        <f>IF(H2672&gt;WhaleThreshold,"WHALE","")</f>
        <v/>
      </c>
    </row>
    <row r="2673">
      <c r="A2673" t="inlineStr">
        <is>
          <t>Will Canada win the 2026 FIFA World Cup?</t>
        </is>
      </c>
      <c r="B2673" s="4" t="n">
        <v>46205</v>
      </c>
      <c r="C2673" s="5" t="n">
        <v>46205.95046296297</v>
      </c>
      <c r="D2673" t="inlineStr">
        <is>
          <t>BUY</t>
        </is>
      </c>
      <c r="E2673" t="inlineStr">
        <is>
          <t>No</t>
        </is>
      </c>
      <c r="F2673" s="2" t="n">
        <v>0.998</v>
      </c>
      <c r="G2673" s="6" t="n">
        <v>7.014</v>
      </c>
      <c r="H2673" s="6">
        <f>F2673*G2673</f>
        <v/>
      </c>
      <c r="I2673">
        <f>_xlfn.XLOOKUP(A2673,MktTitle,MktCat,"n/a")</f>
        <v/>
      </c>
      <c r="J2673" s="3">
        <f>_xlfn.XLOOKUP(A2673,MktTitle,MktTotVol,0)</f>
        <v/>
      </c>
      <c r="K2673">
        <f>IF(H2673&gt;WhaleThreshold,"WHALE","")</f>
        <v/>
      </c>
    </row>
    <row r="2674">
      <c r="A2674" t="inlineStr">
        <is>
          <t>Will Canada win the 2026 FIFA World Cup?</t>
        </is>
      </c>
      <c r="B2674" s="4" t="n">
        <v>46205</v>
      </c>
      <c r="C2674" s="5" t="n">
        <v>46205.94924768519</v>
      </c>
      <c r="D2674" t="inlineStr">
        <is>
          <t>SELL</t>
        </is>
      </c>
      <c r="E2674" t="inlineStr">
        <is>
          <t>No</t>
        </is>
      </c>
      <c r="F2674" s="2" t="n">
        <v>0.997</v>
      </c>
      <c r="G2674" s="6" t="n">
        <v>42.93</v>
      </c>
      <c r="H2674" s="6">
        <f>F2674*G2674</f>
        <v/>
      </c>
      <c r="I2674">
        <f>_xlfn.XLOOKUP(A2674,MktTitle,MktCat,"n/a")</f>
        <v/>
      </c>
      <c r="J2674" s="3">
        <f>_xlfn.XLOOKUP(A2674,MktTitle,MktTotVol,0)</f>
        <v/>
      </c>
      <c r="K2674">
        <f>IF(H2674&gt;WhaleThreshold,"WHALE","")</f>
        <v/>
      </c>
    </row>
    <row r="2675">
      <c r="A2675" t="inlineStr">
        <is>
          <t>Will Canada win the 2026 FIFA World Cup?</t>
        </is>
      </c>
      <c r="B2675" s="4" t="n">
        <v>46205</v>
      </c>
      <c r="C2675" s="5" t="n">
        <v>46205.94880787037</v>
      </c>
      <c r="D2675" t="inlineStr">
        <is>
          <t>SELL</t>
        </is>
      </c>
      <c r="E2675" t="inlineStr">
        <is>
          <t>No</t>
        </is>
      </c>
      <c r="F2675" s="2" t="n">
        <v>0.997</v>
      </c>
      <c r="G2675" s="6" t="n">
        <v>49.71</v>
      </c>
      <c r="H2675" s="6">
        <f>F2675*G2675</f>
        <v/>
      </c>
      <c r="I2675">
        <f>_xlfn.XLOOKUP(A2675,MktTitle,MktCat,"n/a")</f>
        <v/>
      </c>
      <c r="J2675" s="3">
        <f>_xlfn.XLOOKUP(A2675,MktTitle,MktTotVol,0)</f>
        <v/>
      </c>
      <c r="K2675">
        <f>IF(H2675&gt;WhaleThreshold,"WHALE","")</f>
        <v/>
      </c>
    </row>
    <row r="2676">
      <c r="A2676" t="inlineStr">
        <is>
          <t>Will Canada win the 2026 FIFA World Cup?</t>
        </is>
      </c>
      <c r="B2676" s="4" t="n">
        <v>46205</v>
      </c>
      <c r="C2676" s="5" t="n">
        <v>46205.94608796296</v>
      </c>
      <c r="D2676" t="inlineStr">
        <is>
          <t>SELL</t>
        </is>
      </c>
      <c r="E2676" t="inlineStr">
        <is>
          <t>Yes</t>
        </is>
      </c>
      <c r="F2676" s="2" t="n">
        <v>0.002</v>
      </c>
      <c r="G2676" s="6" t="n">
        <v>1666.66</v>
      </c>
      <c r="H2676" s="6">
        <f>F2676*G2676</f>
        <v/>
      </c>
      <c r="I2676">
        <f>_xlfn.XLOOKUP(A2676,MktTitle,MktCat,"n/a")</f>
        <v/>
      </c>
      <c r="J2676" s="3">
        <f>_xlfn.XLOOKUP(A2676,MktTitle,MktTotVol,0)</f>
        <v/>
      </c>
      <c r="K2676">
        <f>IF(H2676&gt;WhaleThreshold,"WHALE","")</f>
        <v/>
      </c>
    </row>
    <row r="2677">
      <c r="A2677" t="inlineStr">
        <is>
          <t>Will Canada win the 2026 FIFA World Cup?</t>
        </is>
      </c>
      <c r="B2677" s="4" t="n">
        <v>46205</v>
      </c>
      <c r="C2677" s="5" t="n">
        <v>46205.94577546296</v>
      </c>
      <c r="D2677" t="inlineStr">
        <is>
          <t>SELL</t>
        </is>
      </c>
      <c r="E2677" t="inlineStr">
        <is>
          <t>Yes</t>
        </is>
      </c>
      <c r="F2677" s="2" t="n">
        <v>0.002</v>
      </c>
      <c r="G2677" s="6" t="n">
        <v>1333.33</v>
      </c>
      <c r="H2677" s="6">
        <f>F2677*G2677</f>
        <v/>
      </c>
      <c r="I2677">
        <f>_xlfn.XLOOKUP(A2677,MktTitle,MktCat,"n/a")</f>
        <v/>
      </c>
      <c r="J2677" s="3">
        <f>_xlfn.XLOOKUP(A2677,MktTitle,MktTotVol,0)</f>
        <v/>
      </c>
      <c r="K2677">
        <f>IF(H2677&gt;WhaleThreshold,"WHALE","")</f>
        <v/>
      </c>
    </row>
    <row r="2678">
      <c r="A2678" t="inlineStr">
        <is>
          <t>Will Canada win the 2026 FIFA World Cup?</t>
        </is>
      </c>
      <c r="B2678" s="4" t="n">
        <v>46205</v>
      </c>
      <c r="C2678" s="5" t="n">
        <v>46205.94318287037</v>
      </c>
      <c r="D2678" t="inlineStr">
        <is>
          <t>SELL</t>
        </is>
      </c>
      <c r="E2678" t="inlineStr">
        <is>
          <t>No</t>
        </is>
      </c>
      <c r="F2678" s="2" t="n">
        <v>0.997</v>
      </c>
      <c r="G2678" s="6" t="n">
        <v>54.72</v>
      </c>
      <c r="H2678" s="6">
        <f>F2678*G2678</f>
        <v/>
      </c>
      <c r="I2678">
        <f>_xlfn.XLOOKUP(A2678,MktTitle,MktCat,"n/a")</f>
        <v/>
      </c>
      <c r="J2678" s="3">
        <f>_xlfn.XLOOKUP(A2678,MktTitle,MktTotVol,0)</f>
        <v/>
      </c>
      <c r="K2678">
        <f>IF(H2678&gt;WhaleThreshold,"WHALE","")</f>
        <v/>
      </c>
    </row>
    <row r="2679">
      <c r="A2679" t="inlineStr">
        <is>
          <t>Will Canada win the 2026 FIFA World Cup?</t>
        </is>
      </c>
      <c r="B2679" s="4" t="n">
        <v>46205</v>
      </c>
      <c r="C2679" s="5" t="n">
        <v>46205.94297453704</v>
      </c>
      <c r="D2679" t="inlineStr">
        <is>
          <t>SELL</t>
        </is>
      </c>
      <c r="E2679" t="inlineStr">
        <is>
          <t>No</t>
        </is>
      </c>
      <c r="F2679" s="2" t="n">
        <v>0.997</v>
      </c>
      <c r="G2679" s="6" t="n">
        <v>72</v>
      </c>
      <c r="H2679" s="6">
        <f>F2679*G2679</f>
        <v/>
      </c>
      <c r="I2679">
        <f>_xlfn.XLOOKUP(A2679,MktTitle,MktCat,"n/a")</f>
        <v/>
      </c>
      <c r="J2679" s="3">
        <f>_xlfn.XLOOKUP(A2679,MktTitle,MktTotVol,0)</f>
        <v/>
      </c>
      <c r="K2679">
        <f>IF(H2679&gt;WhaleThreshold,"WHALE","")</f>
        <v/>
      </c>
    </row>
    <row r="2680">
      <c r="A2680" t="inlineStr">
        <is>
          <t>Will Canada win the 2026 FIFA World Cup?</t>
        </is>
      </c>
      <c r="B2680" s="4" t="n">
        <v>46205</v>
      </c>
      <c r="C2680" s="5" t="n">
        <v>46205.93976851852</v>
      </c>
      <c r="D2680" t="inlineStr">
        <is>
          <t>SELL</t>
        </is>
      </c>
      <c r="E2680" t="inlineStr">
        <is>
          <t>No</t>
        </is>
      </c>
      <c r="F2680" s="2" t="n">
        <v>0.997</v>
      </c>
      <c r="G2680" s="6" t="n">
        <v>10.36</v>
      </c>
      <c r="H2680" s="6">
        <f>F2680*G2680</f>
        <v/>
      </c>
      <c r="I2680">
        <f>_xlfn.XLOOKUP(A2680,MktTitle,MktCat,"n/a")</f>
        <v/>
      </c>
      <c r="J2680" s="3">
        <f>_xlfn.XLOOKUP(A2680,MktTitle,MktTotVol,0)</f>
        <v/>
      </c>
      <c r="K2680">
        <f>IF(H2680&gt;WhaleThreshold,"WHALE","")</f>
        <v/>
      </c>
    </row>
    <row r="2681">
      <c r="A2681" t="inlineStr">
        <is>
          <t>Will Canada win the 2026 FIFA World Cup?</t>
        </is>
      </c>
      <c r="B2681" s="4" t="n">
        <v>46205</v>
      </c>
      <c r="C2681" s="5" t="n">
        <v>46205.93976851852</v>
      </c>
      <c r="D2681" t="inlineStr">
        <is>
          <t>SELL</t>
        </is>
      </c>
      <c r="E2681" t="inlineStr">
        <is>
          <t>No</t>
        </is>
      </c>
      <c r="F2681" s="2" t="n">
        <v>0.997</v>
      </c>
      <c r="G2681" s="6" t="n">
        <v>10.89</v>
      </c>
      <c r="H2681" s="6">
        <f>F2681*G2681</f>
        <v/>
      </c>
      <c r="I2681">
        <f>_xlfn.XLOOKUP(A2681,MktTitle,MktCat,"n/a")</f>
        <v/>
      </c>
      <c r="J2681" s="3">
        <f>_xlfn.XLOOKUP(A2681,MktTitle,MktTotVol,0)</f>
        <v/>
      </c>
      <c r="K2681">
        <f>IF(H2681&gt;WhaleThreshold,"WHALE","")</f>
        <v/>
      </c>
    </row>
    <row r="2682">
      <c r="A2682" t="inlineStr">
        <is>
          <t>Will Canada win the 2026 FIFA World Cup?</t>
        </is>
      </c>
      <c r="B2682" s="4" t="n">
        <v>46205</v>
      </c>
      <c r="C2682" s="5" t="n">
        <v>46205.93976851852</v>
      </c>
      <c r="D2682" t="inlineStr">
        <is>
          <t>SELL</t>
        </is>
      </c>
      <c r="E2682" t="inlineStr">
        <is>
          <t>No</t>
        </is>
      </c>
      <c r="F2682" s="2" t="n">
        <v>0.997</v>
      </c>
      <c r="G2682" s="6" t="n">
        <v>10.48</v>
      </c>
      <c r="H2682" s="6">
        <f>F2682*G2682</f>
        <v/>
      </c>
      <c r="I2682">
        <f>_xlfn.XLOOKUP(A2682,MktTitle,MktCat,"n/a")</f>
        <v/>
      </c>
      <c r="J2682" s="3">
        <f>_xlfn.XLOOKUP(A2682,MktTitle,MktTotVol,0)</f>
        <v/>
      </c>
      <c r="K2682">
        <f>IF(H2682&gt;WhaleThreshold,"WHALE","")</f>
        <v/>
      </c>
    </row>
    <row r="2683">
      <c r="A2683" t="inlineStr">
        <is>
          <t>Will Canada win the 2026 FIFA World Cup?</t>
        </is>
      </c>
      <c r="B2683" s="4" t="n">
        <v>46205</v>
      </c>
      <c r="C2683" s="5" t="n">
        <v>46205.93976851852</v>
      </c>
      <c r="D2683" t="inlineStr">
        <is>
          <t>SELL</t>
        </is>
      </c>
      <c r="E2683" t="inlineStr">
        <is>
          <t>No</t>
        </is>
      </c>
      <c r="F2683" s="2" t="n">
        <v>0.997</v>
      </c>
      <c r="G2683" s="6" t="n">
        <v>10.79</v>
      </c>
      <c r="H2683" s="6">
        <f>F2683*G2683</f>
        <v/>
      </c>
      <c r="I2683">
        <f>_xlfn.XLOOKUP(A2683,MktTitle,MktCat,"n/a")</f>
        <v/>
      </c>
      <c r="J2683" s="3">
        <f>_xlfn.XLOOKUP(A2683,MktTitle,MktTotVol,0)</f>
        <v/>
      </c>
      <c r="K2683">
        <f>IF(H2683&gt;WhaleThreshold,"WHALE","")</f>
        <v/>
      </c>
    </row>
    <row r="2684">
      <c r="A2684" t="inlineStr">
        <is>
          <t>Will Canada win the 2026 FIFA World Cup?</t>
        </is>
      </c>
      <c r="B2684" s="4" t="n">
        <v>46205</v>
      </c>
      <c r="C2684" s="5" t="n">
        <v>46205.93974537037</v>
      </c>
      <c r="D2684" t="inlineStr">
        <is>
          <t>SELL</t>
        </is>
      </c>
      <c r="E2684" t="inlineStr">
        <is>
          <t>No</t>
        </is>
      </c>
      <c r="F2684" s="2" t="n">
        <v>0.997</v>
      </c>
      <c r="G2684" s="6" t="n">
        <v>10.7</v>
      </c>
      <c r="H2684" s="6">
        <f>F2684*G2684</f>
        <v/>
      </c>
      <c r="I2684">
        <f>_xlfn.XLOOKUP(A2684,MktTitle,MktCat,"n/a")</f>
        <v/>
      </c>
      <c r="J2684" s="3">
        <f>_xlfn.XLOOKUP(A2684,MktTitle,MktTotVol,0)</f>
        <v/>
      </c>
      <c r="K2684">
        <f>IF(H2684&gt;WhaleThreshold,"WHALE","")</f>
        <v/>
      </c>
    </row>
    <row r="2685">
      <c r="A2685" t="inlineStr">
        <is>
          <t>Will Canada win the 2026 FIFA World Cup?</t>
        </is>
      </c>
      <c r="B2685" s="4" t="n">
        <v>46205</v>
      </c>
      <c r="C2685" s="5" t="n">
        <v>46205.93974537037</v>
      </c>
      <c r="D2685" t="inlineStr">
        <is>
          <t>SELL</t>
        </is>
      </c>
      <c r="E2685" t="inlineStr">
        <is>
          <t>No</t>
        </is>
      </c>
      <c r="F2685" s="2" t="n">
        <v>0.997</v>
      </c>
      <c r="G2685" s="6" t="n">
        <v>10.89</v>
      </c>
      <c r="H2685" s="6">
        <f>F2685*G2685</f>
        <v/>
      </c>
      <c r="I2685">
        <f>_xlfn.XLOOKUP(A2685,MktTitle,MktCat,"n/a")</f>
        <v/>
      </c>
      <c r="J2685" s="3">
        <f>_xlfn.XLOOKUP(A2685,MktTitle,MktTotVol,0)</f>
        <v/>
      </c>
      <c r="K2685">
        <f>IF(H2685&gt;WhaleThreshold,"WHALE","")</f>
        <v/>
      </c>
    </row>
    <row r="2686">
      <c r="A2686" t="inlineStr">
        <is>
          <t>Will Canada win the 2026 FIFA World Cup?</t>
        </is>
      </c>
      <c r="B2686" s="4" t="n">
        <v>46205</v>
      </c>
      <c r="C2686" s="5" t="n">
        <v>46205.93974537037</v>
      </c>
      <c r="D2686" t="inlineStr">
        <is>
          <t>SELL</t>
        </is>
      </c>
      <c r="E2686" t="inlineStr">
        <is>
          <t>No</t>
        </is>
      </c>
      <c r="F2686" s="2" t="n">
        <v>0.997</v>
      </c>
      <c r="G2686" s="6" t="n">
        <v>10.46</v>
      </c>
      <c r="H2686" s="6">
        <f>F2686*G2686</f>
        <v/>
      </c>
      <c r="I2686">
        <f>_xlfn.XLOOKUP(A2686,MktTitle,MktCat,"n/a")</f>
        <v/>
      </c>
      <c r="J2686" s="3">
        <f>_xlfn.XLOOKUP(A2686,MktTitle,MktTotVol,0)</f>
        <v/>
      </c>
      <c r="K2686">
        <f>IF(H2686&gt;WhaleThreshold,"WHALE","")</f>
        <v/>
      </c>
    </row>
    <row r="2687">
      <c r="A2687" t="inlineStr">
        <is>
          <t>Will Canada win the 2026 FIFA World Cup?</t>
        </is>
      </c>
      <c r="B2687" s="4" t="n">
        <v>46205</v>
      </c>
      <c r="C2687" s="5" t="n">
        <v>46205.93974537037</v>
      </c>
      <c r="D2687" t="inlineStr">
        <is>
          <t>SELL</t>
        </is>
      </c>
      <c r="E2687" t="inlineStr">
        <is>
          <t>No</t>
        </is>
      </c>
      <c r="F2687" s="2" t="n">
        <v>0.997</v>
      </c>
      <c r="G2687" s="6" t="n">
        <v>10.79</v>
      </c>
      <c r="H2687" s="6">
        <f>F2687*G2687</f>
        <v/>
      </c>
      <c r="I2687">
        <f>_xlfn.XLOOKUP(A2687,MktTitle,MktCat,"n/a")</f>
        <v/>
      </c>
      <c r="J2687" s="3">
        <f>_xlfn.XLOOKUP(A2687,MktTitle,MktTotVol,0)</f>
        <v/>
      </c>
      <c r="K2687">
        <f>IF(H2687&gt;WhaleThreshold,"WHALE","")</f>
        <v/>
      </c>
    </row>
    <row r="2688">
      <c r="A2688" t="inlineStr">
        <is>
          <t>Will Canada win the 2026 FIFA World Cup?</t>
        </is>
      </c>
      <c r="B2688" s="4" t="n">
        <v>46205</v>
      </c>
      <c r="C2688" s="5" t="n">
        <v>46205.93973379629</v>
      </c>
      <c r="D2688" t="inlineStr">
        <is>
          <t>SELL</t>
        </is>
      </c>
      <c r="E2688" t="inlineStr">
        <is>
          <t>No</t>
        </is>
      </c>
      <c r="F2688" s="2" t="n">
        <v>0.997</v>
      </c>
      <c r="G2688" s="6" t="n">
        <v>10.38</v>
      </c>
      <c r="H2688" s="6">
        <f>F2688*G2688</f>
        <v/>
      </c>
      <c r="I2688">
        <f>_xlfn.XLOOKUP(A2688,MktTitle,MktCat,"n/a")</f>
        <v/>
      </c>
      <c r="J2688" s="3">
        <f>_xlfn.XLOOKUP(A2688,MktTitle,MktTotVol,0)</f>
        <v/>
      </c>
      <c r="K2688">
        <f>IF(H2688&gt;WhaleThreshold,"WHALE","")</f>
        <v/>
      </c>
    </row>
    <row r="2689">
      <c r="A2689" t="inlineStr">
        <is>
          <t>Will Canada win the 2026 FIFA World Cup?</t>
        </is>
      </c>
      <c r="B2689" s="4" t="n">
        <v>46205</v>
      </c>
      <c r="C2689" s="5" t="n">
        <v>46205.93971064815</v>
      </c>
      <c r="D2689" t="inlineStr">
        <is>
          <t>SELL</t>
        </is>
      </c>
      <c r="E2689" t="inlineStr">
        <is>
          <t>No</t>
        </is>
      </c>
      <c r="F2689" s="2" t="n">
        <v>0.997</v>
      </c>
      <c r="G2689" s="6" t="n">
        <v>10.79</v>
      </c>
      <c r="H2689" s="6">
        <f>F2689*G2689</f>
        <v/>
      </c>
      <c r="I2689">
        <f>_xlfn.XLOOKUP(A2689,MktTitle,MktCat,"n/a")</f>
        <v/>
      </c>
      <c r="J2689" s="3">
        <f>_xlfn.XLOOKUP(A2689,MktTitle,MktTotVol,0)</f>
        <v/>
      </c>
      <c r="K2689">
        <f>IF(H2689&gt;WhaleThreshold,"WHALE","")</f>
        <v/>
      </c>
    </row>
    <row r="2690">
      <c r="A2690" t="inlineStr">
        <is>
          <t>Will Canada win the 2026 FIFA World Cup?</t>
        </is>
      </c>
      <c r="B2690" s="4" t="n">
        <v>46205</v>
      </c>
      <c r="C2690" s="5" t="n">
        <v>46205.93971064815</v>
      </c>
      <c r="D2690" t="inlineStr">
        <is>
          <t>SELL</t>
        </is>
      </c>
      <c r="E2690" t="inlineStr">
        <is>
          <t>No</t>
        </is>
      </c>
      <c r="F2690" s="2" t="n">
        <v>0.997</v>
      </c>
      <c r="G2690" s="6" t="n">
        <v>10.57</v>
      </c>
      <c r="H2690" s="6">
        <f>F2690*G2690</f>
        <v/>
      </c>
      <c r="I2690">
        <f>_xlfn.XLOOKUP(A2690,MktTitle,MktCat,"n/a")</f>
        <v/>
      </c>
      <c r="J2690" s="3">
        <f>_xlfn.XLOOKUP(A2690,MktTitle,MktTotVol,0)</f>
        <v/>
      </c>
      <c r="K2690">
        <f>IF(H2690&gt;WhaleThreshold,"WHALE","")</f>
        <v/>
      </c>
    </row>
    <row r="2691">
      <c r="A2691" t="inlineStr">
        <is>
          <t>Will Canada win the 2026 FIFA World Cup?</t>
        </is>
      </c>
      <c r="B2691" s="4" t="n">
        <v>46205</v>
      </c>
      <c r="C2691" s="5" t="n">
        <v>46205.93971064815</v>
      </c>
      <c r="D2691" t="inlineStr">
        <is>
          <t>SELL</t>
        </is>
      </c>
      <c r="E2691" t="inlineStr">
        <is>
          <t>No</t>
        </is>
      </c>
      <c r="F2691" s="2" t="n">
        <v>0.997</v>
      </c>
      <c r="G2691" s="6" t="n">
        <v>10.89</v>
      </c>
      <c r="H2691" s="6">
        <f>F2691*G2691</f>
        <v/>
      </c>
      <c r="I2691">
        <f>_xlfn.XLOOKUP(A2691,MktTitle,MktCat,"n/a")</f>
        <v/>
      </c>
      <c r="J2691" s="3">
        <f>_xlfn.XLOOKUP(A2691,MktTitle,MktTotVol,0)</f>
        <v/>
      </c>
      <c r="K2691">
        <f>IF(H2691&gt;WhaleThreshold,"WHALE","")</f>
        <v/>
      </c>
    </row>
    <row r="2692">
      <c r="A2692" t="inlineStr">
        <is>
          <t>Will Canada win the 2026 FIFA World Cup?</t>
        </is>
      </c>
      <c r="B2692" s="4" t="n">
        <v>46205</v>
      </c>
      <c r="C2692" s="5" t="n">
        <v>46205.93967592593</v>
      </c>
      <c r="D2692" t="inlineStr">
        <is>
          <t>SELL</t>
        </is>
      </c>
      <c r="E2692" t="inlineStr">
        <is>
          <t>No</t>
        </is>
      </c>
      <c r="F2692" s="2" t="n">
        <v>0.997</v>
      </c>
      <c r="G2692" s="6" t="n">
        <v>10.49</v>
      </c>
      <c r="H2692" s="6">
        <f>F2692*G2692</f>
        <v/>
      </c>
      <c r="I2692">
        <f>_xlfn.XLOOKUP(A2692,MktTitle,MktCat,"n/a")</f>
        <v/>
      </c>
      <c r="J2692" s="3">
        <f>_xlfn.XLOOKUP(A2692,MktTitle,MktTotVol,0)</f>
        <v/>
      </c>
      <c r="K2692">
        <f>IF(H2692&gt;WhaleThreshold,"WHALE","")</f>
        <v/>
      </c>
    </row>
    <row r="2693">
      <c r="A2693" t="inlineStr">
        <is>
          <t>Will Canada win the 2026 FIFA World Cup?</t>
        </is>
      </c>
      <c r="B2693" s="4" t="n">
        <v>46205</v>
      </c>
      <c r="C2693" s="5" t="n">
        <v>46205.93938657407</v>
      </c>
      <c r="D2693" t="inlineStr">
        <is>
          <t>BUY</t>
        </is>
      </c>
      <c r="E2693" t="inlineStr">
        <is>
          <t>No</t>
        </is>
      </c>
      <c r="F2693" s="2" t="n">
        <v>0.998</v>
      </c>
      <c r="G2693" s="6" t="n">
        <v>10.8915</v>
      </c>
      <c r="H2693" s="6">
        <f>F2693*G2693</f>
        <v/>
      </c>
      <c r="I2693">
        <f>_xlfn.XLOOKUP(A2693,MktTitle,MktCat,"n/a")</f>
        <v/>
      </c>
      <c r="J2693" s="3">
        <f>_xlfn.XLOOKUP(A2693,MktTitle,MktTotVol,0)</f>
        <v/>
      </c>
      <c r="K2693">
        <f>IF(H2693&gt;WhaleThreshold,"WHALE","")</f>
        <v/>
      </c>
    </row>
    <row r="2694">
      <c r="A2694" t="inlineStr">
        <is>
          <t>Will Canada win the 2026 FIFA World Cup?</t>
        </is>
      </c>
      <c r="B2694" s="4" t="n">
        <v>46205</v>
      </c>
      <c r="C2694" s="5" t="n">
        <v>46205.93938657407</v>
      </c>
      <c r="D2694" t="inlineStr">
        <is>
          <t>BUY</t>
        </is>
      </c>
      <c r="E2694" t="inlineStr">
        <is>
          <t>No</t>
        </is>
      </c>
      <c r="F2694" s="2" t="n">
        <v>0.998</v>
      </c>
      <c r="G2694" s="6" t="n">
        <v>10.571</v>
      </c>
      <c r="H2694" s="6">
        <f>F2694*G2694</f>
        <v/>
      </c>
      <c r="I2694">
        <f>_xlfn.XLOOKUP(A2694,MktTitle,MktCat,"n/a")</f>
        <v/>
      </c>
      <c r="J2694" s="3">
        <f>_xlfn.XLOOKUP(A2694,MktTitle,MktTotVol,0)</f>
        <v/>
      </c>
      <c r="K2694">
        <f>IF(H2694&gt;WhaleThreshold,"WHALE","")</f>
        <v/>
      </c>
    </row>
    <row r="2695">
      <c r="A2695" t="inlineStr">
        <is>
          <t>Will Canada win the 2026 FIFA World Cup?</t>
        </is>
      </c>
      <c r="B2695" s="4" t="n">
        <v>46205</v>
      </c>
      <c r="C2695" s="5" t="n">
        <v>46205.93938657407</v>
      </c>
      <c r="D2695" t="inlineStr">
        <is>
          <t>BUY</t>
        </is>
      </c>
      <c r="E2695" t="inlineStr">
        <is>
          <t>No</t>
        </is>
      </c>
      <c r="F2695" s="2" t="n">
        <v>0.998</v>
      </c>
      <c r="G2695" s="6" t="n">
        <v>10.4905</v>
      </c>
      <c r="H2695" s="6">
        <f>F2695*G2695</f>
        <v/>
      </c>
      <c r="I2695">
        <f>_xlfn.XLOOKUP(A2695,MktTitle,MktCat,"n/a")</f>
        <v/>
      </c>
      <c r="J2695" s="3">
        <f>_xlfn.XLOOKUP(A2695,MktTitle,MktTotVol,0)</f>
        <v/>
      </c>
      <c r="K2695">
        <f>IF(H2695&gt;WhaleThreshold,"WHALE","")</f>
        <v/>
      </c>
    </row>
    <row r="2696">
      <c r="A2696" t="inlineStr">
        <is>
          <t>Will Canada win the 2026 FIFA World Cup?</t>
        </is>
      </c>
      <c r="B2696" s="4" t="n">
        <v>46205</v>
      </c>
      <c r="C2696" s="5" t="n">
        <v>46205.93938657407</v>
      </c>
      <c r="D2696" t="inlineStr">
        <is>
          <t>BUY</t>
        </is>
      </c>
      <c r="E2696" t="inlineStr">
        <is>
          <t>No</t>
        </is>
      </c>
      <c r="F2696" s="2" t="n">
        <v>0.998</v>
      </c>
      <c r="G2696" s="6" t="n">
        <v>10.4805</v>
      </c>
      <c r="H2696" s="6">
        <f>F2696*G2696</f>
        <v/>
      </c>
      <c r="I2696">
        <f>_xlfn.XLOOKUP(A2696,MktTitle,MktCat,"n/a")</f>
        <v/>
      </c>
      <c r="J2696" s="3">
        <f>_xlfn.XLOOKUP(A2696,MktTitle,MktTotVol,0)</f>
        <v/>
      </c>
      <c r="K2696">
        <f>IF(H2696&gt;WhaleThreshold,"WHALE","")</f>
        <v/>
      </c>
    </row>
    <row r="2697">
      <c r="A2697" t="inlineStr">
        <is>
          <t>Will Canada win the 2026 FIFA World Cup?</t>
        </is>
      </c>
      <c r="B2697" s="4" t="n">
        <v>46205</v>
      </c>
      <c r="C2697" s="5" t="n">
        <v>46205.93938657407</v>
      </c>
      <c r="D2697" t="inlineStr">
        <is>
          <t>BUY</t>
        </is>
      </c>
      <c r="E2697" t="inlineStr">
        <is>
          <t>No</t>
        </is>
      </c>
      <c r="F2697" s="2" t="n">
        <v>0.998</v>
      </c>
      <c r="G2697" s="6" t="n">
        <v>10.7915</v>
      </c>
      <c r="H2697" s="6">
        <f>F2697*G2697</f>
        <v/>
      </c>
      <c r="I2697">
        <f>_xlfn.XLOOKUP(A2697,MktTitle,MktCat,"n/a")</f>
        <v/>
      </c>
      <c r="J2697" s="3">
        <f>_xlfn.XLOOKUP(A2697,MktTitle,MktTotVol,0)</f>
        <v/>
      </c>
      <c r="K2697">
        <f>IF(H2697&gt;WhaleThreshold,"WHALE","")</f>
        <v/>
      </c>
    </row>
    <row r="2698">
      <c r="A2698" t="inlineStr">
        <is>
          <t>Will Canada win the 2026 FIFA World Cup?</t>
        </is>
      </c>
      <c r="B2698" s="4" t="n">
        <v>46205</v>
      </c>
      <c r="C2698" s="5" t="n">
        <v>46205.93938657407</v>
      </c>
      <c r="D2698" t="inlineStr">
        <is>
          <t>BUY</t>
        </is>
      </c>
      <c r="E2698" t="inlineStr">
        <is>
          <t>No</t>
        </is>
      </c>
      <c r="F2698" s="2" t="n">
        <v>0.998</v>
      </c>
      <c r="G2698" s="6" t="n">
        <v>10.701</v>
      </c>
      <c r="H2698" s="6">
        <f>F2698*G2698</f>
        <v/>
      </c>
      <c r="I2698">
        <f>_xlfn.XLOOKUP(A2698,MktTitle,MktCat,"n/a")</f>
        <v/>
      </c>
      <c r="J2698" s="3">
        <f>_xlfn.XLOOKUP(A2698,MktTitle,MktTotVol,0)</f>
        <v/>
      </c>
      <c r="K2698">
        <f>IF(H2698&gt;WhaleThreshold,"WHALE","")</f>
        <v/>
      </c>
    </row>
    <row r="2699">
      <c r="A2699" t="inlineStr">
        <is>
          <t>Will Canada win the 2026 FIFA World Cup?</t>
        </is>
      </c>
      <c r="B2699" s="4" t="n">
        <v>46205</v>
      </c>
      <c r="C2699" s="5" t="n">
        <v>46205.93938657407</v>
      </c>
      <c r="D2699" t="inlineStr">
        <is>
          <t>BUY</t>
        </is>
      </c>
      <c r="E2699" t="inlineStr">
        <is>
          <t>No</t>
        </is>
      </c>
      <c r="F2699" s="2" t="n">
        <v>0.998</v>
      </c>
      <c r="G2699" s="6" t="n">
        <v>10.8915</v>
      </c>
      <c r="H2699" s="6">
        <f>F2699*G2699</f>
        <v/>
      </c>
      <c r="I2699">
        <f>_xlfn.XLOOKUP(A2699,MktTitle,MktCat,"n/a")</f>
        <v/>
      </c>
      <c r="J2699" s="3">
        <f>_xlfn.XLOOKUP(A2699,MktTitle,MktTotVol,0)</f>
        <v/>
      </c>
      <c r="K2699">
        <f>IF(H2699&gt;WhaleThreshold,"WHALE","")</f>
        <v/>
      </c>
    </row>
    <row r="2700">
      <c r="A2700" t="inlineStr">
        <is>
          <t>Will Canada win the 2026 FIFA World Cup?</t>
        </is>
      </c>
      <c r="B2700" s="4" t="n">
        <v>46205</v>
      </c>
      <c r="C2700" s="5" t="n">
        <v>46205.93938657407</v>
      </c>
      <c r="D2700" t="inlineStr">
        <is>
          <t>BUY</t>
        </is>
      </c>
      <c r="E2700" t="inlineStr">
        <is>
          <t>No</t>
        </is>
      </c>
      <c r="F2700" s="2" t="n">
        <v>0.998</v>
      </c>
      <c r="G2700" s="6" t="n">
        <v>10.7915</v>
      </c>
      <c r="H2700" s="6">
        <f>F2700*G2700</f>
        <v/>
      </c>
      <c r="I2700">
        <f>_xlfn.XLOOKUP(A2700,MktTitle,MktCat,"n/a")</f>
        <v/>
      </c>
      <c r="J2700" s="3">
        <f>_xlfn.XLOOKUP(A2700,MktTitle,MktTotVol,0)</f>
        <v/>
      </c>
      <c r="K2700">
        <f>IF(H2700&gt;WhaleThreshold,"WHALE","")</f>
        <v/>
      </c>
    </row>
    <row r="2701">
      <c r="A2701" t="inlineStr">
        <is>
          <t>Will Canada win the 2026 FIFA World Cup?</t>
        </is>
      </c>
      <c r="B2701" s="4" t="n">
        <v>46205</v>
      </c>
      <c r="C2701" s="5" t="n">
        <v>46205.93938657407</v>
      </c>
      <c r="D2701" t="inlineStr">
        <is>
          <t>BUY</t>
        </is>
      </c>
      <c r="E2701" t="inlineStr">
        <is>
          <t>No</t>
        </is>
      </c>
      <c r="F2701" s="2" t="n">
        <v>0.998</v>
      </c>
      <c r="G2701" s="6" t="n">
        <v>10.8915</v>
      </c>
      <c r="H2701" s="6">
        <f>F2701*G2701</f>
        <v/>
      </c>
      <c r="I2701">
        <f>_xlfn.XLOOKUP(A2701,MktTitle,MktCat,"n/a")</f>
        <v/>
      </c>
      <c r="J2701" s="3">
        <f>_xlfn.XLOOKUP(A2701,MktTitle,MktTotVol,0)</f>
        <v/>
      </c>
      <c r="K2701">
        <f>IF(H2701&gt;WhaleThreshold,"WHALE","")</f>
        <v/>
      </c>
    </row>
    <row r="2702">
      <c r="A2702" t="inlineStr">
        <is>
          <t>Will Portugal win the 2026 FIFA World Cup?</t>
        </is>
      </c>
      <c r="B2702" s="4" t="n">
        <v>46206</v>
      </c>
      <c r="C2702" s="5" t="n">
        <v>46206.08773148148</v>
      </c>
      <c r="D2702" t="inlineStr">
        <is>
          <t>SELL</t>
        </is>
      </c>
      <c r="E2702" t="inlineStr">
        <is>
          <t>Yes</t>
        </is>
      </c>
      <c r="F2702" s="2" t="n">
        <v>0.065</v>
      </c>
      <c r="G2702" s="6" t="n">
        <v>286.14</v>
      </c>
      <c r="H2702" s="6">
        <f>F2702*G2702</f>
        <v/>
      </c>
      <c r="I2702">
        <f>_xlfn.XLOOKUP(A2702,MktTitle,MktCat,"n/a")</f>
        <v/>
      </c>
      <c r="J2702" s="3">
        <f>_xlfn.XLOOKUP(A2702,MktTitle,MktTotVol,0)</f>
        <v/>
      </c>
      <c r="K2702">
        <f>IF(H2702&gt;WhaleThreshold,"WHALE","")</f>
        <v/>
      </c>
    </row>
    <row r="2703">
      <c r="A2703" t="inlineStr">
        <is>
          <t>Will Portugal win the 2026 FIFA World Cup?</t>
        </is>
      </c>
      <c r="B2703" s="4" t="n">
        <v>46206</v>
      </c>
      <c r="C2703" s="5" t="n">
        <v>46206.08686342592</v>
      </c>
      <c r="D2703" t="inlineStr">
        <is>
          <t>BUY</t>
        </is>
      </c>
      <c r="E2703" t="inlineStr">
        <is>
          <t>No</t>
        </is>
      </c>
      <c r="F2703" s="2" t="n">
        <v>0.9360000000000001</v>
      </c>
      <c r="G2703" s="6" t="n">
        <v>499.99</v>
      </c>
      <c r="H2703" s="6">
        <f>F2703*G2703</f>
        <v/>
      </c>
      <c r="I2703">
        <f>_xlfn.XLOOKUP(A2703,MktTitle,MktCat,"n/a")</f>
        <v/>
      </c>
      <c r="J2703" s="3">
        <f>_xlfn.XLOOKUP(A2703,MktTitle,MktTotVol,0)</f>
        <v/>
      </c>
      <c r="K2703">
        <f>IF(H2703&gt;WhaleThreshold,"WHALE","")</f>
        <v/>
      </c>
    </row>
    <row r="2704">
      <c r="A2704" t="inlineStr">
        <is>
          <t>Will Portugal win the 2026 FIFA World Cup?</t>
        </is>
      </c>
      <c r="B2704" s="4" t="n">
        <v>46206</v>
      </c>
      <c r="C2704" s="5" t="n">
        <v>46206.08675925926</v>
      </c>
      <c r="D2704" t="inlineStr">
        <is>
          <t>BUY</t>
        </is>
      </c>
      <c r="E2704" t="inlineStr">
        <is>
          <t>Yes</t>
        </is>
      </c>
      <c r="F2704" s="2" t="n">
        <v>0.067</v>
      </c>
      <c r="G2704" s="6" t="n">
        <v>44.7761</v>
      </c>
      <c r="H2704" s="6">
        <f>F2704*G2704</f>
        <v/>
      </c>
      <c r="I2704">
        <f>_xlfn.XLOOKUP(A2704,MktTitle,MktCat,"n/a")</f>
        <v/>
      </c>
      <c r="J2704" s="3">
        <f>_xlfn.XLOOKUP(A2704,MktTitle,MktTotVol,0)</f>
        <v/>
      </c>
      <c r="K2704">
        <f>IF(H2704&gt;WhaleThreshold,"WHALE","")</f>
        <v/>
      </c>
    </row>
    <row r="2705">
      <c r="A2705" t="inlineStr">
        <is>
          <t>Will Portugal win the 2026 FIFA World Cup?</t>
        </is>
      </c>
      <c r="B2705" s="4" t="n">
        <v>46206</v>
      </c>
      <c r="C2705" s="5" t="n">
        <v>46206.08627314815</v>
      </c>
      <c r="D2705" t="inlineStr">
        <is>
          <t>BUY</t>
        </is>
      </c>
      <c r="E2705" t="inlineStr">
        <is>
          <t>Yes</t>
        </is>
      </c>
      <c r="F2705" s="2" t="n">
        <v>0.0667</v>
      </c>
      <c r="G2705" s="6" t="n">
        <v>29979.5901</v>
      </c>
      <c r="H2705" s="6">
        <f>F2705*G2705</f>
        <v/>
      </c>
      <c r="I2705">
        <f>_xlfn.XLOOKUP(A2705,MktTitle,MktCat,"n/a")</f>
        <v/>
      </c>
      <c r="J2705" s="3">
        <f>_xlfn.XLOOKUP(A2705,MktTitle,MktTotVol,0)</f>
        <v/>
      </c>
      <c r="K2705">
        <f>IF(H2705&gt;WhaleThreshold,"WHALE","")</f>
        <v/>
      </c>
    </row>
    <row r="2706">
      <c r="A2706" t="inlineStr">
        <is>
          <t>Will Portugal win the 2026 FIFA World Cup?</t>
        </is>
      </c>
      <c r="B2706" s="4" t="n">
        <v>46206</v>
      </c>
      <c r="C2706" s="5" t="n">
        <v>46206.08615740741</v>
      </c>
      <c r="D2706" t="inlineStr">
        <is>
          <t>BUY</t>
        </is>
      </c>
      <c r="E2706" t="inlineStr">
        <is>
          <t>Yes</t>
        </is>
      </c>
      <c r="F2706" s="2" t="n">
        <v>0.065</v>
      </c>
      <c r="G2706" s="6" t="n">
        <v>248.1538</v>
      </c>
      <c r="H2706" s="6">
        <f>F2706*G2706</f>
        <v/>
      </c>
      <c r="I2706">
        <f>_xlfn.XLOOKUP(A2706,MktTitle,MktCat,"n/a")</f>
        <v/>
      </c>
      <c r="J2706" s="3">
        <f>_xlfn.XLOOKUP(A2706,MktTitle,MktTotVol,0)</f>
        <v/>
      </c>
      <c r="K2706">
        <f>IF(H2706&gt;WhaleThreshold,"WHALE","")</f>
        <v/>
      </c>
    </row>
    <row r="2707">
      <c r="A2707" t="inlineStr">
        <is>
          <t>Will Portugal win the 2026 FIFA World Cup?</t>
        </is>
      </c>
      <c r="B2707" s="4" t="n">
        <v>46206</v>
      </c>
      <c r="C2707" s="5" t="n">
        <v>46206.0856712963</v>
      </c>
      <c r="D2707" t="inlineStr">
        <is>
          <t>SELL</t>
        </is>
      </c>
      <c r="E2707" t="inlineStr">
        <is>
          <t>Yes</t>
        </is>
      </c>
      <c r="F2707" s="2" t="n">
        <v>0.064</v>
      </c>
      <c r="G2707" s="6" t="n">
        <v>983.4299999999999</v>
      </c>
      <c r="H2707" s="6">
        <f>F2707*G2707</f>
        <v/>
      </c>
      <c r="I2707">
        <f>_xlfn.XLOOKUP(A2707,MktTitle,MktCat,"n/a")</f>
        <v/>
      </c>
      <c r="J2707" s="3">
        <f>_xlfn.XLOOKUP(A2707,MktTitle,MktTotVol,0)</f>
        <v/>
      </c>
      <c r="K2707">
        <f>IF(H2707&gt;WhaleThreshold,"WHALE","")</f>
        <v/>
      </c>
    </row>
    <row r="2708">
      <c r="A2708" t="inlineStr">
        <is>
          <t>Will Portugal win the 2026 FIFA World Cup?</t>
        </is>
      </c>
      <c r="B2708" s="4" t="n">
        <v>46206</v>
      </c>
      <c r="C2708" s="5" t="n">
        <v>46206.08471064815</v>
      </c>
      <c r="D2708" t="inlineStr">
        <is>
          <t>SELL</t>
        </is>
      </c>
      <c r="E2708" t="inlineStr">
        <is>
          <t>Yes</t>
        </is>
      </c>
      <c r="F2708" s="2" t="n">
        <v>0.064</v>
      </c>
      <c r="G2708" s="6" t="n">
        <v>480.76</v>
      </c>
      <c r="H2708" s="6">
        <f>F2708*G2708</f>
        <v/>
      </c>
      <c r="I2708">
        <f>_xlfn.XLOOKUP(A2708,MktTitle,MktCat,"n/a")</f>
        <v/>
      </c>
      <c r="J2708" s="3">
        <f>_xlfn.XLOOKUP(A2708,MktTitle,MktTotVol,0)</f>
        <v/>
      </c>
      <c r="K2708">
        <f>IF(H2708&gt;WhaleThreshold,"WHALE","")</f>
        <v/>
      </c>
    </row>
    <row r="2709">
      <c r="A2709" t="inlineStr">
        <is>
          <t>Will Portugal win the 2026 FIFA World Cup?</t>
        </is>
      </c>
      <c r="B2709" s="4" t="n">
        <v>46206</v>
      </c>
      <c r="C2709" s="5" t="n">
        <v>46206.08453703704</v>
      </c>
      <c r="D2709" t="inlineStr">
        <is>
          <t>BUY</t>
        </is>
      </c>
      <c r="E2709" t="inlineStr">
        <is>
          <t>Yes</t>
        </is>
      </c>
      <c r="F2709" s="2" t="n">
        <v>0.065</v>
      </c>
      <c r="G2709" s="6" t="n">
        <v>712.89</v>
      </c>
      <c r="H2709" s="6">
        <f>F2709*G2709</f>
        <v/>
      </c>
      <c r="I2709">
        <f>_xlfn.XLOOKUP(A2709,MktTitle,MktCat,"n/a")</f>
        <v/>
      </c>
      <c r="J2709" s="3">
        <f>_xlfn.XLOOKUP(A2709,MktTitle,MktTotVol,0)</f>
        <v/>
      </c>
      <c r="K2709">
        <f>IF(H2709&gt;WhaleThreshold,"WHALE","")</f>
        <v/>
      </c>
    </row>
    <row r="2710">
      <c r="A2710" t="inlineStr">
        <is>
          <t>Will Portugal win the 2026 FIFA World Cup?</t>
        </is>
      </c>
      <c r="B2710" s="4" t="n">
        <v>46206</v>
      </c>
      <c r="C2710" s="5" t="n">
        <v>46206.08363425926</v>
      </c>
      <c r="D2710" t="inlineStr">
        <is>
          <t>BUY</t>
        </is>
      </c>
      <c r="E2710" t="inlineStr">
        <is>
          <t>Yes</t>
        </is>
      </c>
      <c r="F2710" s="2" t="n">
        <v>0.065</v>
      </c>
      <c r="G2710" s="6" t="n">
        <v>15.3846</v>
      </c>
      <c r="H2710" s="6">
        <f>F2710*G2710</f>
        <v/>
      </c>
      <c r="I2710">
        <f>_xlfn.XLOOKUP(A2710,MktTitle,MktCat,"n/a")</f>
        <v/>
      </c>
      <c r="J2710" s="3">
        <f>_xlfn.XLOOKUP(A2710,MktTitle,MktTotVol,0)</f>
        <v/>
      </c>
      <c r="K2710">
        <f>IF(H2710&gt;WhaleThreshold,"WHALE","")</f>
        <v/>
      </c>
    </row>
    <row r="2711">
      <c r="A2711" t="inlineStr">
        <is>
          <t>Will Portugal win the 2026 FIFA World Cup?</t>
        </is>
      </c>
      <c r="B2711" s="4" t="n">
        <v>46206</v>
      </c>
      <c r="C2711" s="5" t="n">
        <v>46206.08300925926</v>
      </c>
      <c r="D2711" t="inlineStr">
        <is>
          <t>BUY</t>
        </is>
      </c>
      <c r="E2711" t="inlineStr">
        <is>
          <t>Yes</t>
        </is>
      </c>
      <c r="F2711" s="2" t="n">
        <v>0.065</v>
      </c>
      <c r="G2711" s="6" t="n">
        <v>122.9231</v>
      </c>
      <c r="H2711" s="6">
        <f>F2711*G2711</f>
        <v/>
      </c>
      <c r="I2711">
        <f>_xlfn.XLOOKUP(A2711,MktTitle,MktCat,"n/a")</f>
        <v/>
      </c>
      <c r="J2711" s="3">
        <f>_xlfn.XLOOKUP(A2711,MktTitle,MktTotVol,0)</f>
        <v/>
      </c>
      <c r="K2711">
        <f>IF(H2711&gt;WhaleThreshold,"WHALE","")</f>
        <v/>
      </c>
    </row>
    <row r="2712">
      <c r="A2712" t="inlineStr">
        <is>
          <t>Will Portugal win the 2026 FIFA World Cup?</t>
        </is>
      </c>
      <c r="B2712" s="4" t="n">
        <v>46206</v>
      </c>
      <c r="C2712" s="5" t="n">
        <v>46206.08290509259</v>
      </c>
      <c r="D2712" t="inlineStr">
        <is>
          <t>SELL</t>
        </is>
      </c>
      <c r="E2712" t="inlineStr">
        <is>
          <t>Yes</t>
        </is>
      </c>
      <c r="F2712" s="2" t="n">
        <v>0.064</v>
      </c>
      <c r="G2712" s="6" t="n">
        <v>224.71</v>
      </c>
      <c r="H2712" s="6">
        <f>F2712*G2712</f>
        <v/>
      </c>
      <c r="I2712">
        <f>_xlfn.XLOOKUP(A2712,MktTitle,MktCat,"n/a")</f>
        <v/>
      </c>
      <c r="J2712" s="3">
        <f>_xlfn.XLOOKUP(A2712,MktTitle,MktTotVol,0)</f>
        <v/>
      </c>
      <c r="K2712">
        <f>IF(H2712&gt;WhaleThreshold,"WHALE","")</f>
        <v/>
      </c>
    </row>
    <row r="2713">
      <c r="A2713" t="inlineStr">
        <is>
          <t>Will Portugal win the 2026 FIFA World Cup?</t>
        </is>
      </c>
      <c r="B2713" s="4" t="n">
        <v>46206</v>
      </c>
      <c r="C2713" s="5" t="n">
        <v>46206.08262731481</v>
      </c>
      <c r="D2713" t="inlineStr">
        <is>
          <t>BUY</t>
        </is>
      </c>
      <c r="E2713" t="inlineStr">
        <is>
          <t>Yes</t>
        </is>
      </c>
      <c r="F2713" s="2" t="n">
        <v>0.065</v>
      </c>
      <c r="G2713" s="6" t="n">
        <v>15.3846</v>
      </c>
      <c r="H2713" s="6">
        <f>F2713*G2713</f>
        <v/>
      </c>
      <c r="I2713">
        <f>_xlfn.XLOOKUP(A2713,MktTitle,MktCat,"n/a")</f>
        <v/>
      </c>
      <c r="J2713" s="3">
        <f>_xlfn.XLOOKUP(A2713,MktTitle,MktTotVol,0)</f>
        <v/>
      </c>
      <c r="K2713">
        <f>IF(H2713&gt;WhaleThreshold,"WHALE","")</f>
        <v/>
      </c>
    </row>
    <row r="2714">
      <c r="A2714" t="inlineStr">
        <is>
          <t>Will Portugal win the 2026 FIFA World Cup?</t>
        </is>
      </c>
      <c r="B2714" s="4" t="n">
        <v>46206</v>
      </c>
      <c r="C2714" s="5" t="n">
        <v>46206.08226851852</v>
      </c>
      <c r="D2714" t="inlineStr">
        <is>
          <t>SELL</t>
        </is>
      </c>
      <c r="E2714" t="inlineStr">
        <is>
          <t>Yes</t>
        </is>
      </c>
      <c r="F2714" s="2" t="n">
        <v>0.063</v>
      </c>
      <c r="G2714" s="6" t="n">
        <v>1732.91</v>
      </c>
      <c r="H2714" s="6">
        <f>F2714*G2714</f>
        <v/>
      </c>
      <c r="I2714">
        <f>_xlfn.XLOOKUP(A2714,MktTitle,MktCat,"n/a")</f>
        <v/>
      </c>
      <c r="J2714" s="3">
        <f>_xlfn.XLOOKUP(A2714,MktTitle,MktTotVol,0)</f>
        <v/>
      </c>
      <c r="K2714">
        <f>IF(H2714&gt;WhaleThreshold,"WHALE","")</f>
        <v/>
      </c>
    </row>
    <row r="2715">
      <c r="A2715" t="inlineStr">
        <is>
          <t>Will Portugal win the 2026 FIFA World Cup?</t>
        </is>
      </c>
      <c r="B2715" s="4" t="n">
        <v>46206</v>
      </c>
      <c r="C2715" s="5" t="n">
        <v>46206.08212962963</v>
      </c>
      <c r="D2715" t="inlineStr">
        <is>
          <t>BUY</t>
        </is>
      </c>
      <c r="E2715" t="inlineStr">
        <is>
          <t>Yes</t>
        </is>
      </c>
      <c r="F2715" s="2" t="n">
        <v>0.06569999999999999</v>
      </c>
      <c r="G2715" s="6" t="n">
        <v>106.5758</v>
      </c>
      <c r="H2715" s="6">
        <f>F2715*G2715</f>
        <v/>
      </c>
      <c r="I2715">
        <f>_xlfn.XLOOKUP(A2715,MktTitle,MktCat,"n/a")</f>
        <v/>
      </c>
      <c r="J2715" s="3">
        <f>_xlfn.XLOOKUP(A2715,MktTitle,MktTotVol,0)</f>
        <v/>
      </c>
      <c r="K2715">
        <f>IF(H2715&gt;WhaleThreshold,"WHALE","")</f>
        <v/>
      </c>
    </row>
    <row r="2716">
      <c r="A2716" t="inlineStr">
        <is>
          <t>Will Portugal win the 2026 FIFA World Cup?</t>
        </is>
      </c>
      <c r="B2716" s="4" t="n">
        <v>46206</v>
      </c>
      <c r="C2716" s="5" t="n">
        <v>46206.0819212963</v>
      </c>
      <c r="D2716" t="inlineStr">
        <is>
          <t>SELL</t>
        </is>
      </c>
      <c r="E2716" t="inlineStr">
        <is>
          <t>Yes</t>
        </is>
      </c>
      <c r="F2716" s="2" t="n">
        <v>0.06419999999999999</v>
      </c>
      <c r="G2716" s="6" t="n">
        <v>3869.11</v>
      </c>
      <c r="H2716" s="6">
        <f>F2716*G2716</f>
        <v/>
      </c>
      <c r="I2716">
        <f>_xlfn.XLOOKUP(A2716,MktTitle,MktCat,"n/a")</f>
        <v/>
      </c>
      <c r="J2716" s="3">
        <f>_xlfn.XLOOKUP(A2716,MktTitle,MktTotVol,0)</f>
        <v/>
      </c>
      <c r="K2716">
        <f>IF(H2716&gt;WhaleThreshold,"WHALE","")</f>
        <v/>
      </c>
    </row>
    <row r="2717">
      <c r="A2717" t="inlineStr">
        <is>
          <t>Will Portugal win the 2026 FIFA World Cup?</t>
        </is>
      </c>
      <c r="B2717" s="4" t="n">
        <v>46206</v>
      </c>
      <c r="C2717" s="5" t="n">
        <v>46206.08186342593</v>
      </c>
      <c r="D2717" t="inlineStr">
        <is>
          <t>BUY</t>
        </is>
      </c>
      <c r="E2717" t="inlineStr">
        <is>
          <t>Yes</t>
        </is>
      </c>
      <c r="F2717" s="2" t="n">
        <v>0.066</v>
      </c>
      <c r="G2717" s="6" t="n">
        <v>59</v>
      </c>
      <c r="H2717" s="6">
        <f>F2717*G2717</f>
        <v/>
      </c>
      <c r="I2717">
        <f>_xlfn.XLOOKUP(A2717,MktTitle,MktCat,"n/a")</f>
        <v/>
      </c>
      <c r="J2717" s="3">
        <f>_xlfn.XLOOKUP(A2717,MktTitle,MktTotVol,0)</f>
        <v/>
      </c>
      <c r="K2717">
        <f>IF(H2717&gt;WhaleThreshold,"WHALE","")</f>
        <v/>
      </c>
    </row>
    <row r="2718">
      <c r="A2718" t="inlineStr">
        <is>
          <t>Will Portugal win the 2026 FIFA World Cup?</t>
        </is>
      </c>
      <c r="B2718" s="4" t="n">
        <v>46206</v>
      </c>
      <c r="C2718" s="5" t="n">
        <v>46206.08162037037</v>
      </c>
      <c r="D2718" t="inlineStr">
        <is>
          <t>BUY</t>
        </is>
      </c>
      <c r="E2718" t="inlineStr">
        <is>
          <t>Yes</t>
        </is>
      </c>
      <c r="F2718" s="2" t="n">
        <v>0.066</v>
      </c>
      <c r="G2718" s="6" t="n">
        <v>90.9091</v>
      </c>
      <c r="H2718" s="6">
        <f>F2718*G2718</f>
        <v/>
      </c>
      <c r="I2718">
        <f>_xlfn.XLOOKUP(A2718,MktTitle,MktCat,"n/a")</f>
        <v/>
      </c>
      <c r="J2718" s="3">
        <f>_xlfn.XLOOKUP(A2718,MktTitle,MktTotVol,0)</f>
        <v/>
      </c>
      <c r="K2718">
        <f>IF(H2718&gt;WhaleThreshold,"WHALE","")</f>
        <v/>
      </c>
    </row>
    <row r="2719">
      <c r="A2719" t="inlineStr">
        <is>
          <t>Will Portugal win the 2026 FIFA World Cup?</t>
        </is>
      </c>
      <c r="B2719" s="4" t="n">
        <v>46206</v>
      </c>
      <c r="C2719" s="5" t="n">
        <v>46206.08109953703</v>
      </c>
      <c r="D2719" t="inlineStr">
        <is>
          <t>BUY</t>
        </is>
      </c>
      <c r="E2719" t="inlineStr">
        <is>
          <t>Yes</t>
        </is>
      </c>
      <c r="F2719" s="2" t="n">
        <v>0.066</v>
      </c>
      <c r="G2719" s="6" t="n">
        <v>2643.3333</v>
      </c>
      <c r="H2719" s="6">
        <f>F2719*G2719</f>
        <v/>
      </c>
      <c r="I2719">
        <f>_xlfn.XLOOKUP(A2719,MktTitle,MktCat,"n/a")</f>
        <v/>
      </c>
      <c r="J2719" s="3">
        <f>_xlfn.XLOOKUP(A2719,MktTitle,MktTotVol,0)</f>
        <v/>
      </c>
      <c r="K2719">
        <f>IF(H2719&gt;WhaleThreshold,"WHALE","")</f>
        <v/>
      </c>
    </row>
    <row r="2720">
      <c r="A2720" t="inlineStr">
        <is>
          <t>Will Portugal win the 2026 FIFA World Cup?</t>
        </is>
      </c>
      <c r="B2720" s="4" t="n">
        <v>46206</v>
      </c>
      <c r="C2720" s="5" t="n">
        <v>46206.08101851852</v>
      </c>
      <c r="D2720" t="inlineStr">
        <is>
          <t>BUY</t>
        </is>
      </c>
      <c r="E2720" t="inlineStr">
        <is>
          <t>Yes</t>
        </is>
      </c>
      <c r="F2720" s="2" t="n">
        <v>0.066</v>
      </c>
      <c r="G2720" s="6" t="n">
        <v>37.08</v>
      </c>
      <c r="H2720" s="6">
        <f>F2720*G2720</f>
        <v/>
      </c>
      <c r="I2720">
        <f>_xlfn.XLOOKUP(A2720,MktTitle,MktCat,"n/a")</f>
        <v/>
      </c>
      <c r="J2720" s="3">
        <f>_xlfn.XLOOKUP(A2720,MktTitle,MktTotVol,0)</f>
        <v/>
      </c>
      <c r="K2720">
        <f>IF(H2720&gt;WhaleThreshold,"WHALE","")</f>
        <v/>
      </c>
    </row>
    <row r="2721">
      <c r="A2721" t="inlineStr">
        <is>
          <t>Will Portugal win the 2026 FIFA World Cup?</t>
        </is>
      </c>
      <c r="B2721" s="4" t="n">
        <v>46206</v>
      </c>
      <c r="C2721" s="5" t="n">
        <v>46206.08081018519</v>
      </c>
      <c r="D2721" t="inlineStr">
        <is>
          <t>BUY</t>
        </is>
      </c>
      <c r="E2721" t="inlineStr">
        <is>
          <t>Yes</t>
        </is>
      </c>
      <c r="F2721" s="2" t="n">
        <v>0.066</v>
      </c>
      <c r="G2721" s="6" t="n">
        <v>140.91</v>
      </c>
      <c r="H2721" s="6">
        <f>F2721*G2721</f>
        <v/>
      </c>
      <c r="I2721">
        <f>_xlfn.XLOOKUP(A2721,MktTitle,MktCat,"n/a")</f>
        <v/>
      </c>
      <c r="J2721" s="3">
        <f>_xlfn.XLOOKUP(A2721,MktTitle,MktTotVol,0)</f>
        <v/>
      </c>
      <c r="K2721">
        <f>IF(H2721&gt;WhaleThreshold,"WHALE","")</f>
        <v/>
      </c>
    </row>
    <row r="2722">
      <c r="A2722" t="inlineStr">
        <is>
          <t>Will Portugal win the 2026 FIFA World Cup?</t>
        </is>
      </c>
      <c r="B2722" s="4" t="n">
        <v>46206</v>
      </c>
      <c r="C2722" s="5" t="n">
        <v>46206.08078703703</v>
      </c>
      <c r="D2722" t="inlineStr">
        <is>
          <t>SELL</t>
        </is>
      </c>
      <c r="E2722" t="inlineStr">
        <is>
          <t>Yes</t>
        </is>
      </c>
      <c r="F2722" s="2" t="n">
        <v>0.065</v>
      </c>
      <c r="G2722" s="6" t="n">
        <v>1000</v>
      </c>
      <c r="H2722" s="6">
        <f>F2722*G2722</f>
        <v/>
      </c>
      <c r="I2722">
        <f>_xlfn.XLOOKUP(A2722,MktTitle,MktCat,"n/a")</f>
        <v/>
      </c>
      <c r="J2722" s="3">
        <f>_xlfn.XLOOKUP(A2722,MktTitle,MktTotVol,0)</f>
        <v/>
      </c>
      <c r="K2722">
        <f>IF(H2722&gt;WhaleThreshold,"WHALE","")</f>
        <v/>
      </c>
    </row>
    <row r="2723">
      <c r="A2723" t="inlineStr">
        <is>
          <t>Will Portugal win the 2026 FIFA World Cup?</t>
        </is>
      </c>
      <c r="B2723" s="4" t="n">
        <v>46206</v>
      </c>
      <c r="C2723" s="5" t="n">
        <v>46206.08077546296</v>
      </c>
      <c r="D2723" t="inlineStr">
        <is>
          <t>SELL</t>
        </is>
      </c>
      <c r="E2723" t="inlineStr">
        <is>
          <t>Yes</t>
        </is>
      </c>
      <c r="F2723" s="2" t="n">
        <v>0.065</v>
      </c>
      <c r="G2723" s="6" t="n">
        <v>7547.16</v>
      </c>
      <c r="H2723" s="6">
        <f>F2723*G2723</f>
        <v/>
      </c>
      <c r="I2723">
        <f>_xlfn.XLOOKUP(A2723,MktTitle,MktCat,"n/a")</f>
        <v/>
      </c>
      <c r="J2723" s="3">
        <f>_xlfn.XLOOKUP(A2723,MktTitle,MktTotVol,0)</f>
        <v/>
      </c>
      <c r="K2723">
        <f>IF(H2723&gt;WhaleThreshold,"WHALE","")</f>
        <v/>
      </c>
    </row>
    <row r="2724">
      <c r="A2724" t="inlineStr">
        <is>
          <t>Will Portugal win the 2026 FIFA World Cup?</t>
        </is>
      </c>
      <c r="B2724" s="4" t="n">
        <v>46206</v>
      </c>
      <c r="C2724" s="5" t="n">
        <v>46206.08039351852</v>
      </c>
      <c r="D2724" t="inlineStr">
        <is>
          <t>SELL</t>
        </is>
      </c>
      <c r="E2724" t="inlineStr">
        <is>
          <t>Yes</t>
        </is>
      </c>
      <c r="F2724" s="2" t="n">
        <v>0.065</v>
      </c>
      <c r="G2724" s="6" t="n">
        <v>18.52</v>
      </c>
      <c r="H2724" s="6">
        <f>F2724*G2724</f>
        <v/>
      </c>
      <c r="I2724">
        <f>_xlfn.XLOOKUP(A2724,MktTitle,MktCat,"n/a")</f>
        <v/>
      </c>
      <c r="J2724" s="3">
        <f>_xlfn.XLOOKUP(A2724,MktTitle,MktTotVol,0)</f>
        <v/>
      </c>
      <c r="K2724">
        <f>IF(H2724&gt;WhaleThreshold,"WHALE","")</f>
        <v/>
      </c>
    </row>
    <row r="2725">
      <c r="A2725" t="inlineStr">
        <is>
          <t>Will Portugal win the 2026 FIFA World Cup?</t>
        </is>
      </c>
      <c r="B2725" s="4" t="n">
        <v>46206</v>
      </c>
      <c r="C2725" s="5" t="n">
        <v>46206.08035879629</v>
      </c>
      <c r="D2725" t="inlineStr">
        <is>
          <t>SELL</t>
        </is>
      </c>
      <c r="E2725" t="inlineStr">
        <is>
          <t>Yes</t>
        </is>
      </c>
      <c r="F2725" s="2" t="n">
        <v>0.065</v>
      </c>
      <c r="G2725" s="6" t="n">
        <v>570.73</v>
      </c>
      <c r="H2725" s="6">
        <f>F2725*G2725</f>
        <v/>
      </c>
      <c r="I2725">
        <f>_xlfn.XLOOKUP(A2725,MktTitle,MktCat,"n/a")</f>
        <v/>
      </c>
      <c r="J2725" s="3">
        <f>_xlfn.XLOOKUP(A2725,MktTitle,MktTotVol,0)</f>
        <v/>
      </c>
      <c r="K2725">
        <f>IF(H2725&gt;WhaleThreshold,"WHALE","")</f>
        <v/>
      </c>
    </row>
    <row r="2726">
      <c r="A2726" t="inlineStr">
        <is>
          <t>Will Portugal win the 2026 FIFA World Cup?</t>
        </is>
      </c>
      <c r="B2726" s="4" t="n">
        <v>46206</v>
      </c>
      <c r="C2726" s="5" t="n">
        <v>46206.08023148148</v>
      </c>
      <c r="D2726" t="inlineStr">
        <is>
          <t>BUY</t>
        </is>
      </c>
      <c r="E2726" t="inlineStr">
        <is>
          <t>Yes</t>
        </is>
      </c>
      <c r="F2726" s="2" t="n">
        <v>0.066</v>
      </c>
      <c r="G2726" s="6" t="n">
        <v>75.7576</v>
      </c>
      <c r="H2726" s="6">
        <f>F2726*G2726</f>
        <v/>
      </c>
      <c r="I2726">
        <f>_xlfn.XLOOKUP(A2726,MktTitle,MktCat,"n/a")</f>
        <v/>
      </c>
      <c r="J2726" s="3">
        <f>_xlfn.XLOOKUP(A2726,MktTitle,MktTotVol,0)</f>
        <v/>
      </c>
      <c r="K2726">
        <f>IF(H2726&gt;WhaleThreshold,"WHALE","")</f>
        <v/>
      </c>
    </row>
    <row r="2727">
      <c r="A2727" t="inlineStr">
        <is>
          <t>Will Portugal win the 2026 FIFA World Cup?</t>
        </is>
      </c>
      <c r="B2727" s="4" t="n">
        <v>46206</v>
      </c>
      <c r="C2727" s="5" t="n">
        <v>46206.08021990741</v>
      </c>
      <c r="D2727" t="inlineStr">
        <is>
          <t>SELL</t>
        </is>
      </c>
      <c r="E2727" t="inlineStr">
        <is>
          <t>Yes</t>
        </is>
      </c>
      <c r="F2727" s="2" t="n">
        <v>0.065</v>
      </c>
      <c r="G2727" s="6" t="n">
        <v>1204.63</v>
      </c>
      <c r="H2727" s="6">
        <f>F2727*G2727</f>
        <v/>
      </c>
      <c r="I2727">
        <f>_xlfn.XLOOKUP(A2727,MktTitle,MktCat,"n/a")</f>
        <v/>
      </c>
      <c r="J2727" s="3">
        <f>_xlfn.XLOOKUP(A2727,MktTitle,MktTotVol,0)</f>
        <v/>
      </c>
      <c r="K2727">
        <f>IF(H2727&gt;WhaleThreshold,"WHALE","")</f>
        <v/>
      </c>
    </row>
    <row r="2728">
      <c r="A2728" t="inlineStr">
        <is>
          <t>Will Portugal win the 2026 FIFA World Cup?</t>
        </is>
      </c>
      <c r="B2728" s="4" t="n">
        <v>46206</v>
      </c>
      <c r="C2728" s="5" t="n">
        <v>46206.08011574074</v>
      </c>
      <c r="D2728" t="inlineStr">
        <is>
          <t>BUY</t>
        </is>
      </c>
      <c r="E2728" t="inlineStr">
        <is>
          <t>Yes</t>
        </is>
      </c>
      <c r="F2728" s="2" t="n">
        <v>0.066</v>
      </c>
      <c r="G2728" s="6" t="n">
        <v>2206.5152</v>
      </c>
      <c r="H2728" s="6">
        <f>F2728*G2728</f>
        <v/>
      </c>
      <c r="I2728">
        <f>_xlfn.XLOOKUP(A2728,MktTitle,MktCat,"n/a")</f>
        <v/>
      </c>
      <c r="J2728" s="3">
        <f>_xlfn.XLOOKUP(A2728,MktTitle,MktTotVol,0)</f>
        <v/>
      </c>
      <c r="K2728">
        <f>IF(H2728&gt;WhaleThreshold,"WHALE","")</f>
        <v/>
      </c>
    </row>
    <row r="2729">
      <c r="A2729" t="inlineStr">
        <is>
          <t>Will Portugal win the 2026 FIFA World Cup?</t>
        </is>
      </c>
      <c r="B2729" s="4" t="n">
        <v>46206</v>
      </c>
      <c r="C2729" s="5" t="n">
        <v>46206.08008101852</v>
      </c>
      <c r="D2729" t="inlineStr">
        <is>
          <t>BUY</t>
        </is>
      </c>
      <c r="E2729" t="inlineStr">
        <is>
          <t>Yes</t>
        </is>
      </c>
      <c r="F2729" s="2" t="n">
        <v>0.066</v>
      </c>
      <c r="G2729" s="6" t="n">
        <v>762</v>
      </c>
      <c r="H2729" s="6">
        <f>F2729*G2729</f>
        <v/>
      </c>
      <c r="I2729">
        <f>_xlfn.XLOOKUP(A2729,MktTitle,MktCat,"n/a")</f>
        <v/>
      </c>
      <c r="J2729" s="3">
        <f>_xlfn.XLOOKUP(A2729,MktTitle,MktTotVol,0)</f>
        <v/>
      </c>
      <c r="K2729">
        <f>IF(H2729&gt;WhaleThreshold,"WHALE","")</f>
        <v/>
      </c>
    </row>
    <row r="2730">
      <c r="A2730" t="inlineStr">
        <is>
          <t>Will Portugal win the 2026 FIFA World Cup?</t>
        </is>
      </c>
      <c r="B2730" s="4" t="n">
        <v>46206</v>
      </c>
      <c r="C2730" s="5" t="n">
        <v>46206.07983796296</v>
      </c>
      <c r="D2730" t="inlineStr">
        <is>
          <t>BUY</t>
        </is>
      </c>
      <c r="E2730" t="inlineStr">
        <is>
          <t>Yes</t>
        </is>
      </c>
      <c r="F2730" s="2" t="n">
        <v>0.066</v>
      </c>
      <c r="G2730" s="6" t="n">
        <v>75.7576</v>
      </c>
      <c r="H2730" s="6">
        <f>F2730*G2730</f>
        <v/>
      </c>
      <c r="I2730">
        <f>_xlfn.XLOOKUP(A2730,MktTitle,MktCat,"n/a")</f>
        <v/>
      </c>
      <c r="J2730" s="3">
        <f>_xlfn.XLOOKUP(A2730,MktTitle,MktTotVol,0)</f>
        <v/>
      </c>
      <c r="K2730">
        <f>IF(H2730&gt;WhaleThreshold,"WHALE","")</f>
        <v/>
      </c>
    </row>
    <row r="2731">
      <c r="A2731" t="inlineStr">
        <is>
          <t>Will Portugal win the 2026 FIFA World Cup?</t>
        </is>
      </c>
      <c r="B2731" s="4" t="n">
        <v>46206</v>
      </c>
      <c r="C2731" s="5" t="n">
        <v>46206.07952546296</v>
      </c>
      <c r="D2731" t="inlineStr">
        <is>
          <t>SELL</t>
        </is>
      </c>
      <c r="E2731" t="inlineStr">
        <is>
          <t>Yes</t>
        </is>
      </c>
      <c r="F2731" s="2" t="n">
        <v>0.065</v>
      </c>
      <c r="G2731" s="6" t="n">
        <v>2524.48</v>
      </c>
      <c r="H2731" s="6">
        <f>F2731*G2731</f>
        <v/>
      </c>
      <c r="I2731">
        <f>_xlfn.XLOOKUP(A2731,MktTitle,MktCat,"n/a")</f>
        <v/>
      </c>
      <c r="J2731" s="3">
        <f>_xlfn.XLOOKUP(A2731,MktTitle,MktTotVol,0)</f>
        <v/>
      </c>
      <c r="K2731">
        <f>IF(H2731&gt;WhaleThreshold,"WHALE","")</f>
        <v/>
      </c>
    </row>
    <row r="2732">
      <c r="A2732" t="inlineStr">
        <is>
          <t>Will Portugal win the 2026 FIFA World Cup?</t>
        </is>
      </c>
      <c r="B2732" s="4" t="n">
        <v>46206</v>
      </c>
      <c r="C2732" s="5" t="n">
        <v>46206.07950231482</v>
      </c>
      <c r="D2732" t="inlineStr">
        <is>
          <t>BUY</t>
        </is>
      </c>
      <c r="E2732" t="inlineStr">
        <is>
          <t>Yes</t>
        </is>
      </c>
      <c r="F2732" s="2" t="n">
        <v>0.066</v>
      </c>
      <c r="G2732" s="6" t="n">
        <v>586.5599999999999</v>
      </c>
      <c r="H2732" s="6">
        <f>F2732*G2732</f>
        <v/>
      </c>
      <c r="I2732">
        <f>_xlfn.XLOOKUP(A2732,MktTitle,MktCat,"n/a")</f>
        <v/>
      </c>
      <c r="J2732" s="3">
        <f>_xlfn.XLOOKUP(A2732,MktTitle,MktTotVol,0)</f>
        <v/>
      </c>
      <c r="K2732">
        <f>IF(H2732&gt;WhaleThreshold,"WHALE","")</f>
        <v/>
      </c>
    </row>
    <row r="2733">
      <c r="A2733" t="inlineStr">
        <is>
          <t>Will Portugal win the 2026 FIFA World Cup?</t>
        </is>
      </c>
      <c r="B2733" s="4" t="n">
        <v>46206</v>
      </c>
      <c r="C2733" s="5" t="n">
        <v>46206.07891203704</v>
      </c>
      <c r="D2733" t="inlineStr">
        <is>
          <t>SELL</t>
        </is>
      </c>
      <c r="E2733" t="inlineStr">
        <is>
          <t>Yes</t>
        </is>
      </c>
      <c r="F2733" s="2" t="n">
        <v>0.065</v>
      </c>
      <c r="G2733" s="6" t="n">
        <v>199.84</v>
      </c>
      <c r="H2733" s="6">
        <f>F2733*G2733</f>
        <v/>
      </c>
      <c r="I2733">
        <f>_xlfn.XLOOKUP(A2733,MktTitle,MktCat,"n/a")</f>
        <v/>
      </c>
      <c r="J2733" s="3">
        <f>_xlfn.XLOOKUP(A2733,MktTitle,MktTotVol,0)</f>
        <v/>
      </c>
      <c r="K2733">
        <f>IF(H2733&gt;WhaleThreshold,"WHALE","")</f>
        <v/>
      </c>
    </row>
    <row r="2734">
      <c r="A2734" t="inlineStr">
        <is>
          <t>Will Portugal win the 2026 FIFA World Cup?</t>
        </is>
      </c>
      <c r="B2734" s="4" t="n">
        <v>46206</v>
      </c>
      <c r="C2734" s="5" t="n">
        <v>46206.07846064815</v>
      </c>
      <c r="D2734" t="inlineStr">
        <is>
          <t>SELL</t>
        </is>
      </c>
      <c r="E2734" t="inlineStr">
        <is>
          <t>No</t>
        </is>
      </c>
      <c r="F2734" s="2" t="n">
        <v>0.9340000000000001</v>
      </c>
      <c r="G2734" s="6" t="n">
        <v>47.6</v>
      </c>
      <c r="H2734" s="6">
        <f>F2734*G2734</f>
        <v/>
      </c>
      <c r="I2734">
        <f>_xlfn.XLOOKUP(A2734,MktTitle,MktCat,"n/a")</f>
        <v/>
      </c>
      <c r="J2734" s="3">
        <f>_xlfn.XLOOKUP(A2734,MktTitle,MktTotVol,0)</f>
        <v/>
      </c>
      <c r="K2734">
        <f>IF(H2734&gt;WhaleThreshold,"WHALE","")</f>
        <v/>
      </c>
    </row>
    <row r="2735">
      <c r="A2735" t="inlineStr">
        <is>
          <t>Will Portugal win the 2026 FIFA World Cup?</t>
        </is>
      </c>
      <c r="B2735" s="4" t="n">
        <v>46206</v>
      </c>
      <c r="C2735" s="5" t="n">
        <v>46206.07752314815</v>
      </c>
      <c r="D2735" t="inlineStr">
        <is>
          <t>BUY</t>
        </is>
      </c>
      <c r="E2735" t="inlineStr">
        <is>
          <t>Yes</t>
        </is>
      </c>
      <c r="F2735" s="2" t="n">
        <v>0.066</v>
      </c>
      <c r="G2735" s="6" t="n">
        <v>367.7273</v>
      </c>
      <c r="H2735" s="6">
        <f>F2735*G2735</f>
        <v/>
      </c>
      <c r="I2735">
        <f>_xlfn.XLOOKUP(A2735,MktTitle,MktCat,"n/a")</f>
        <v/>
      </c>
      <c r="J2735" s="3">
        <f>_xlfn.XLOOKUP(A2735,MktTitle,MktTotVol,0)</f>
        <v/>
      </c>
      <c r="K2735">
        <f>IF(H2735&gt;WhaleThreshold,"WHALE","")</f>
        <v/>
      </c>
    </row>
    <row r="2736">
      <c r="A2736" t="inlineStr">
        <is>
          <t>Will Portugal win the 2026 FIFA World Cup?</t>
        </is>
      </c>
      <c r="B2736" s="4" t="n">
        <v>46206</v>
      </c>
      <c r="C2736" s="5" t="n">
        <v>46206.07714120371</v>
      </c>
      <c r="D2736" t="inlineStr">
        <is>
          <t>BUY</t>
        </is>
      </c>
      <c r="E2736" t="inlineStr">
        <is>
          <t>Yes</t>
        </is>
      </c>
      <c r="F2736" s="2" t="n">
        <v>0.066</v>
      </c>
      <c r="G2736" s="6" t="n">
        <v>347.2727</v>
      </c>
      <c r="H2736" s="6">
        <f>F2736*G2736</f>
        <v/>
      </c>
      <c r="I2736">
        <f>_xlfn.XLOOKUP(A2736,MktTitle,MktCat,"n/a")</f>
        <v/>
      </c>
      <c r="J2736" s="3">
        <f>_xlfn.XLOOKUP(A2736,MktTitle,MktTotVol,0)</f>
        <v/>
      </c>
      <c r="K2736">
        <f>IF(H2736&gt;WhaleThreshold,"WHALE","")</f>
        <v/>
      </c>
    </row>
    <row r="2737">
      <c r="A2737" t="inlineStr">
        <is>
          <t>Will Portugal win the 2026 FIFA World Cup?</t>
        </is>
      </c>
      <c r="B2737" s="4" t="n">
        <v>46206</v>
      </c>
      <c r="C2737" s="5" t="n">
        <v>46206.07714120371</v>
      </c>
      <c r="D2737" t="inlineStr">
        <is>
          <t>BUY</t>
        </is>
      </c>
      <c r="E2737" t="inlineStr">
        <is>
          <t>Yes</t>
        </is>
      </c>
      <c r="F2737" s="2" t="n">
        <v>0.066</v>
      </c>
      <c r="G2737" s="6" t="n">
        <v>325</v>
      </c>
      <c r="H2737" s="6">
        <f>F2737*G2737</f>
        <v/>
      </c>
      <c r="I2737">
        <f>_xlfn.XLOOKUP(A2737,MktTitle,MktCat,"n/a")</f>
        <v/>
      </c>
      <c r="J2737" s="3">
        <f>_xlfn.XLOOKUP(A2737,MktTitle,MktTotVol,0)</f>
        <v/>
      </c>
      <c r="K2737">
        <f>IF(H2737&gt;WhaleThreshold,"WHALE","")</f>
        <v/>
      </c>
    </row>
    <row r="2738">
      <c r="A2738" t="inlineStr">
        <is>
          <t>Will Portugal win the 2026 FIFA World Cup?</t>
        </is>
      </c>
      <c r="B2738" s="4" t="n">
        <v>46206</v>
      </c>
      <c r="C2738" s="5" t="n">
        <v>46206.07710648148</v>
      </c>
      <c r="D2738" t="inlineStr">
        <is>
          <t>SELL</t>
        </is>
      </c>
      <c r="E2738" t="inlineStr">
        <is>
          <t>Yes</t>
        </is>
      </c>
      <c r="F2738" s="2" t="n">
        <v>0.0659</v>
      </c>
      <c r="G2738" s="6" t="n">
        <v>626.25</v>
      </c>
      <c r="H2738" s="6">
        <f>F2738*G2738</f>
        <v/>
      </c>
      <c r="I2738">
        <f>_xlfn.XLOOKUP(A2738,MktTitle,MktCat,"n/a")</f>
        <v/>
      </c>
      <c r="J2738" s="3">
        <f>_xlfn.XLOOKUP(A2738,MktTitle,MktTotVol,0)</f>
        <v/>
      </c>
      <c r="K2738">
        <f>IF(H2738&gt;WhaleThreshold,"WHALE","")</f>
        <v/>
      </c>
    </row>
    <row r="2739">
      <c r="A2739" t="inlineStr">
        <is>
          <t>Will Portugal win the 2026 FIFA World Cup?</t>
        </is>
      </c>
      <c r="B2739" s="4" t="n">
        <v>46206</v>
      </c>
      <c r="C2739" s="5" t="n">
        <v>46206.07707175926</v>
      </c>
      <c r="D2739" t="inlineStr">
        <is>
          <t>BUY</t>
        </is>
      </c>
      <c r="E2739" t="inlineStr">
        <is>
          <t>Yes</t>
        </is>
      </c>
      <c r="F2739" s="2" t="n">
        <v>0.067</v>
      </c>
      <c r="G2739" s="6" t="n">
        <v>119.403</v>
      </c>
      <c r="H2739" s="6">
        <f>F2739*G2739</f>
        <v/>
      </c>
      <c r="I2739">
        <f>_xlfn.XLOOKUP(A2739,MktTitle,MktCat,"n/a")</f>
        <v/>
      </c>
      <c r="J2739" s="3">
        <f>_xlfn.XLOOKUP(A2739,MktTitle,MktTotVol,0)</f>
        <v/>
      </c>
      <c r="K2739">
        <f>IF(H2739&gt;WhaleThreshold,"WHALE","")</f>
        <v/>
      </c>
    </row>
    <row r="2740">
      <c r="A2740" t="inlineStr">
        <is>
          <t>Will Portugal win the 2026 FIFA World Cup?</t>
        </is>
      </c>
      <c r="B2740" s="4" t="n">
        <v>46206</v>
      </c>
      <c r="C2740" s="5" t="n">
        <v>46206.07688657408</v>
      </c>
      <c r="D2740" t="inlineStr">
        <is>
          <t>BUY</t>
        </is>
      </c>
      <c r="E2740" t="inlineStr">
        <is>
          <t>Yes</t>
        </is>
      </c>
      <c r="F2740" s="2" t="n">
        <v>0.067</v>
      </c>
      <c r="G2740" s="6" t="n">
        <v>74.62690000000001</v>
      </c>
      <c r="H2740" s="6">
        <f>F2740*G2740</f>
        <v/>
      </c>
      <c r="I2740">
        <f>_xlfn.XLOOKUP(A2740,MktTitle,MktCat,"n/a")</f>
        <v/>
      </c>
      <c r="J2740" s="3">
        <f>_xlfn.XLOOKUP(A2740,MktTitle,MktTotVol,0)</f>
        <v/>
      </c>
      <c r="K2740">
        <f>IF(H2740&gt;WhaleThreshold,"WHALE","")</f>
        <v/>
      </c>
    </row>
    <row r="2741">
      <c r="A2741" t="inlineStr">
        <is>
          <t>Will Portugal win the 2026 FIFA World Cup?</t>
        </is>
      </c>
      <c r="B2741" s="4" t="n">
        <v>46206</v>
      </c>
      <c r="C2741" s="5" t="n">
        <v>46206.07674768518</v>
      </c>
      <c r="D2741" t="inlineStr">
        <is>
          <t>BUY</t>
        </is>
      </c>
      <c r="E2741" t="inlineStr">
        <is>
          <t>Yes</t>
        </is>
      </c>
      <c r="F2741" s="2" t="n">
        <v>0.067</v>
      </c>
      <c r="G2741" s="6" t="n">
        <v>577.0149</v>
      </c>
      <c r="H2741" s="6">
        <f>F2741*G2741</f>
        <v/>
      </c>
      <c r="I2741">
        <f>_xlfn.XLOOKUP(A2741,MktTitle,MktCat,"n/a")</f>
        <v/>
      </c>
      <c r="J2741" s="3">
        <f>_xlfn.XLOOKUP(A2741,MktTitle,MktTotVol,0)</f>
        <v/>
      </c>
      <c r="K2741">
        <f>IF(H2741&gt;WhaleThreshold,"WHALE","")</f>
        <v/>
      </c>
    </row>
    <row r="2742">
      <c r="A2742" t="inlineStr">
        <is>
          <t>Will Portugal win the 2026 FIFA World Cup?</t>
        </is>
      </c>
      <c r="B2742" s="4" t="n">
        <v>46206</v>
      </c>
      <c r="C2742" s="5" t="n">
        <v>46206.07637731481</v>
      </c>
      <c r="D2742" t="inlineStr">
        <is>
          <t>SELL</t>
        </is>
      </c>
      <c r="E2742" t="inlineStr">
        <is>
          <t>Yes</t>
        </is>
      </c>
      <c r="F2742" s="2" t="n">
        <v>0.066</v>
      </c>
      <c r="G2742" s="6" t="n">
        <v>79.37</v>
      </c>
      <c r="H2742" s="6">
        <f>F2742*G2742</f>
        <v/>
      </c>
      <c r="I2742">
        <f>_xlfn.XLOOKUP(A2742,MktTitle,MktCat,"n/a")</f>
        <v/>
      </c>
      <c r="J2742" s="3">
        <f>_xlfn.XLOOKUP(A2742,MktTitle,MktTotVol,0)</f>
        <v/>
      </c>
      <c r="K2742">
        <f>IF(H2742&gt;WhaleThreshold,"WHALE","")</f>
        <v/>
      </c>
    </row>
    <row r="2743">
      <c r="A2743" t="inlineStr">
        <is>
          <t>Will Portugal win the 2026 FIFA World Cup?</t>
        </is>
      </c>
      <c r="B2743" s="4" t="n">
        <v>46206</v>
      </c>
      <c r="C2743" s="5" t="n">
        <v>46206.07622685185</v>
      </c>
      <c r="D2743" t="inlineStr">
        <is>
          <t>BUY</t>
        </is>
      </c>
      <c r="E2743" t="inlineStr">
        <is>
          <t>Yes</t>
        </is>
      </c>
      <c r="F2743" s="2" t="n">
        <v>0.067</v>
      </c>
      <c r="G2743" s="6" t="n">
        <v>28.806</v>
      </c>
      <c r="H2743" s="6">
        <f>F2743*G2743</f>
        <v/>
      </c>
      <c r="I2743">
        <f>_xlfn.XLOOKUP(A2743,MktTitle,MktCat,"n/a")</f>
        <v/>
      </c>
      <c r="J2743" s="3">
        <f>_xlfn.XLOOKUP(A2743,MktTitle,MktTotVol,0)</f>
        <v/>
      </c>
      <c r="K2743">
        <f>IF(H2743&gt;WhaleThreshold,"WHALE","")</f>
        <v/>
      </c>
    </row>
    <row r="2744">
      <c r="A2744" t="inlineStr">
        <is>
          <t>Will Portugal win the 2026 FIFA World Cup?</t>
        </is>
      </c>
      <c r="B2744" s="4" t="n">
        <v>46206</v>
      </c>
      <c r="C2744" s="5" t="n">
        <v>46206.07609953704</v>
      </c>
      <c r="D2744" t="inlineStr">
        <is>
          <t>BUY</t>
        </is>
      </c>
      <c r="E2744" t="inlineStr">
        <is>
          <t>Yes</t>
        </is>
      </c>
      <c r="F2744" s="2" t="n">
        <v>0.067</v>
      </c>
      <c r="G2744" s="6" t="n">
        <v>432.9851</v>
      </c>
      <c r="H2744" s="6">
        <f>F2744*G2744</f>
        <v/>
      </c>
      <c r="I2744">
        <f>_xlfn.XLOOKUP(A2744,MktTitle,MktCat,"n/a")</f>
        <v/>
      </c>
      <c r="J2744" s="3">
        <f>_xlfn.XLOOKUP(A2744,MktTitle,MktTotVol,0)</f>
        <v/>
      </c>
      <c r="K2744">
        <f>IF(H2744&gt;WhaleThreshold,"WHALE","")</f>
        <v/>
      </c>
    </row>
    <row r="2745">
      <c r="A2745" t="inlineStr">
        <is>
          <t>Will Portugal win the 2026 FIFA World Cup?</t>
        </is>
      </c>
      <c r="B2745" s="4" t="n">
        <v>46206</v>
      </c>
      <c r="C2745" s="5" t="n">
        <v>46206.07570601852</v>
      </c>
      <c r="D2745" t="inlineStr">
        <is>
          <t>BUY</t>
        </is>
      </c>
      <c r="E2745" t="inlineStr">
        <is>
          <t>Yes</t>
        </is>
      </c>
      <c r="F2745" s="2" t="n">
        <v>0.067</v>
      </c>
      <c r="G2745" s="6" t="n">
        <v>29.8507</v>
      </c>
      <c r="H2745" s="6">
        <f>F2745*G2745</f>
        <v/>
      </c>
      <c r="I2745">
        <f>_xlfn.XLOOKUP(A2745,MktTitle,MktCat,"n/a")</f>
        <v/>
      </c>
      <c r="J2745" s="3">
        <f>_xlfn.XLOOKUP(A2745,MktTitle,MktTotVol,0)</f>
        <v/>
      </c>
      <c r="K2745">
        <f>IF(H2745&gt;WhaleThreshold,"WHALE","")</f>
        <v/>
      </c>
    </row>
    <row r="2746">
      <c r="A2746" t="inlineStr">
        <is>
          <t>Will Portugal win the 2026 FIFA World Cup?</t>
        </is>
      </c>
      <c r="B2746" s="4" t="n">
        <v>46206</v>
      </c>
      <c r="C2746" s="5" t="n">
        <v>46206.07563657407</v>
      </c>
      <c r="D2746" t="inlineStr">
        <is>
          <t>BUY</t>
        </is>
      </c>
      <c r="E2746" t="inlineStr">
        <is>
          <t>No</t>
        </is>
      </c>
      <c r="F2746" s="2" t="n">
        <v>0.9340000000000001</v>
      </c>
      <c r="G2746" s="6" t="n">
        <v>48</v>
      </c>
      <c r="H2746" s="6">
        <f>F2746*G2746</f>
        <v/>
      </c>
      <c r="I2746">
        <f>_xlfn.XLOOKUP(A2746,MktTitle,MktCat,"n/a")</f>
        <v/>
      </c>
      <c r="J2746" s="3">
        <f>_xlfn.XLOOKUP(A2746,MktTitle,MktTotVol,0)</f>
        <v/>
      </c>
      <c r="K2746">
        <f>IF(H2746&gt;WhaleThreshold,"WHALE","")</f>
        <v/>
      </c>
    </row>
    <row r="2747">
      <c r="A2747" t="inlineStr">
        <is>
          <t>Will Portugal win the 2026 FIFA World Cup?</t>
        </is>
      </c>
      <c r="B2747" s="4" t="n">
        <v>46206</v>
      </c>
      <c r="C2747" s="5" t="n">
        <v>46206.07557870371</v>
      </c>
      <c r="D2747" t="inlineStr">
        <is>
          <t>BUY</t>
        </is>
      </c>
      <c r="E2747" t="inlineStr">
        <is>
          <t>Yes</t>
        </is>
      </c>
      <c r="F2747" s="2" t="n">
        <v>0.067</v>
      </c>
      <c r="G2747" s="6" t="n">
        <v>447.7612</v>
      </c>
      <c r="H2747" s="6">
        <f>F2747*G2747</f>
        <v/>
      </c>
      <c r="I2747">
        <f>_xlfn.XLOOKUP(A2747,MktTitle,MktCat,"n/a")</f>
        <v/>
      </c>
      <c r="J2747" s="3">
        <f>_xlfn.XLOOKUP(A2747,MktTitle,MktTotVol,0)</f>
        <v/>
      </c>
      <c r="K2747">
        <f>IF(H2747&gt;WhaleThreshold,"WHALE","")</f>
        <v/>
      </c>
    </row>
    <row r="2748">
      <c r="A2748" t="inlineStr">
        <is>
          <t>Will Portugal win the 2026 FIFA World Cup?</t>
        </is>
      </c>
      <c r="B2748" s="4" t="n">
        <v>46206</v>
      </c>
      <c r="C2748" s="5" t="n">
        <v>46206.07516203704</v>
      </c>
      <c r="D2748" t="inlineStr">
        <is>
          <t>BUY</t>
        </is>
      </c>
      <c r="E2748" t="inlineStr">
        <is>
          <t>Yes</t>
        </is>
      </c>
      <c r="F2748" s="2" t="n">
        <v>0.067</v>
      </c>
      <c r="G2748" s="6" t="n">
        <v>171.6418</v>
      </c>
      <c r="H2748" s="6">
        <f>F2748*G2748</f>
        <v/>
      </c>
      <c r="I2748">
        <f>_xlfn.XLOOKUP(A2748,MktTitle,MktCat,"n/a")</f>
        <v/>
      </c>
      <c r="J2748" s="3">
        <f>_xlfn.XLOOKUP(A2748,MktTitle,MktTotVol,0)</f>
        <v/>
      </c>
      <c r="K2748">
        <f>IF(H2748&gt;WhaleThreshold,"WHALE","")</f>
        <v/>
      </c>
    </row>
    <row r="2749">
      <c r="A2749" t="inlineStr">
        <is>
          <t>Will Portugal win the 2026 FIFA World Cup?</t>
        </is>
      </c>
      <c r="B2749" s="4" t="n">
        <v>46206</v>
      </c>
      <c r="C2749" s="5" t="n">
        <v>46206.07480324074</v>
      </c>
      <c r="D2749" t="inlineStr">
        <is>
          <t>BUY</t>
        </is>
      </c>
      <c r="E2749" t="inlineStr">
        <is>
          <t>Yes</t>
        </is>
      </c>
      <c r="F2749" s="2" t="n">
        <v>0.067</v>
      </c>
      <c r="G2749" s="6" t="n">
        <v>14.9254</v>
      </c>
      <c r="H2749" s="6">
        <f>F2749*G2749</f>
        <v/>
      </c>
      <c r="I2749">
        <f>_xlfn.XLOOKUP(A2749,MktTitle,MktCat,"n/a")</f>
        <v/>
      </c>
      <c r="J2749" s="3">
        <f>_xlfn.XLOOKUP(A2749,MktTitle,MktTotVol,0)</f>
        <v/>
      </c>
      <c r="K2749">
        <f>IF(H2749&gt;WhaleThreshold,"WHALE","")</f>
        <v/>
      </c>
    </row>
    <row r="2750">
      <c r="A2750" t="inlineStr">
        <is>
          <t>Will Portugal win the 2026 FIFA World Cup?</t>
        </is>
      </c>
      <c r="B2750" s="4" t="n">
        <v>46206</v>
      </c>
      <c r="C2750" s="5" t="n">
        <v>46206.07460648148</v>
      </c>
      <c r="D2750" t="inlineStr">
        <is>
          <t>BUY</t>
        </is>
      </c>
      <c r="E2750" t="inlineStr">
        <is>
          <t>Yes</t>
        </is>
      </c>
      <c r="F2750" s="2" t="n">
        <v>0.067</v>
      </c>
      <c r="G2750" s="6" t="n">
        <v>14.9254</v>
      </c>
      <c r="H2750" s="6">
        <f>F2750*G2750</f>
        <v/>
      </c>
      <c r="I2750">
        <f>_xlfn.XLOOKUP(A2750,MktTitle,MktCat,"n/a")</f>
        <v/>
      </c>
      <c r="J2750" s="3">
        <f>_xlfn.XLOOKUP(A2750,MktTitle,MktTotVol,0)</f>
        <v/>
      </c>
      <c r="K2750">
        <f>IF(H2750&gt;WhaleThreshold,"WHALE","")</f>
        <v/>
      </c>
    </row>
    <row r="2751">
      <c r="A2751" t="inlineStr">
        <is>
          <t>Will Portugal win the 2026 FIFA World Cup?</t>
        </is>
      </c>
      <c r="B2751" s="4" t="n">
        <v>46206</v>
      </c>
      <c r="C2751" s="5" t="n">
        <v>46206.07435185185</v>
      </c>
      <c r="D2751" t="inlineStr">
        <is>
          <t>BUY</t>
        </is>
      </c>
      <c r="E2751" t="inlineStr">
        <is>
          <t>Yes</t>
        </is>
      </c>
      <c r="F2751" s="2" t="n">
        <v>0.067</v>
      </c>
      <c r="G2751" s="6" t="n">
        <v>880.597</v>
      </c>
      <c r="H2751" s="6">
        <f>F2751*G2751</f>
        <v/>
      </c>
      <c r="I2751">
        <f>_xlfn.XLOOKUP(A2751,MktTitle,MktCat,"n/a")</f>
        <v/>
      </c>
      <c r="J2751" s="3">
        <f>_xlfn.XLOOKUP(A2751,MktTitle,MktTotVol,0)</f>
        <v/>
      </c>
      <c r="K2751">
        <f>IF(H2751&gt;WhaleThreshold,"WHALE","")</f>
        <v/>
      </c>
    </row>
    <row r="2752">
      <c r="A2752" t="inlineStr">
        <is>
          <t>Will Portugal win the 2026 FIFA World Cup?</t>
        </is>
      </c>
      <c r="B2752" s="4" t="n">
        <v>46206</v>
      </c>
      <c r="C2752" s="5" t="n">
        <v>46206.07394675926</v>
      </c>
      <c r="D2752" t="inlineStr">
        <is>
          <t>SELL</t>
        </is>
      </c>
      <c r="E2752" t="inlineStr">
        <is>
          <t>Yes</t>
        </is>
      </c>
      <c r="F2752" s="2" t="n">
        <v>0.065</v>
      </c>
      <c r="G2752" s="6" t="n">
        <v>166.66</v>
      </c>
      <c r="H2752" s="6">
        <f>F2752*G2752</f>
        <v/>
      </c>
      <c r="I2752">
        <f>_xlfn.XLOOKUP(A2752,MktTitle,MktCat,"n/a")</f>
        <v/>
      </c>
      <c r="J2752" s="3">
        <f>_xlfn.XLOOKUP(A2752,MktTitle,MktTotVol,0)</f>
        <v/>
      </c>
      <c r="K2752">
        <f>IF(H2752&gt;WhaleThreshold,"WHALE","")</f>
        <v/>
      </c>
    </row>
    <row r="2753">
      <c r="A2753" t="inlineStr">
        <is>
          <t>Will Portugal win the 2026 FIFA World Cup?</t>
        </is>
      </c>
      <c r="B2753" s="4" t="n">
        <v>46206</v>
      </c>
      <c r="C2753" s="5" t="n">
        <v>46206.07358796296</v>
      </c>
      <c r="D2753" t="inlineStr">
        <is>
          <t>BUY</t>
        </is>
      </c>
      <c r="E2753" t="inlineStr">
        <is>
          <t>Yes</t>
        </is>
      </c>
      <c r="F2753" s="2" t="n">
        <v>0.0669</v>
      </c>
      <c r="G2753" s="6" t="n">
        <v>6674.0027</v>
      </c>
      <c r="H2753" s="6">
        <f>F2753*G2753</f>
        <v/>
      </c>
      <c r="I2753">
        <f>_xlfn.XLOOKUP(A2753,MktTitle,MktCat,"n/a")</f>
        <v/>
      </c>
      <c r="J2753" s="3">
        <f>_xlfn.XLOOKUP(A2753,MktTitle,MktTotVol,0)</f>
        <v/>
      </c>
      <c r="K2753">
        <f>IF(H2753&gt;WhaleThreshold,"WHALE","")</f>
        <v/>
      </c>
    </row>
    <row r="2754">
      <c r="A2754" t="inlineStr">
        <is>
          <t>Will Portugal win the 2026 FIFA World Cup?</t>
        </is>
      </c>
      <c r="B2754" s="4" t="n">
        <v>46206</v>
      </c>
      <c r="C2754" s="5" t="n">
        <v>46206.07299768519</v>
      </c>
      <c r="D2754" t="inlineStr">
        <is>
          <t>SELL</t>
        </is>
      </c>
      <c r="E2754" t="inlineStr">
        <is>
          <t>Yes</t>
        </is>
      </c>
      <c r="F2754" s="2" t="n">
        <v>0.065</v>
      </c>
      <c r="G2754" s="6" t="n">
        <v>30</v>
      </c>
      <c r="H2754" s="6">
        <f>F2754*G2754</f>
        <v/>
      </c>
      <c r="I2754">
        <f>_xlfn.XLOOKUP(A2754,MktTitle,MktCat,"n/a")</f>
        <v/>
      </c>
      <c r="J2754" s="3">
        <f>_xlfn.XLOOKUP(A2754,MktTitle,MktTotVol,0)</f>
        <v/>
      </c>
      <c r="K2754">
        <f>IF(H2754&gt;WhaleThreshold,"WHALE","")</f>
        <v/>
      </c>
    </row>
    <row r="2755">
      <c r="A2755" t="inlineStr">
        <is>
          <t>Will Portugal win the 2026 FIFA World Cup?</t>
        </is>
      </c>
      <c r="B2755" s="4" t="n">
        <v>46206</v>
      </c>
      <c r="C2755" s="5" t="n">
        <v>46206.07297453703</v>
      </c>
      <c r="D2755" t="inlineStr">
        <is>
          <t>SELL</t>
        </is>
      </c>
      <c r="E2755" t="inlineStr">
        <is>
          <t>Yes</t>
        </is>
      </c>
      <c r="F2755" s="2" t="n">
        <v>0.065</v>
      </c>
      <c r="G2755" s="6" t="n">
        <v>47.61</v>
      </c>
      <c r="H2755" s="6">
        <f>F2755*G2755</f>
        <v/>
      </c>
      <c r="I2755">
        <f>_xlfn.XLOOKUP(A2755,MktTitle,MktCat,"n/a")</f>
        <v/>
      </c>
      <c r="J2755" s="3">
        <f>_xlfn.XLOOKUP(A2755,MktTitle,MktTotVol,0)</f>
        <v/>
      </c>
      <c r="K2755">
        <f>IF(H2755&gt;WhaleThreshold,"WHALE","")</f>
        <v/>
      </c>
    </row>
    <row r="2756">
      <c r="A2756" t="inlineStr">
        <is>
          <t>Will Portugal win the 2026 FIFA World Cup?</t>
        </is>
      </c>
      <c r="B2756" s="4" t="n">
        <v>46206</v>
      </c>
      <c r="C2756" s="5" t="n">
        <v>46206.07231481482</v>
      </c>
      <c r="D2756" t="inlineStr">
        <is>
          <t>BUY</t>
        </is>
      </c>
      <c r="E2756" t="inlineStr">
        <is>
          <t>Yes</t>
        </is>
      </c>
      <c r="F2756" s="2" t="n">
        <v>0.066</v>
      </c>
      <c r="G2756" s="6" t="n">
        <v>30.303</v>
      </c>
      <c r="H2756" s="6">
        <f>F2756*G2756</f>
        <v/>
      </c>
      <c r="I2756">
        <f>_xlfn.XLOOKUP(A2756,MktTitle,MktCat,"n/a")</f>
        <v/>
      </c>
      <c r="J2756" s="3">
        <f>_xlfn.XLOOKUP(A2756,MktTitle,MktTotVol,0)</f>
        <v/>
      </c>
      <c r="K2756">
        <f>IF(H2756&gt;WhaleThreshold,"WHALE","")</f>
        <v/>
      </c>
    </row>
    <row r="2757">
      <c r="A2757" t="inlineStr">
        <is>
          <t>Will Portugal win the 2026 FIFA World Cup?</t>
        </is>
      </c>
      <c r="B2757" s="4" t="n">
        <v>46206</v>
      </c>
      <c r="C2757" s="5" t="n">
        <v>46206.07231481482</v>
      </c>
      <c r="D2757" t="inlineStr">
        <is>
          <t>BUY</t>
        </is>
      </c>
      <c r="E2757" t="inlineStr">
        <is>
          <t>No</t>
        </is>
      </c>
      <c r="F2757" s="2" t="n">
        <v>0.9350000000000001</v>
      </c>
      <c r="G2757" s="6" t="n">
        <v>21.3904</v>
      </c>
      <c r="H2757" s="6">
        <f>F2757*G2757</f>
        <v/>
      </c>
      <c r="I2757">
        <f>_xlfn.XLOOKUP(A2757,MktTitle,MktCat,"n/a")</f>
        <v/>
      </c>
      <c r="J2757" s="3">
        <f>_xlfn.XLOOKUP(A2757,MktTitle,MktTotVol,0)</f>
        <v/>
      </c>
      <c r="K2757">
        <f>IF(H2757&gt;WhaleThreshold,"WHALE","")</f>
        <v/>
      </c>
    </row>
    <row r="2758">
      <c r="A2758" t="inlineStr">
        <is>
          <t>Will Portugal win the 2026 FIFA World Cup?</t>
        </is>
      </c>
      <c r="B2758" s="4" t="n">
        <v>46206</v>
      </c>
      <c r="C2758" s="5" t="n">
        <v>46206.07207175926</v>
      </c>
      <c r="D2758" t="inlineStr">
        <is>
          <t>SELL</t>
        </is>
      </c>
      <c r="E2758" t="inlineStr">
        <is>
          <t>Yes</t>
        </is>
      </c>
      <c r="F2758" s="2" t="n">
        <v>0.065</v>
      </c>
      <c r="G2758" s="6" t="n">
        <v>943.39</v>
      </c>
      <c r="H2758" s="6">
        <f>F2758*G2758</f>
        <v/>
      </c>
      <c r="I2758">
        <f>_xlfn.XLOOKUP(A2758,MktTitle,MktCat,"n/a")</f>
        <v/>
      </c>
      <c r="J2758" s="3">
        <f>_xlfn.XLOOKUP(A2758,MktTitle,MktTotVol,0)</f>
        <v/>
      </c>
      <c r="K2758">
        <f>IF(H2758&gt;WhaleThreshold,"WHALE","")</f>
        <v/>
      </c>
    </row>
    <row r="2759">
      <c r="A2759" t="inlineStr">
        <is>
          <t>Will Portugal win the 2026 FIFA World Cup?</t>
        </is>
      </c>
      <c r="B2759" s="4" t="n">
        <v>46206</v>
      </c>
      <c r="C2759" s="5" t="n">
        <v>46206.07206018519</v>
      </c>
      <c r="D2759" t="inlineStr">
        <is>
          <t>BUY</t>
        </is>
      </c>
      <c r="E2759" t="inlineStr">
        <is>
          <t>Yes</t>
        </is>
      </c>
      <c r="F2759" s="2" t="n">
        <v>0.066</v>
      </c>
      <c r="G2759" s="6" t="n">
        <v>39.5455</v>
      </c>
      <c r="H2759" s="6">
        <f>F2759*G2759</f>
        <v/>
      </c>
      <c r="I2759">
        <f>_xlfn.XLOOKUP(A2759,MktTitle,MktCat,"n/a")</f>
        <v/>
      </c>
      <c r="J2759" s="3">
        <f>_xlfn.XLOOKUP(A2759,MktTitle,MktTotVol,0)</f>
        <v/>
      </c>
      <c r="K2759">
        <f>IF(H2759&gt;WhaleThreshold,"WHALE","")</f>
        <v/>
      </c>
    </row>
    <row r="2760">
      <c r="A2760" t="inlineStr">
        <is>
          <t>Will Portugal win the 2026 FIFA World Cup?</t>
        </is>
      </c>
      <c r="B2760" s="4" t="n">
        <v>46206</v>
      </c>
      <c r="C2760" s="5" t="n">
        <v>46206.07199074074</v>
      </c>
      <c r="D2760" t="inlineStr">
        <is>
          <t>BUY</t>
        </is>
      </c>
      <c r="E2760" t="inlineStr">
        <is>
          <t>Yes</t>
        </is>
      </c>
      <c r="F2760" s="2" t="n">
        <v>0.066</v>
      </c>
      <c r="G2760" s="6" t="n">
        <v>31.29</v>
      </c>
      <c r="H2760" s="6">
        <f>F2760*G2760</f>
        <v/>
      </c>
      <c r="I2760">
        <f>_xlfn.XLOOKUP(A2760,MktTitle,MktCat,"n/a")</f>
        <v/>
      </c>
      <c r="J2760" s="3">
        <f>_xlfn.XLOOKUP(A2760,MktTitle,MktTotVol,0)</f>
        <v/>
      </c>
      <c r="K2760">
        <f>IF(H2760&gt;WhaleThreshold,"WHALE","")</f>
        <v/>
      </c>
    </row>
    <row r="2761">
      <c r="A2761" t="inlineStr">
        <is>
          <t>Will Portugal win the 2026 FIFA World Cup?</t>
        </is>
      </c>
      <c r="B2761" s="4" t="n">
        <v>46206</v>
      </c>
      <c r="C2761" s="5" t="n">
        <v>46206.07179398148</v>
      </c>
      <c r="D2761" t="inlineStr">
        <is>
          <t>BUY</t>
        </is>
      </c>
      <c r="E2761" t="inlineStr">
        <is>
          <t>Yes</t>
        </is>
      </c>
      <c r="F2761" s="2" t="n">
        <v>0.066</v>
      </c>
      <c r="G2761" s="6" t="n">
        <v>45.4545</v>
      </c>
      <c r="H2761" s="6">
        <f>F2761*G2761</f>
        <v/>
      </c>
      <c r="I2761">
        <f>_xlfn.XLOOKUP(A2761,MktTitle,MktCat,"n/a")</f>
        <v/>
      </c>
      <c r="J2761" s="3">
        <f>_xlfn.XLOOKUP(A2761,MktTitle,MktTotVol,0)</f>
        <v/>
      </c>
      <c r="K2761">
        <f>IF(H2761&gt;WhaleThreshold,"WHALE","")</f>
        <v/>
      </c>
    </row>
    <row r="2762">
      <c r="A2762" t="inlineStr">
        <is>
          <t>Will Portugal win the 2026 FIFA World Cup?</t>
        </is>
      </c>
      <c r="B2762" s="4" t="n">
        <v>46206</v>
      </c>
      <c r="C2762" s="5" t="n">
        <v>46206.07167824074</v>
      </c>
      <c r="D2762" t="inlineStr">
        <is>
          <t>SELL</t>
        </is>
      </c>
      <c r="E2762" t="inlineStr">
        <is>
          <t>Yes</t>
        </is>
      </c>
      <c r="F2762" s="2" t="n">
        <v>0.066</v>
      </c>
      <c r="G2762" s="6" t="n">
        <v>729.3200000000001</v>
      </c>
      <c r="H2762" s="6">
        <f>F2762*G2762</f>
        <v/>
      </c>
      <c r="I2762">
        <f>_xlfn.XLOOKUP(A2762,MktTitle,MktCat,"n/a")</f>
        <v/>
      </c>
      <c r="J2762" s="3">
        <f>_xlfn.XLOOKUP(A2762,MktTitle,MktTotVol,0)</f>
        <v/>
      </c>
      <c r="K2762">
        <f>IF(H2762&gt;WhaleThreshold,"WHALE","")</f>
        <v/>
      </c>
    </row>
    <row r="2763">
      <c r="A2763" t="inlineStr">
        <is>
          <t>Will Portugal win the 2026 FIFA World Cup?</t>
        </is>
      </c>
      <c r="B2763" s="4" t="n">
        <v>46206</v>
      </c>
      <c r="C2763" s="5" t="n">
        <v>46206.07164351852</v>
      </c>
      <c r="D2763" t="inlineStr">
        <is>
          <t>BUY</t>
        </is>
      </c>
      <c r="E2763" t="inlineStr">
        <is>
          <t>Yes</t>
        </is>
      </c>
      <c r="F2763" s="2" t="n">
        <v>0.067</v>
      </c>
      <c r="G2763" s="6" t="n">
        <v>29.8507</v>
      </c>
      <c r="H2763" s="6">
        <f>F2763*G2763</f>
        <v/>
      </c>
      <c r="I2763">
        <f>_xlfn.XLOOKUP(A2763,MktTitle,MktCat,"n/a")</f>
        <v/>
      </c>
      <c r="J2763" s="3">
        <f>_xlfn.XLOOKUP(A2763,MktTitle,MktTotVol,0)</f>
        <v/>
      </c>
      <c r="K2763">
        <f>IF(H2763&gt;WhaleThreshold,"WHALE","")</f>
        <v/>
      </c>
    </row>
    <row r="2764">
      <c r="A2764" t="inlineStr">
        <is>
          <t>Will Portugal win the 2026 FIFA World Cup?</t>
        </is>
      </c>
      <c r="B2764" s="4" t="n">
        <v>46206</v>
      </c>
      <c r="C2764" s="5" t="n">
        <v>46206.07134259259</v>
      </c>
      <c r="D2764" t="inlineStr">
        <is>
          <t>BUY</t>
        </is>
      </c>
      <c r="E2764" t="inlineStr">
        <is>
          <t>Yes</t>
        </is>
      </c>
      <c r="F2764" s="2" t="n">
        <v>0.0659</v>
      </c>
      <c r="G2764" s="6" t="n">
        <v>758.3134</v>
      </c>
      <c r="H2764" s="6">
        <f>F2764*G2764</f>
        <v/>
      </c>
      <c r="I2764">
        <f>_xlfn.XLOOKUP(A2764,MktTitle,MktCat,"n/a")</f>
        <v/>
      </c>
      <c r="J2764" s="3">
        <f>_xlfn.XLOOKUP(A2764,MktTitle,MktTotVol,0)</f>
        <v/>
      </c>
      <c r="K2764">
        <f>IF(H2764&gt;WhaleThreshold,"WHALE","")</f>
        <v/>
      </c>
    </row>
    <row r="2765">
      <c r="A2765" t="inlineStr">
        <is>
          <t>Will Portugal win the 2026 FIFA World Cup?</t>
        </is>
      </c>
      <c r="B2765" s="4" t="n">
        <v>46206</v>
      </c>
      <c r="C2765" s="5" t="n">
        <v>46206.07126157408</v>
      </c>
      <c r="D2765" t="inlineStr">
        <is>
          <t>BUY</t>
        </is>
      </c>
      <c r="E2765" t="inlineStr">
        <is>
          <t>Yes</t>
        </is>
      </c>
      <c r="F2765" s="2" t="n">
        <v>0.066</v>
      </c>
      <c r="G2765" s="6" t="n">
        <v>58.71</v>
      </c>
      <c r="H2765" s="6">
        <f>F2765*G2765</f>
        <v/>
      </c>
      <c r="I2765">
        <f>_xlfn.XLOOKUP(A2765,MktTitle,MktCat,"n/a")</f>
        <v/>
      </c>
      <c r="J2765" s="3">
        <f>_xlfn.XLOOKUP(A2765,MktTitle,MktTotVol,0)</f>
        <v/>
      </c>
      <c r="K2765">
        <f>IF(H2765&gt;WhaleThreshold,"WHALE","")</f>
        <v/>
      </c>
    </row>
    <row r="2766">
      <c r="A2766" t="inlineStr">
        <is>
          <t>Will Portugal win the 2026 FIFA World Cup?</t>
        </is>
      </c>
      <c r="B2766" s="4" t="n">
        <v>46206</v>
      </c>
      <c r="C2766" s="5" t="n">
        <v>46206.07119212963</v>
      </c>
      <c r="D2766" t="inlineStr">
        <is>
          <t>BUY</t>
        </is>
      </c>
      <c r="E2766" t="inlineStr">
        <is>
          <t>Yes</t>
        </is>
      </c>
      <c r="F2766" s="2" t="n">
        <v>0.066</v>
      </c>
      <c r="G2766" s="6" t="n">
        <v>30</v>
      </c>
      <c r="H2766" s="6">
        <f>F2766*G2766</f>
        <v/>
      </c>
      <c r="I2766">
        <f>_xlfn.XLOOKUP(A2766,MktTitle,MktCat,"n/a")</f>
        <v/>
      </c>
      <c r="J2766" s="3">
        <f>_xlfn.XLOOKUP(A2766,MktTitle,MktTotVol,0)</f>
        <v/>
      </c>
      <c r="K2766">
        <f>IF(H2766&gt;WhaleThreshold,"WHALE","")</f>
        <v/>
      </c>
    </row>
    <row r="2767">
      <c r="A2767" t="inlineStr">
        <is>
          <t>Will Portugal win the 2026 FIFA World Cup?</t>
        </is>
      </c>
      <c r="B2767" s="4" t="n">
        <v>46206</v>
      </c>
      <c r="C2767" s="5" t="n">
        <v>46206.07119212963</v>
      </c>
      <c r="D2767" t="inlineStr">
        <is>
          <t>BUY</t>
        </is>
      </c>
      <c r="E2767" t="inlineStr">
        <is>
          <t>Yes</t>
        </is>
      </c>
      <c r="F2767" s="2" t="n">
        <v>0.066</v>
      </c>
      <c r="G2767" s="6" t="n">
        <v>30</v>
      </c>
      <c r="H2767" s="6">
        <f>F2767*G2767</f>
        <v/>
      </c>
      <c r="I2767">
        <f>_xlfn.XLOOKUP(A2767,MktTitle,MktCat,"n/a")</f>
        <v/>
      </c>
      <c r="J2767" s="3">
        <f>_xlfn.XLOOKUP(A2767,MktTitle,MktTotVol,0)</f>
        <v/>
      </c>
      <c r="K2767">
        <f>IF(H2767&gt;WhaleThreshold,"WHALE","")</f>
        <v/>
      </c>
    </row>
    <row r="2768">
      <c r="A2768" t="inlineStr">
        <is>
          <t>Will Portugal win the 2026 FIFA World Cup?</t>
        </is>
      </c>
      <c r="B2768" s="4" t="n">
        <v>46206</v>
      </c>
      <c r="C2768" s="5" t="n">
        <v>46206.07113425926</v>
      </c>
      <c r="D2768" t="inlineStr">
        <is>
          <t>BUY</t>
        </is>
      </c>
      <c r="E2768" t="inlineStr">
        <is>
          <t>Yes</t>
        </is>
      </c>
      <c r="F2768" s="2" t="n">
        <v>0.066</v>
      </c>
      <c r="G2768" s="6" t="n">
        <v>114.5</v>
      </c>
      <c r="H2768" s="6">
        <f>F2768*G2768</f>
        <v/>
      </c>
      <c r="I2768">
        <f>_xlfn.XLOOKUP(A2768,MktTitle,MktCat,"n/a")</f>
        <v/>
      </c>
      <c r="J2768" s="3">
        <f>_xlfn.XLOOKUP(A2768,MktTitle,MktTotVol,0)</f>
        <v/>
      </c>
      <c r="K2768">
        <f>IF(H2768&gt;WhaleThreshold,"WHALE","")</f>
        <v/>
      </c>
    </row>
    <row r="2769">
      <c r="A2769" t="inlineStr">
        <is>
          <t>Will Portugal win the 2026 FIFA World Cup?</t>
        </is>
      </c>
      <c r="B2769" s="4" t="n">
        <v>46206</v>
      </c>
      <c r="C2769" s="5" t="n">
        <v>46206.07112268519</v>
      </c>
      <c r="D2769" t="inlineStr">
        <is>
          <t>BUY</t>
        </is>
      </c>
      <c r="E2769" t="inlineStr">
        <is>
          <t>Yes</t>
        </is>
      </c>
      <c r="F2769" s="2" t="n">
        <v>0.066</v>
      </c>
      <c r="G2769" s="6" t="n">
        <v>114.12</v>
      </c>
      <c r="H2769" s="6">
        <f>F2769*G2769</f>
        <v/>
      </c>
      <c r="I2769">
        <f>_xlfn.XLOOKUP(A2769,MktTitle,MktCat,"n/a")</f>
        <v/>
      </c>
      <c r="J2769" s="3">
        <f>_xlfn.XLOOKUP(A2769,MktTitle,MktTotVol,0)</f>
        <v/>
      </c>
      <c r="K2769">
        <f>IF(H2769&gt;WhaleThreshold,"WHALE","")</f>
        <v/>
      </c>
    </row>
    <row r="2770">
      <c r="A2770" t="inlineStr">
        <is>
          <t>Will Portugal win the 2026 FIFA World Cup?</t>
        </is>
      </c>
      <c r="B2770" s="4" t="n">
        <v>46206</v>
      </c>
      <c r="C2770" s="5" t="n">
        <v>46206.07099537037</v>
      </c>
      <c r="D2770" t="inlineStr">
        <is>
          <t>BUY</t>
        </is>
      </c>
      <c r="E2770" t="inlineStr">
        <is>
          <t>Yes</t>
        </is>
      </c>
      <c r="F2770" s="2" t="n">
        <v>0.066</v>
      </c>
      <c r="G2770" s="6" t="n">
        <v>30</v>
      </c>
      <c r="H2770" s="6">
        <f>F2770*G2770</f>
        <v/>
      </c>
      <c r="I2770">
        <f>_xlfn.XLOOKUP(A2770,MktTitle,MktCat,"n/a")</f>
        <v/>
      </c>
      <c r="J2770" s="3">
        <f>_xlfn.XLOOKUP(A2770,MktTitle,MktTotVol,0)</f>
        <v/>
      </c>
      <c r="K2770">
        <f>IF(H2770&gt;WhaleThreshold,"WHALE","")</f>
        <v/>
      </c>
    </row>
    <row r="2771">
      <c r="A2771" t="inlineStr">
        <is>
          <t>Will Portugal win the 2026 FIFA World Cup?</t>
        </is>
      </c>
      <c r="B2771" s="4" t="n">
        <v>46206</v>
      </c>
      <c r="C2771" s="5" t="n">
        <v>46206.07099537037</v>
      </c>
      <c r="D2771" t="inlineStr">
        <is>
          <t>SELL</t>
        </is>
      </c>
      <c r="E2771" t="inlineStr">
        <is>
          <t>Yes</t>
        </is>
      </c>
      <c r="F2771" s="2" t="n">
        <v>0.064</v>
      </c>
      <c r="G2771" s="6" t="n">
        <v>1204.63</v>
      </c>
      <c r="H2771" s="6">
        <f>F2771*G2771</f>
        <v/>
      </c>
      <c r="I2771">
        <f>_xlfn.XLOOKUP(A2771,MktTitle,MktCat,"n/a")</f>
        <v/>
      </c>
      <c r="J2771" s="3">
        <f>_xlfn.XLOOKUP(A2771,MktTitle,MktTotVol,0)</f>
        <v/>
      </c>
      <c r="K2771">
        <f>IF(H2771&gt;WhaleThreshold,"WHALE","")</f>
        <v/>
      </c>
    </row>
    <row r="2772">
      <c r="A2772" t="inlineStr">
        <is>
          <t>Will Portugal win the 2026 FIFA World Cup?</t>
        </is>
      </c>
      <c r="B2772" s="4" t="n">
        <v>46206</v>
      </c>
      <c r="C2772" s="5" t="n">
        <v>46206.07074074074</v>
      </c>
      <c r="D2772" t="inlineStr">
        <is>
          <t>BUY</t>
        </is>
      </c>
      <c r="E2772" t="inlineStr">
        <is>
          <t>No</t>
        </is>
      </c>
      <c r="F2772" s="2" t="n">
        <v>0.9340000000000001</v>
      </c>
      <c r="G2772" s="6" t="n">
        <v>699.33</v>
      </c>
      <c r="H2772" s="6">
        <f>F2772*G2772</f>
        <v/>
      </c>
      <c r="I2772">
        <f>_xlfn.XLOOKUP(A2772,MktTitle,MktCat,"n/a")</f>
        <v/>
      </c>
      <c r="J2772" s="3">
        <f>_xlfn.XLOOKUP(A2772,MktTitle,MktTotVol,0)</f>
        <v/>
      </c>
      <c r="K2772">
        <f>IF(H2772&gt;WhaleThreshold,"WHALE","")</f>
        <v/>
      </c>
    </row>
    <row r="2773">
      <c r="A2773" t="inlineStr">
        <is>
          <t>Will Portugal win the 2026 FIFA World Cup?</t>
        </is>
      </c>
      <c r="B2773" s="4" t="n">
        <v>46206</v>
      </c>
      <c r="C2773" s="5" t="n">
        <v>46206.07064814815</v>
      </c>
      <c r="D2773" t="inlineStr">
        <is>
          <t>BUY</t>
        </is>
      </c>
      <c r="E2773" t="inlineStr">
        <is>
          <t>Yes</t>
        </is>
      </c>
      <c r="F2773" s="2" t="n">
        <v>0.067</v>
      </c>
      <c r="G2773" s="6" t="n">
        <v>417.9104</v>
      </c>
      <c r="H2773" s="6">
        <f>F2773*G2773</f>
        <v/>
      </c>
      <c r="I2773">
        <f>_xlfn.XLOOKUP(A2773,MktTitle,MktCat,"n/a")</f>
        <v/>
      </c>
      <c r="J2773" s="3">
        <f>_xlfn.XLOOKUP(A2773,MktTitle,MktTotVol,0)</f>
        <v/>
      </c>
      <c r="K2773">
        <f>IF(H2773&gt;WhaleThreshold,"WHALE","")</f>
        <v/>
      </c>
    </row>
    <row r="2774">
      <c r="A2774" t="inlineStr">
        <is>
          <t>Will Portugal win the 2026 FIFA World Cup?</t>
        </is>
      </c>
      <c r="B2774" s="4" t="n">
        <v>46206</v>
      </c>
      <c r="C2774" s="5" t="n">
        <v>46206.07046296296</v>
      </c>
      <c r="D2774" t="inlineStr">
        <is>
          <t>BUY</t>
        </is>
      </c>
      <c r="E2774" t="inlineStr">
        <is>
          <t>Yes</t>
        </is>
      </c>
      <c r="F2774" s="2" t="n">
        <v>0.067</v>
      </c>
      <c r="G2774" s="6" t="n">
        <v>176</v>
      </c>
      <c r="H2774" s="6">
        <f>F2774*G2774</f>
        <v/>
      </c>
      <c r="I2774">
        <f>_xlfn.XLOOKUP(A2774,MktTitle,MktCat,"n/a")</f>
        <v/>
      </c>
      <c r="J2774" s="3">
        <f>_xlfn.XLOOKUP(A2774,MktTitle,MktTotVol,0)</f>
        <v/>
      </c>
      <c r="K2774">
        <f>IF(H2774&gt;WhaleThreshold,"WHALE","")</f>
        <v/>
      </c>
    </row>
    <row r="2775">
      <c r="A2775" t="inlineStr">
        <is>
          <t>Will Portugal win the 2026 FIFA World Cup?</t>
        </is>
      </c>
      <c r="B2775" s="4" t="n">
        <v>46206</v>
      </c>
      <c r="C2775" s="5" t="n">
        <v>46206.0702662037</v>
      </c>
      <c r="D2775" t="inlineStr">
        <is>
          <t>BUY</t>
        </is>
      </c>
      <c r="E2775" t="inlineStr">
        <is>
          <t>Yes</t>
        </is>
      </c>
      <c r="F2775" s="2" t="n">
        <v>0.0677</v>
      </c>
      <c r="G2775" s="6" t="n">
        <v>2053.7413</v>
      </c>
      <c r="H2775" s="6">
        <f>F2775*G2775</f>
        <v/>
      </c>
      <c r="I2775">
        <f>_xlfn.XLOOKUP(A2775,MktTitle,MktCat,"n/a")</f>
        <v/>
      </c>
      <c r="J2775" s="3">
        <f>_xlfn.XLOOKUP(A2775,MktTitle,MktTotVol,0)</f>
        <v/>
      </c>
      <c r="K2775">
        <f>IF(H2775&gt;WhaleThreshold,"WHALE","")</f>
        <v/>
      </c>
    </row>
    <row r="2776">
      <c r="A2776" t="inlineStr">
        <is>
          <t>Will Portugal win the 2026 FIFA World Cup?</t>
        </is>
      </c>
      <c r="B2776" s="4" t="n">
        <v>46206</v>
      </c>
      <c r="C2776" s="5" t="n">
        <v>46206.07016203704</v>
      </c>
      <c r="D2776" t="inlineStr">
        <is>
          <t>BUY</t>
        </is>
      </c>
      <c r="E2776" t="inlineStr">
        <is>
          <t>Yes</t>
        </is>
      </c>
      <c r="F2776" s="2" t="n">
        <v>0.067</v>
      </c>
      <c r="G2776" s="6" t="n">
        <v>14.9254</v>
      </c>
      <c r="H2776" s="6">
        <f>F2776*G2776</f>
        <v/>
      </c>
      <c r="I2776">
        <f>_xlfn.XLOOKUP(A2776,MktTitle,MktCat,"n/a")</f>
        <v/>
      </c>
      <c r="J2776" s="3">
        <f>_xlfn.XLOOKUP(A2776,MktTitle,MktTotVol,0)</f>
        <v/>
      </c>
      <c r="K2776">
        <f>IF(H2776&gt;WhaleThreshold,"WHALE","")</f>
        <v/>
      </c>
    </row>
    <row r="2777">
      <c r="A2777" t="inlineStr">
        <is>
          <t>Will Portugal win the 2026 FIFA World Cup?</t>
        </is>
      </c>
      <c r="B2777" s="4" t="n">
        <v>46206</v>
      </c>
      <c r="C2777" s="5" t="n">
        <v>46206.07005787037</v>
      </c>
      <c r="D2777" t="inlineStr">
        <is>
          <t>SELL</t>
        </is>
      </c>
      <c r="E2777" t="inlineStr">
        <is>
          <t>Yes</t>
        </is>
      </c>
      <c r="F2777" s="2" t="n">
        <v>0.065</v>
      </c>
      <c r="G2777" s="6" t="n">
        <v>79.36</v>
      </c>
      <c r="H2777" s="6">
        <f>F2777*G2777</f>
        <v/>
      </c>
      <c r="I2777">
        <f>_xlfn.XLOOKUP(A2777,MktTitle,MktCat,"n/a")</f>
        <v/>
      </c>
      <c r="J2777" s="3">
        <f>_xlfn.XLOOKUP(A2777,MktTitle,MktTotVol,0)</f>
        <v/>
      </c>
      <c r="K2777">
        <f>IF(H2777&gt;WhaleThreshold,"WHALE","")</f>
        <v/>
      </c>
    </row>
    <row r="2778">
      <c r="A2778" t="inlineStr">
        <is>
          <t>Will Portugal win the 2026 FIFA World Cup?</t>
        </is>
      </c>
      <c r="B2778" s="4" t="n">
        <v>46206</v>
      </c>
      <c r="C2778" s="5" t="n">
        <v>46206.06991898148</v>
      </c>
      <c r="D2778" t="inlineStr">
        <is>
          <t>BUY</t>
        </is>
      </c>
      <c r="E2778" t="inlineStr">
        <is>
          <t>Yes</t>
        </is>
      </c>
      <c r="F2778" s="2" t="n">
        <v>0.067</v>
      </c>
      <c r="G2778" s="6" t="n">
        <v>12.9</v>
      </c>
      <c r="H2778" s="6">
        <f>F2778*G2778</f>
        <v/>
      </c>
      <c r="I2778">
        <f>_xlfn.XLOOKUP(A2778,MktTitle,MktCat,"n/a")</f>
        <v/>
      </c>
      <c r="J2778" s="3">
        <f>_xlfn.XLOOKUP(A2778,MktTitle,MktTotVol,0)</f>
        <v/>
      </c>
      <c r="K2778">
        <f>IF(H2778&gt;WhaleThreshold,"WHALE","")</f>
        <v/>
      </c>
    </row>
    <row r="2779">
      <c r="A2779" t="inlineStr">
        <is>
          <t>Will Portugal win the 2026 FIFA World Cup?</t>
        </is>
      </c>
      <c r="B2779" s="4" t="n">
        <v>46206</v>
      </c>
      <c r="C2779" s="5" t="n">
        <v>46206.06974537037</v>
      </c>
      <c r="D2779" t="inlineStr">
        <is>
          <t>BUY</t>
        </is>
      </c>
      <c r="E2779" t="inlineStr">
        <is>
          <t>Yes</t>
        </is>
      </c>
      <c r="F2779" s="2" t="n">
        <v>0.066</v>
      </c>
      <c r="G2779" s="6" t="n">
        <v>15015.721</v>
      </c>
      <c r="H2779" s="6">
        <f>F2779*G2779</f>
        <v/>
      </c>
      <c r="I2779">
        <f>_xlfn.XLOOKUP(A2779,MktTitle,MktCat,"n/a")</f>
        <v/>
      </c>
      <c r="J2779" s="3">
        <f>_xlfn.XLOOKUP(A2779,MktTitle,MktTotVol,0)</f>
        <v/>
      </c>
      <c r="K2779">
        <f>IF(H2779&gt;WhaleThreshold,"WHALE","")</f>
        <v/>
      </c>
    </row>
    <row r="2780">
      <c r="A2780" t="inlineStr">
        <is>
          <t>Will Portugal win the 2026 FIFA World Cup?</t>
        </is>
      </c>
      <c r="B2780" s="4" t="n">
        <v>46206</v>
      </c>
      <c r="C2780" s="5" t="n">
        <v>46206.06974537037</v>
      </c>
      <c r="D2780" t="inlineStr">
        <is>
          <t>BUY</t>
        </is>
      </c>
      <c r="E2780" t="inlineStr">
        <is>
          <t>Yes</t>
        </is>
      </c>
      <c r="F2780" s="2" t="n">
        <v>0.064</v>
      </c>
      <c r="G2780" s="6" t="n">
        <v>57.9</v>
      </c>
      <c r="H2780" s="6">
        <f>F2780*G2780</f>
        <v/>
      </c>
      <c r="I2780">
        <f>_xlfn.XLOOKUP(A2780,MktTitle,MktCat,"n/a")</f>
        <v/>
      </c>
      <c r="J2780" s="3">
        <f>_xlfn.XLOOKUP(A2780,MktTitle,MktTotVol,0)</f>
        <v/>
      </c>
      <c r="K2780">
        <f>IF(H2780&gt;WhaleThreshold,"WHALE","")</f>
        <v/>
      </c>
    </row>
    <row r="2781">
      <c r="A2781" t="inlineStr">
        <is>
          <t>Will Portugal win the 2026 FIFA World Cup?</t>
        </is>
      </c>
      <c r="B2781" s="4" t="n">
        <v>46206</v>
      </c>
      <c r="C2781" s="5" t="n">
        <v>46206.0697337963</v>
      </c>
      <c r="D2781" t="inlineStr">
        <is>
          <t>BUY</t>
        </is>
      </c>
      <c r="E2781" t="inlineStr">
        <is>
          <t>Yes</t>
        </is>
      </c>
      <c r="F2781" s="2" t="n">
        <v>0.064</v>
      </c>
      <c r="G2781" s="6" t="n">
        <v>55.2</v>
      </c>
      <c r="H2781" s="6">
        <f>F2781*G2781</f>
        <v/>
      </c>
      <c r="I2781">
        <f>_xlfn.XLOOKUP(A2781,MktTitle,MktCat,"n/a")</f>
        <v/>
      </c>
      <c r="J2781" s="3">
        <f>_xlfn.XLOOKUP(A2781,MktTitle,MktTotVol,0)</f>
        <v/>
      </c>
      <c r="K2781">
        <f>IF(H2781&gt;WhaleThreshold,"WHALE","")</f>
        <v/>
      </c>
    </row>
    <row r="2782">
      <c r="A2782" t="inlineStr">
        <is>
          <t>Will Portugal win the 2026 FIFA World Cup?</t>
        </is>
      </c>
      <c r="B2782" s="4" t="n">
        <v>46206</v>
      </c>
      <c r="C2782" s="5" t="n">
        <v>46206.06969907408</v>
      </c>
      <c r="D2782" t="inlineStr">
        <is>
          <t>BUY</t>
        </is>
      </c>
      <c r="E2782" t="inlineStr">
        <is>
          <t>Yes</t>
        </is>
      </c>
      <c r="F2782" s="2" t="n">
        <v>0.064</v>
      </c>
      <c r="G2782" s="6" t="n">
        <v>30</v>
      </c>
      <c r="H2782" s="6">
        <f>F2782*G2782</f>
        <v/>
      </c>
      <c r="I2782">
        <f>_xlfn.XLOOKUP(A2782,MktTitle,MktCat,"n/a")</f>
        <v/>
      </c>
      <c r="J2782" s="3">
        <f>_xlfn.XLOOKUP(A2782,MktTitle,MktTotVol,0)</f>
        <v/>
      </c>
      <c r="K2782">
        <f>IF(H2782&gt;WhaleThreshold,"WHALE","")</f>
        <v/>
      </c>
    </row>
    <row r="2783">
      <c r="A2783" t="inlineStr">
        <is>
          <t>Will Portugal win the 2026 FIFA World Cup?</t>
        </is>
      </c>
      <c r="B2783" s="4" t="n">
        <v>46206</v>
      </c>
      <c r="C2783" s="5" t="n">
        <v>46206.06952546296</v>
      </c>
      <c r="D2783" t="inlineStr">
        <is>
          <t>SELL</t>
        </is>
      </c>
      <c r="E2783" t="inlineStr">
        <is>
          <t>Yes</t>
        </is>
      </c>
      <c r="F2783" s="2" t="n">
        <v>0.063</v>
      </c>
      <c r="G2783" s="6" t="n">
        <v>1200</v>
      </c>
      <c r="H2783" s="6">
        <f>F2783*G2783</f>
        <v/>
      </c>
      <c r="I2783">
        <f>_xlfn.XLOOKUP(A2783,MktTitle,MktCat,"n/a")</f>
        <v/>
      </c>
      <c r="J2783" s="3">
        <f>_xlfn.XLOOKUP(A2783,MktTitle,MktTotVol,0)</f>
        <v/>
      </c>
      <c r="K2783">
        <f>IF(H2783&gt;WhaleThreshold,"WHALE","")</f>
        <v/>
      </c>
    </row>
    <row r="2784">
      <c r="A2784" t="inlineStr">
        <is>
          <t>Will Portugal win the 2026 FIFA World Cup?</t>
        </is>
      </c>
      <c r="B2784" s="4" t="n">
        <v>46206</v>
      </c>
      <c r="C2784" s="5" t="n">
        <v>46206.06950231481</v>
      </c>
      <c r="D2784" t="inlineStr">
        <is>
          <t>BUY</t>
        </is>
      </c>
      <c r="E2784" t="inlineStr">
        <is>
          <t>Yes</t>
        </is>
      </c>
      <c r="F2784" s="2" t="n">
        <v>0.064</v>
      </c>
      <c r="G2784" s="6" t="n">
        <v>6</v>
      </c>
      <c r="H2784" s="6">
        <f>F2784*G2784</f>
        <v/>
      </c>
      <c r="I2784">
        <f>_xlfn.XLOOKUP(A2784,MktTitle,MktCat,"n/a")</f>
        <v/>
      </c>
      <c r="J2784" s="3">
        <f>_xlfn.XLOOKUP(A2784,MktTitle,MktTotVol,0)</f>
        <v/>
      </c>
      <c r="K2784">
        <f>IF(H2784&gt;WhaleThreshold,"WHALE","")</f>
        <v/>
      </c>
    </row>
    <row r="2785">
      <c r="A2785" t="inlineStr">
        <is>
          <t>Will Portugal win the 2026 FIFA World Cup?</t>
        </is>
      </c>
      <c r="B2785" s="4" t="n">
        <v>46206</v>
      </c>
      <c r="C2785" s="5" t="n">
        <v>46206.06946759259</v>
      </c>
      <c r="D2785" t="inlineStr">
        <is>
          <t>BUY</t>
        </is>
      </c>
      <c r="E2785" t="inlineStr">
        <is>
          <t>Yes</t>
        </is>
      </c>
      <c r="F2785" s="2" t="n">
        <v>0.064</v>
      </c>
      <c r="G2785" s="6" t="n">
        <v>30</v>
      </c>
      <c r="H2785" s="6">
        <f>F2785*G2785</f>
        <v/>
      </c>
      <c r="I2785">
        <f>_xlfn.XLOOKUP(A2785,MktTitle,MktCat,"n/a")</f>
        <v/>
      </c>
      <c r="J2785" s="3">
        <f>_xlfn.XLOOKUP(A2785,MktTitle,MktTotVol,0)</f>
        <v/>
      </c>
      <c r="K2785">
        <f>IF(H2785&gt;WhaleThreshold,"WHALE","")</f>
        <v/>
      </c>
    </row>
    <row r="2786">
      <c r="A2786" t="inlineStr">
        <is>
          <t>Will Portugal win the 2026 FIFA World Cup?</t>
        </is>
      </c>
      <c r="B2786" s="4" t="n">
        <v>46206</v>
      </c>
      <c r="C2786" s="5" t="n">
        <v>46206.06938657408</v>
      </c>
      <c r="D2786" t="inlineStr">
        <is>
          <t>BUY</t>
        </is>
      </c>
      <c r="E2786" t="inlineStr">
        <is>
          <t>Yes</t>
        </is>
      </c>
      <c r="F2786" s="2" t="n">
        <v>0.064</v>
      </c>
      <c r="G2786" s="6" t="n">
        <v>799.8438</v>
      </c>
      <c r="H2786" s="6">
        <f>F2786*G2786</f>
        <v/>
      </c>
      <c r="I2786">
        <f>_xlfn.XLOOKUP(A2786,MktTitle,MktCat,"n/a")</f>
        <v/>
      </c>
      <c r="J2786" s="3">
        <f>_xlfn.XLOOKUP(A2786,MktTitle,MktTotVol,0)</f>
        <v/>
      </c>
      <c r="K2786">
        <f>IF(H2786&gt;WhaleThreshold,"WHALE","")</f>
        <v/>
      </c>
    </row>
    <row r="2787">
      <c r="A2787" t="inlineStr">
        <is>
          <t>Will Portugal win the 2026 FIFA World Cup?</t>
        </is>
      </c>
      <c r="B2787" s="4" t="n">
        <v>46206</v>
      </c>
      <c r="C2787" s="5" t="n">
        <v>46206.06932870371</v>
      </c>
      <c r="D2787" t="inlineStr">
        <is>
          <t>BUY</t>
        </is>
      </c>
      <c r="E2787" t="inlineStr">
        <is>
          <t>Yes</t>
        </is>
      </c>
      <c r="F2787" s="2" t="n">
        <v>0.064</v>
      </c>
      <c r="G2787" s="6" t="n">
        <v>30</v>
      </c>
      <c r="H2787" s="6">
        <f>F2787*G2787</f>
        <v/>
      </c>
      <c r="I2787">
        <f>_xlfn.XLOOKUP(A2787,MktTitle,MktCat,"n/a")</f>
        <v/>
      </c>
      <c r="J2787" s="3">
        <f>_xlfn.XLOOKUP(A2787,MktTitle,MktTotVol,0)</f>
        <v/>
      </c>
      <c r="K2787">
        <f>IF(H2787&gt;WhaleThreshold,"WHALE","")</f>
        <v/>
      </c>
    </row>
    <row r="2788">
      <c r="A2788" t="inlineStr">
        <is>
          <t>Will Portugal win the 2026 FIFA World Cup?</t>
        </is>
      </c>
      <c r="B2788" s="4" t="n">
        <v>46206</v>
      </c>
      <c r="C2788" s="5" t="n">
        <v>46206.06917824074</v>
      </c>
      <c r="D2788" t="inlineStr">
        <is>
          <t>BUY</t>
        </is>
      </c>
      <c r="E2788" t="inlineStr">
        <is>
          <t>Yes</t>
        </is>
      </c>
      <c r="F2788" s="2" t="n">
        <v>0.06660000000000001</v>
      </c>
      <c r="G2788" s="6" t="n">
        <v>4411.2282</v>
      </c>
      <c r="H2788" s="6">
        <f>F2788*G2788</f>
        <v/>
      </c>
      <c r="I2788">
        <f>_xlfn.XLOOKUP(A2788,MktTitle,MktCat,"n/a")</f>
        <v/>
      </c>
      <c r="J2788" s="3">
        <f>_xlfn.XLOOKUP(A2788,MktTitle,MktTotVol,0)</f>
        <v/>
      </c>
      <c r="K2788">
        <f>IF(H2788&gt;WhaleThreshold,"WHALE","")</f>
        <v/>
      </c>
    </row>
    <row r="2789">
      <c r="A2789" t="inlineStr">
        <is>
          <t>Will Portugal win the 2026 FIFA World Cup?</t>
        </is>
      </c>
      <c r="B2789" s="4" t="n">
        <v>46206</v>
      </c>
      <c r="C2789" s="5" t="n">
        <v>46206.06903935185</v>
      </c>
      <c r="D2789" t="inlineStr">
        <is>
          <t>SELL</t>
        </is>
      </c>
      <c r="E2789" t="inlineStr">
        <is>
          <t>Yes</t>
        </is>
      </c>
      <c r="F2789" s="2" t="n">
        <v>0.063</v>
      </c>
      <c r="G2789" s="6" t="n">
        <v>2220</v>
      </c>
      <c r="H2789" s="6">
        <f>F2789*G2789</f>
        <v/>
      </c>
      <c r="I2789">
        <f>_xlfn.XLOOKUP(A2789,MktTitle,MktCat,"n/a")</f>
        <v/>
      </c>
      <c r="J2789" s="3">
        <f>_xlfn.XLOOKUP(A2789,MktTitle,MktTotVol,0)</f>
        <v/>
      </c>
      <c r="K2789">
        <f>IF(H2789&gt;WhaleThreshold,"WHALE","")</f>
        <v/>
      </c>
    </row>
    <row r="2790">
      <c r="A2790" t="inlineStr">
        <is>
          <t>Will Portugal win the 2026 FIFA World Cup?</t>
        </is>
      </c>
      <c r="B2790" s="4" t="n">
        <v>46206</v>
      </c>
      <c r="C2790" s="5" t="n">
        <v>46206.06901620371</v>
      </c>
      <c r="D2790" t="inlineStr">
        <is>
          <t>BUY</t>
        </is>
      </c>
      <c r="E2790" t="inlineStr">
        <is>
          <t>Yes</t>
        </is>
      </c>
      <c r="F2790" s="2" t="n">
        <v>0.066</v>
      </c>
      <c r="G2790" s="6" t="n">
        <v>303.0303</v>
      </c>
      <c r="H2790" s="6">
        <f>F2790*G2790</f>
        <v/>
      </c>
      <c r="I2790">
        <f>_xlfn.XLOOKUP(A2790,MktTitle,MktCat,"n/a")</f>
        <v/>
      </c>
      <c r="J2790" s="3">
        <f>_xlfn.XLOOKUP(A2790,MktTitle,MktTotVol,0)</f>
        <v/>
      </c>
      <c r="K2790">
        <f>IF(H2790&gt;WhaleThreshold,"WHALE","")</f>
        <v/>
      </c>
    </row>
    <row r="2791">
      <c r="A2791" t="inlineStr">
        <is>
          <t>Will Portugal win the 2026 FIFA World Cup?</t>
        </is>
      </c>
      <c r="B2791" s="4" t="n">
        <v>46206</v>
      </c>
      <c r="C2791" s="5" t="n">
        <v>46206.06876157408</v>
      </c>
      <c r="D2791" t="inlineStr">
        <is>
          <t>SELL</t>
        </is>
      </c>
      <c r="E2791" t="inlineStr">
        <is>
          <t>Yes</t>
        </is>
      </c>
      <c r="F2791" s="2" t="n">
        <v>0.063</v>
      </c>
      <c r="G2791" s="6" t="n">
        <v>4340.69</v>
      </c>
      <c r="H2791" s="6">
        <f>F2791*G2791</f>
        <v/>
      </c>
      <c r="I2791">
        <f>_xlfn.XLOOKUP(A2791,MktTitle,MktCat,"n/a")</f>
        <v/>
      </c>
      <c r="J2791" s="3">
        <f>_xlfn.XLOOKUP(A2791,MktTitle,MktTotVol,0)</f>
        <v/>
      </c>
      <c r="K2791">
        <f>IF(H2791&gt;WhaleThreshold,"WHALE","")</f>
        <v/>
      </c>
    </row>
    <row r="2792">
      <c r="A2792" t="inlineStr">
        <is>
          <t>Will Portugal win the 2026 FIFA World Cup?</t>
        </is>
      </c>
      <c r="B2792" s="4" t="n">
        <v>46206</v>
      </c>
      <c r="C2792" s="5" t="n">
        <v>46206.06846064814</v>
      </c>
      <c r="D2792" t="inlineStr">
        <is>
          <t>BUY</t>
        </is>
      </c>
      <c r="E2792" t="inlineStr">
        <is>
          <t>Yes</t>
        </is>
      </c>
      <c r="F2792" s="2" t="n">
        <v>0.0675</v>
      </c>
      <c r="G2792" s="6" t="n">
        <v>4311.9265</v>
      </c>
      <c r="H2792" s="6">
        <f>F2792*G2792</f>
        <v/>
      </c>
      <c r="I2792">
        <f>_xlfn.XLOOKUP(A2792,MktTitle,MktCat,"n/a")</f>
        <v/>
      </c>
      <c r="J2792" s="3">
        <f>_xlfn.XLOOKUP(A2792,MktTitle,MktTotVol,0)</f>
        <v/>
      </c>
      <c r="K2792">
        <f>IF(H2792&gt;WhaleThreshold,"WHALE","")</f>
        <v/>
      </c>
    </row>
    <row r="2793">
      <c r="A2793" t="inlineStr">
        <is>
          <t>Will Portugal win the 2026 FIFA World Cup?</t>
        </is>
      </c>
      <c r="B2793" s="4" t="n">
        <v>46206</v>
      </c>
      <c r="C2793" s="5" t="n">
        <v>46206.06841435185</v>
      </c>
      <c r="D2793" t="inlineStr">
        <is>
          <t>SELL</t>
        </is>
      </c>
      <c r="E2793" t="inlineStr">
        <is>
          <t>Yes</t>
        </is>
      </c>
      <c r="F2793" s="2" t="n">
        <v>0.0638</v>
      </c>
      <c r="G2793" s="6" t="n">
        <v>1621.62</v>
      </c>
      <c r="H2793" s="6">
        <f>F2793*G2793</f>
        <v/>
      </c>
      <c r="I2793">
        <f>_xlfn.XLOOKUP(A2793,MktTitle,MktCat,"n/a")</f>
        <v/>
      </c>
      <c r="J2793" s="3">
        <f>_xlfn.XLOOKUP(A2793,MktTitle,MktTotVol,0)</f>
        <v/>
      </c>
      <c r="K2793">
        <f>IF(H2793&gt;WhaleThreshold,"WHALE","")</f>
        <v/>
      </c>
    </row>
    <row r="2794">
      <c r="A2794" t="inlineStr">
        <is>
          <t>Will Portugal win the 2026 FIFA World Cup?</t>
        </is>
      </c>
      <c r="B2794" s="4" t="n">
        <v>46206</v>
      </c>
      <c r="C2794" s="5" t="n">
        <v>46206.06839120371</v>
      </c>
      <c r="D2794" t="inlineStr">
        <is>
          <t>BUY</t>
        </is>
      </c>
      <c r="E2794" t="inlineStr">
        <is>
          <t>Yes</t>
        </is>
      </c>
      <c r="F2794" s="2" t="n">
        <v>0.066</v>
      </c>
      <c r="G2794" s="6" t="n">
        <v>50</v>
      </c>
      <c r="H2794" s="6">
        <f>F2794*G2794</f>
        <v/>
      </c>
      <c r="I2794">
        <f>_xlfn.XLOOKUP(A2794,MktTitle,MktCat,"n/a")</f>
        <v/>
      </c>
      <c r="J2794" s="3">
        <f>_xlfn.XLOOKUP(A2794,MktTitle,MktTotVol,0)</f>
        <v/>
      </c>
      <c r="K2794">
        <f>IF(H2794&gt;WhaleThreshold,"WHALE","")</f>
        <v/>
      </c>
    </row>
    <row r="2795">
      <c r="A2795" t="inlineStr">
        <is>
          <t>Will Portugal win the 2026 FIFA World Cup?</t>
        </is>
      </c>
      <c r="B2795" s="4" t="n">
        <v>46206</v>
      </c>
      <c r="C2795" s="5" t="n">
        <v>46206.06828703704</v>
      </c>
      <c r="D2795" t="inlineStr">
        <is>
          <t>BUY</t>
        </is>
      </c>
      <c r="E2795" t="inlineStr">
        <is>
          <t>Yes</t>
        </is>
      </c>
      <c r="F2795" s="2" t="n">
        <v>0.066</v>
      </c>
      <c r="G2795" s="6" t="n">
        <v>20</v>
      </c>
      <c r="H2795" s="6">
        <f>F2795*G2795</f>
        <v/>
      </c>
      <c r="I2795">
        <f>_xlfn.XLOOKUP(A2795,MktTitle,MktCat,"n/a")</f>
        <v/>
      </c>
      <c r="J2795" s="3">
        <f>_xlfn.XLOOKUP(A2795,MktTitle,MktTotVol,0)</f>
        <v/>
      </c>
      <c r="K2795">
        <f>IF(H2795&gt;WhaleThreshold,"WHALE","")</f>
        <v/>
      </c>
    </row>
    <row r="2796">
      <c r="A2796" t="inlineStr">
        <is>
          <t>Will Portugal win the 2026 FIFA World Cup?</t>
        </is>
      </c>
      <c r="B2796" s="4" t="n">
        <v>46206</v>
      </c>
      <c r="C2796" s="5" t="n">
        <v>46206.06828703704</v>
      </c>
      <c r="D2796" t="inlineStr">
        <is>
          <t>BUY</t>
        </is>
      </c>
      <c r="E2796" t="inlineStr">
        <is>
          <t>Yes</t>
        </is>
      </c>
      <c r="F2796" s="2" t="n">
        <v>0.066</v>
      </c>
      <c r="G2796" s="6" t="n">
        <v>5</v>
      </c>
      <c r="H2796" s="6">
        <f>F2796*G2796</f>
        <v/>
      </c>
      <c r="I2796">
        <f>_xlfn.XLOOKUP(A2796,MktTitle,MktCat,"n/a")</f>
        <v/>
      </c>
      <c r="J2796" s="3">
        <f>_xlfn.XLOOKUP(A2796,MktTitle,MktTotVol,0)</f>
        <v/>
      </c>
      <c r="K2796">
        <f>IF(H2796&gt;WhaleThreshold,"WHALE","")</f>
        <v/>
      </c>
    </row>
    <row r="2797">
      <c r="A2797" t="inlineStr">
        <is>
          <t>Will Portugal win the 2026 FIFA World Cup?</t>
        </is>
      </c>
      <c r="B2797" s="4" t="n">
        <v>46206</v>
      </c>
      <c r="C2797" s="5" t="n">
        <v>46206.06821759259</v>
      </c>
      <c r="D2797" t="inlineStr">
        <is>
          <t>BUY</t>
        </is>
      </c>
      <c r="E2797" t="inlineStr">
        <is>
          <t>Yes</t>
        </is>
      </c>
      <c r="F2797" s="2" t="n">
        <v>0.06619999999999999</v>
      </c>
      <c r="G2797" s="6" t="n">
        <v>307</v>
      </c>
      <c r="H2797" s="6">
        <f>F2797*G2797</f>
        <v/>
      </c>
      <c r="I2797">
        <f>_xlfn.XLOOKUP(A2797,MktTitle,MktCat,"n/a")</f>
        <v/>
      </c>
      <c r="J2797" s="3">
        <f>_xlfn.XLOOKUP(A2797,MktTitle,MktTotVol,0)</f>
        <v/>
      </c>
      <c r="K2797">
        <f>IF(H2797&gt;WhaleThreshold,"WHALE","")</f>
        <v/>
      </c>
    </row>
    <row r="2798">
      <c r="A2798" t="inlineStr">
        <is>
          <t>Will Portugal win the 2026 FIFA World Cup?</t>
        </is>
      </c>
      <c r="B2798" s="4" t="n">
        <v>46206</v>
      </c>
      <c r="C2798" s="5" t="n">
        <v>46206.0678587963</v>
      </c>
      <c r="D2798" t="inlineStr">
        <is>
          <t>BUY</t>
        </is>
      </c>
      <c r="E2798" t="inlineStr">
        <is>
          <t>Yes</t>
        </is>
      </c>
      <c r="F2798" s="2" t="n">
        <v>0.067</v>
      </c>
      <c r="G2798" s="6" t="n">
        <v>50</v>
      </c>
      <c r="H2798" s="6">
        <f>F2798*G2798</f>
        <v/>
      </c>
      <c r="I2798">
        <f>_xlfn.XLOOKUP(A2798,MktTitle,MktCat,"n/a")</f>
        <v/>
      </c>
      <c r="J2798" s="3">
        <f>_xlfn.XLOOKUP(A2798,MktTitle,MktTotVol,0)</f>
        <v/>
      </c>
      <c r="K2798">
        <f>IF(H2798&gt;WhaleThreshold,"WHALE","")</f>
        <v/>
      </c>
    </row>
    <row r="2799">
      <c r="A2799" t="inlineStr">
        <is>
          <t>Will Portugal win the 2026 FIFA World Cup?</t>
        </is>
      </c>
      <c r="B2799" s="4" t="n">
        <v>46206</v>
      </c>
      <c r="C2799" s="5" t="n">
        <v>46206.06768518518</v>
      </c>
      <c r="D2799" t="inlineStr">
        <is>
          <t>SELL</t>
        </is>
      </c>
      <c r="E2799" t="inlineStr">
        <is>
          <t>Yes</t>
        </is>
      </c>
      <c r="F2799" s="2" t="n">
        <v>0.065</v>
      </c>
      <c r="G2799" s="6" t="n">
        <v>71.84</v>
      </c>
      <c r="H2799" s="6">
        <f>F2799*G2799</f>
        <v/>
      </c>
      <c r="I2799">
        <f>_xlfn.XLOOKUP(A2799,MktTitle,MktCat,"n/a")</f>
        <v/>
      </c>
      <c r="J2799" s="3">
        <f>_xlfn.XLOOKUP(A2799,MktTitle,MktTotVol,0)</f>
        <v/>
      </c>
      <c r="K2799">
        <f>IF(H2799&gt;WhaleThreshold,"WHALE","")</f>
        <v/>
      </c>
    </row>
    <row r="2800">
      <c r="A2800" t="inlineStr">
        <is>
          <t>Will Portugal win the 2026 FIFA World Cup?</t>
        </is>
      </c>
      <c r="B2800" s="4" t="n">
        <v>46206</v>
      </c>
      <c r="C2800" s="5" t="n">
        <v>46206.06758101852</v>
      </c>
      <c r="D2800" t="inlineStr">
        <is>
          <t>BUY</t>
        </is>
      </c>
      <c r="E2800" t="inlineStr">
        <is>
          <t>Yes</t>
        </is>
      </c>
      <c r="F2800" s="2" t="n">
        <v>0.067</v>
      </c>
      <c r="G2800" s="6" t="n">
        <v>140</v>
      </c>
      <c r="H2800" s="6">
        <f>F2800*G2800</f>
        <v/>
      </c>
      <c r="I2800">
        <f>_xlfn.XLOOKUP(A2800,MktTitle,MktCat,"n/a")</f>
        <v/>
      </c>
      <c r="J2800" s="3">
        <f>_xlfn.XLOOKUP(A2800,MktTitle,MktTotVol,0)</f>
        <v/>
      </c>
      <c r="K2800">
        <f>IF(H2800&gt;WhaleThreshold,"WHALE","")</f>
        <v/>
      </c>
    </row>
    <row r="2801">
      <c r="A2801" t="inlineStr">
        <is>
          <t>Will Portugal win the 2026 FIFA World Cup?</t>
        </is>
      </c>
      <c r="B2801" s="4" t="n">
        <v>46206</v>
      </c>
      <c r="C2801" s="5" t="n">
        <v>46206.06751157407</v>
      </c>
      <c r="D2801" t="inlineStr">
        <is>
          <t>BUY</t>
        </is>
      </c>
      <c r="E2801" t="inlineStr">
        <is>
          <t>Yes</t>
        </is>
      </c>
      <c r="F2801" s="2" t="n">
        <v>0.0673</v>
      </c>
      <c r="G2801" s="6" t="n">
        <v>14307.0047</v>
      </c>
      <c r="H2801" s="6">
        <f>F2801*G2801</f>
        <v/>
      </c>
      <c r="I2801">
        <f>_xlfn.XLOOKUP(A2801,MktTitle,MktCat,"n/a")</f>
        <v/>
      </c>
      <c r="J2801" s="3">
        <f>_xlfn.XLOOKUP(A2801,MktTitle,MktTotVol,0)</f>
        <v/>
      </c>
      <c r="K2801">
        <f>IF(H2801&gt;WhaleThreshold,"WHALE","")</f>
        <v/>
      </c>
    </row>
    <row r="2802">
      <c r="A2802" t="inlineStr">
        <is>
          <t>Will Portugal win the 2026 FIFA World Cup?</t>
        </is>
      </c>
      <c r="B2802" s="4" t="n">
        <v>46206</v>
      </c>
      <c r="C2802" s="5" t="n">
        <v>46206.06712962963</v>
      </c>
      <c r="D2802" t="inlineStr">
        <is>
          <t>BUY</t>
        </is>
      </c>
      <c r="E2802" t="inlineStr">
        <is>
          <t>Yes</t>
        </is>
      </c>
      <c r="F2802" s="2" t="n">
        <v>0.0664</v>
      </c>
      <c r="G2802" s="6" t="n">
        <v>406.3881</v>
      </c>
      <c r="H2802" s="6">
        <f>F2802*G2802</f>
        <v/>
      </c>
      <c r="I2802">
        <f>_xlfn.XLOOKUP(A2802,MktTitle,MktCat,"n/a")</f>
        <v/>
      </c>
      <c r="J2802" s="3">
        <f>_xlfn.XLOOKUP(A2802,MktTitle,MktTotVol,0)</f>
        <v/>
      </c>
      <c r="K2802">
        <f>IF(H2802&gt;WhaleThreshold,"WHALE","")</f>
        <v/>
      </c>
    </row>
    <row r="2803">
      <c r="A2803" t="inlineStr">
        <is>
          <t>Will Portugal win the 2026 FIFA World Cup?</t>
        </is>
      </c>
      <c r="B2803" s="4" t="n">
        <v>46206</v>
      </c>
      <c r="C2803" s="5" t="n">
        <v>46206.0669212963</v>
      </c>
      <c r="D2803" t="inlineStr">
        <is>
          <t>SELL</t>
        </is>
      </c>
      <c r="E2803" t="inlineStr">
        <is>
          <t>Yes</t>
        </is>
      </c>
      <c r="F2803" s="2" t="n">
        <v>0.064</v>
      </c>
      <c r="G2803" s="6" t="n">
        <v>138.88</v>
      </c>
      <c r="H2803" s="6">
        <f>F2803*G2803</f>
        <v/>
      </c>
      <c r="I2803">
        <f>_xlfn.XLOOKUP(A2803,MktTitle,MktCat,"n/a")</f>
        <v/>
      </c>
      <c r="J2803" s="3">
        <f>_xlfn.XLOOKUP(A2803,MktTitle,MktTotVol,0)</f>
        <v/>
      </c>
      <c r="K2803">
        <f>IF(H2803&gt;WhaleThreshold,"WHALE","")</f>
        <v/>
      </c>
    </row>
    <row r="2804">
      <c r="A2804" t="inlineStr">
        <is>
          <t>Will Portugal win the 2026 FIFA World Cup?</t>
        </is>
      </c>
      <c r="B2804" s="4" t="n">
        <v>46206</v>
      </c>
      <c r="C2804" s="5" t="n">
        <v>46206.06675925926</v>
      </c>
      <c r="D2804" t="inlineStr">
        <is>
          <t>BUY</t>
        </is>
      </c>
      <c r="E2804" t="inlineStr">
        <is>
          <t>Yes</t>
        </is>
      </c>
      <c r="F2804" s="2" t="n">
        <v>0.0664</v>
      </c>
      <c r="G2804" s="6" t="n">
        <v>593.9</v>
      </c>
      <c r="H2804" s="6">
        <f>F2804*G2804</f>
        <v/>
      </c>
      <c r="I2804">
        <f>_xlfn.XLOOKUP(A2804,MktTitle,MktCat,"n/a")</f>
        <v/>
      </c>
      <c r="J2804" s="3">
        <f>_xlfn.XLOOKUP(A2804,MktTitle,MktTotVol,0)</f>
        <v/>
      </c>
      <c r="K2804">
        <f>IF(H2804&gt;WhaleThreshold,"WHALE","")</f>
        <v/>
      </c>
    </row>
    <row r="2805">
      <c r="A2805" t="inlineStr">
        <is>
          <t>Will Portugal win the 2026 FIFA World Cup?</t>
        </is>
      </c>
      <c r="B2805" s="4" t="n">
        <v>46206</v>
      </c>
      <c r="C2805" s="5" t="n">
        <v>46206.06668981481</v>
      </c>
      <c r="D2805" t="inlineStr">
        <is>
          <t>BUY</t>
        </is>
      </c>
      <c r="E2805" t="inlineStr">
        <is>
          <t>Yes</t>
        </is>
      </c>
      <c r="F2805" s="2" t="n">
        <v>0.066</v>
      </c>
      <c r="G2805" s="6" t="n">
        <v>23.48</v>
      </c>
      <c r="H2805" s="6">
        <f>F2805*G2805</f>
        <v/>
      </c>
      <c r="I2805">
        <f>_xlfn.XLOOKUP(A2805,MktTitle,MktCat,"n/a")</f>
        <v/>
      </c>
      <c r="J2805" s="3">
        <f>_xlfn.XLOOKUP(A2805,MktTitle,MktTotVol,0)</f>
        <v/>
      </c>
      <c r="K2805">
        <f>IF(H2805&gt;WhaleThreshold,"WHALE","")</f>
        <v/>
      </c>
    </row>
    <row r="2806">
      <c r="A2806" t="inlineStr">
        <is>
          <t>Will Portugal win the 2026 FIFA World Cup?</t>
        </is>
      </c>
      <c r="B2806" s="4" t="n">
        <v>46206</v>
      </c>
      <c r="C2806" s="5" t="n">
        <v>46206.06664351852</v>
      </c>
      <c r="D2806" t="inlineStr">
        <is>
          <t>BUY</t>
        </is>
      </c>
      <c r="E2806" t="inlineStr">
        <is>
          <t>Yes</t>
        </is>
      </c>
      <c r="F2806" s="2" t="n">
        <v>0.066</v>
      </c>
      <c r="G2806" s="6" t="n">
        <v>75.7576</v>
      </c>
      <c r="H2806" s="6">
        <f>F2806*G2806</f>
        <v/>
      </c>
      <c r="I2806">
        <f>_xlfn.XLOOKUP(A2806,MktTitle,MktCat,"n/a")</f>
        <v/>
      </c>
      <c r="J2806" s="3">
        <f>_xlfn.XLOOKUP(A2806,MktTitle,MktTotVol,0)</f>
        <v/>
      </c>
      <c r="K2806">
        <f>IF(H2806&gt;WhaleThreshold,"WHALE","")</f>
        <v/>
      </c>
    </row>
    <row r="2807">
      <c r="A2807" t="inlineStr">
        <is>
          <t>Will Portugal win the 2026 FIFA World Cup?</t>
        </is>
      </c>
      <c r="B2807" s="4" t="n">
        <v>46206</v>
      </c>
      <c r="C2807" s="5" t="n">
        <v>46206.06633101852</v>
      </c>
      <c r="D2807" t="inlineStr">
        <is>
          <t>BUY</t>
        </is>
      </c>
      <c r="E2807" t="inlineStr">
        <is>
          <t>Yes</t>
        </is>
      </c>
      <c r="F2807" s="2" t="n">
        <v>0.067</v>
      </c>
      <c r="G2807" s="6" t="n">
        <v>144.7761</v>
      </c>
      <c r="H2807" s="6">
        <f>F2807*G2807</f>
        <v/>
      </c>
      <c r="I2807">
        <f>_xlfn.XLOOKUP(A2807,MktTitle,MktCat,"n/a")</f>
        <v/>
      </c>
      <c r="J2807" s="3">
        <f>_xlfn.XLOOKUP(A2807,MktTitle,MktTotVol,0)</f>
        <v/>
      </c>
      <c r="K2807">
        <f>IF(H2807&gt;WhaleThreshold,"WHALE","")</f>
        <v/>
      </c>
    </row>
    <row r="2808">
      <c r="A2808" t="inlineStr">
        <is>
          <t>Will Portugal win the 2026 FIFA World Cup?</t>
        </is>
      </c>
      <c r="B2808" s="4" t="n">
        <v>46206</v>
      </c>
      <c r="C2808" s="5" t="n">
        <v>46206.06622685185</v>
      </c>
      <c r="D2808" t="inlineStr">
        <is>
          <t>BUY</t>
        </is>
      </c>
      <c r="E2808" t="inlineStr">
        <is>
          <t>Yes</t>
        </is>
      </c>
      <c r="F2808" s="2" t="n">
        <v>0.0664</v>
      </c>
      <c r="G2808" s="6" t="n">
        <v>219.3512</v>
      </c>
      <c r="H2808" s="6">
        <f>F2808*G2808</f>
        <v/>
      </c>
      <c r="I2808">
        <f>_xlfn.XLOOKUP(A2808,MktTitle,MktCat,"n/a")</f>
        <v/>
      </c>
      <c r="J2808" s="3">
        <f>_xlfn.XLOOKUP(A2808,MktTitle,MktTotVol,0)</f>
        <v/>
      </c>
      <c r="K2808">
        <f>IF(H2808&gt;WhaleThreshold,"WHALE","")</f>
        <v/>
      </c>
    </row>
    <row r="2809">
      <c r="A2809" t="inlineStr">
        <is>
          <t>Will Portugal win the 2026 FIFA World Cup?</t>
        </is>
      </c>
      <c r="B2809" s="4" t="n">
        <v>46206</v>
      </c>
      <c r="C2809" s="5" t="n">
        <v>46206.06601851852</v>
      </c>
      <c r="D2809" t="inlineStr">
        <is>
          <t>BUY</t>
        </is>
      </c>
      <c r="E2809" t="inlineStr">
        <is>
          <t>Yes</t>
        </is>
      </c>
      <c r="F2809" s="2" t="n">
        <v>0.066</v>
      </c>
      <c r="G2809" s="6" t="n">
        <v>15.1515</v>
      </c>
      <c r="H2809" s="6">
        <f>F2809*G2809</f>
        <v/>
      </c>
      <c r="I2809">
        <f>_xlfn.XLOOKUP(A2809,MktTitle,MktCat,"n/a")</f>
        <v/>
      </c>
      <c r="J2809" s="3">
        <f>_xlfn.XLOOKUP(A2809,MktTitle,MktTotVol,0)</f>
        <v/>
      </c>
      <c r="K2809">
        <f>IF(H2809&gt;WhaleThreshold,"WHALE","")</f>
        <v/>
      </c>
    </row>
    <row r="2810">
      <c r="A2810" t="inlineStr">
        <is>
          <t>Will Portugal win the 2026 FIFA World Cup?</t>
        </is>
      </c>
      <c r="B2810" s="4" t="n">
        <v>46206</v>
      </c>
      <c r="C2810" s="5" t="n">
        <v>46206.06587962963</v>
      </c>
      <c r="D2810" t="inlineStr">
        <is>
          <t>BUY</t>
        </is>
      </c>
      <c r="E2810" t="inlineStr">
        <is>
          <t>Yes</t>
        </is>
      </c>
      <c r="F2810" s="2" t="n">
        <v>0.065</v>
      </c>
      <c r="G2810" s="6" t="n">
        <v>58.62</v>
      </c>
      <c r="H2810" s="6">
        <f>F2810*G2810</f>
        <v/>
      </c>
      <c r="I2810">
        <f>_xlfn.XLOOKUP(A2810,MktTitle,MktCat,"n/a")</f>
        <v/>
      </c>
      <c r="J2810" s="3">
        <f>_xlfn.XLOOKUP(A2810,MktTitle,MktTotVol,0)</f>
        <v/>
      </c>
      <c r="K2810">
        <f>IF(H2810&gt;WhaleThreshold,"WHALE","")</f>
        <v/>
      </c>
    </row>
    <row r="2811">
      <c r="A2811" t="inlineStr">
        <is>
          <t>Will Portugal win the 2026 FIFA World Cup?</t>
        </is>
      </c>
      <c r="B2811" s="4" t="n">
        <v>46206</v>
      </c>
      <c r="C2811" s="5" t="n">
        <v>46206.06585648148</v>
      </c>
      <c r="D2811" t="inlineStr">
        <is>
          <t>BUY</t>
        </is>
      </c>
      <c r="E2811" t="inlineStr">
        <is>
          <t>Yes</t>
        </is>
      </c>
      <c r="F2811" s="2" t="n">
        <v>0.064</v>
      </c>
      <c r="G2811" s="6" t="n">
        <v>3206</v>
      </c>
      <c r="H2811" s="6">
        <f>F2811*G2811</f>
        <v/>
      </c>
      <c r="I2811">
        <f>_xlfn.XLOOKUP(A2811,MktTitle,MktCat,"n/a")</f>
        <v/>
      </c>
      <c r="J2811" s="3">
        <f>_xlfn.XLOOKUP(A2811,MktTitle,MktTotVol,0)</f>
        <v/>
      </c>
      <c r="K2811">
        <f>IF(H2811&gt;WhaleThreshold,"WHALE","")</f>
        <v/>
      </c>
    </row>
    <row r="2812">
      <c r="A2812" t="inlineStr">
        <is>
          <t>Will Portugal win the 2026 FIFA World Cup?</t>
        </is>
      </c>
      <c r="B2812" s="4" t="n">
        <v>46206</v>
      </c>
      <c r="C2812" s="5" t="n">
        <v>46206.06533564815</v>
      </c>
      <c r="D2812" t="inlineStr">
        <is>
          <t>BUY</t>
        </is>
      </c>
      <c r="E2812" t="inlineStr">
        <is>
          <t>Yes</t>
        </is>
      </c>
      <c r="F2812" s="2" t="n">
        <v>0.066</v>
      </c>
      <c r="G2812" s="6" t="n">
        <v>12</v>
      </c>
      <c r="H2812" s="6">
        <f>F2812*G2812</f>
        <v/>
      </c>
      <c r="I2812">
        <f>_xlfn.XLOOKUP(A2812,MktTitle,MktCat,"n/a")</f>
        <v/>
      </c>
      <c r="J2812" s="3">
        <f>_xlfn.XLOOKUP(A2812,MktTitle,MktTotVol,0)</f>
        <v/>
      </c>
      <c r="K2812">
        <f>IF(H2812&gt;WhaleThreshold,"WHALE","")</f>
        <v/>
      </c>
    </row>
    <row r="2813">
      <c r="A2813" t="inlineStr">
        <is>
          <t>Will Portugal win the 2026 FIFA World Cup?</t>
        </is>
      </c>
      <c r="B2813" s="4" t="n">
        <v>46206</v>
      </c>
      <c r="C2813" s="5" t="n">
        <v>46206.06533564815</v>
      </c>
      <c r="D2813" t="inlineStr">
        <is>
          <t>SELL</t>
        </is>
      </c>
      <c r="E2813" t="inlineStr">
        <is>
          <t>Yes</t>
        </is>
      </c>
      <c r="F2813" s="2" t="n">
        <v>0.063</v>
      </c>
      <c r="G2813" s="6" t="n">
        <v>78.13</v>
      </c>
      <c r="H2813" s="6">
        <f>F2813*G2813</f>
        <v/>
      </c>
      <c r="I2813">
        <f>_xlfn.XLOOKUP(A2813,MktTitle,MktCat,"n/a")</f>
        <v/>
      </c>
      <c r="J2813" s="3">
        <f>_xlfn.XLOOKUP(A2813,MktTitle,MktTotVol,0)</f>
        <v/>
      </c>
      <c r="K2813">
        <f>IF(H2813&gt;WhaleThreshold,"WHALE","")</f>
        <v/>
      </c>
    </row>
    <row r="2814">
      <c r="A2814" t="inlineStr">
        <is>
          <t>Will Portugal win the 2026 FIFA World Cup?</t>
        </is>
      </c>
      <c r="B2814" s="4" t="n">
        <v>46206</v>
      </c>
      <c r="C2814" s="5" t="n">
        <v>46206.06521990741</v>
      </c>
      <c r="D2814" t="inlineStr">
        <is>
          <t>SELL</t>
        </is>
      </c>
      <c r="E2814" t="inlineStr">
        <is>
          <t>Yes</t>
        </is>
      </c>
      <c r="F2814" s="2" t="n">
        <v>0.0634</v>
      </c>
      <c r="G2814" s="6" t="n">
        <v>242.66</v>
      </c>
      <c r="H2814" s="6">
        <f>F2814*G2814</f>
        <v/>
      </c>
      <c r="I2814">
        <f>_xlfn.XLOOKUP(A2814,MktTitle,MktCat,"n/a")</f>
        <v/>
      </c>
      <c r="J2814" s="3">
        <f>_xlfn.XLOOKUP(A2814,MktTitle,MktTotVol,0)</f>
        <v/>
      </c>
      <c r="K2814">
        <f>IF(H2814&gt;WhaleThreshold,"WHALE","")</f>
        <v/>
      </c>
    </row>
    <row r="2815">
      <c r="A2815" t="inlineStr">
        <is>
          <t>Will Portugal win the 2026 FIFA World Cup?</t>
        </is>
      </c>
      <c r="B2815" s="4" t="n">
        <v>46206</v>
      </c>
      <c r="C2815" s="5" t="n">
        <v>46206.06512731482</v>
      </c>
      <c r="D2815" t="inlineStr">
        <is>
          <t>BUY</t>
        </is>
      </c>
      <c r="E2815" t="inlineStr">
        <is>
          <t>Yes</t>
        </is>
      </c>
      <c r="F2815" s="2" t="n">
        <v>0.0674</v>
      </c>
      <c r="G2815" s="6" t="n">
        <v>1788.26</v>
      </c>
      <c r="H2815" s="6">
        <f>F2815*G2815</f>
        <v/>
      </c>
      <c r="I2815">
        <f>_xlfn.XLOOKUP(A2815,MktTitle,MktCat,"n/a")</f>
        <v/>
      </c>
      <c r="J2815" s="3">
        <f>_xlfn.XLOOKUP(A2815,MktTitle,MktTotVol,0)</f>
        <v/>
      </c>
      <c r="K2815">
        <f>IF(H2815&gt;WhaleThreshold,"WHALE","")</f>
        <v/>
      </c>
    </row>
    <row r="2816">
      <c r="A2816" t="inlineStr">
        <is>
          <t>Will Portugal win the 2026 FIFA World Cup?</t>
        </is>
      </c>
      <c r="B2816" s="4" t="n">
        <v>46206</v>
      </c>
      <c r="C2816" s="5" t="n">
        <v>46206.06512731482</v>
      </c>
      <c r="D2816" t="inlineStr">
        <is>
          <t>BUY</t>
        </is>
      </c>
      <c r="E2816" t="inlineStr">
        <is>
          <t>Yes</t>
        </is>
      </c>
      <c r="F2816" s="2" t="n">
        <v>0.065</v>
      </c>
      <c r="G2816" s="6" t="n">
        <v>5</v>
      </c>
      <c r="H2816" s="6">
        <f>F2816*G2816</f>
        <v/>
      </c>
      <c r="I2816">
        <f>_xlfn.XLOOKUP(A2816,MktTitle,MktCat,"n/a")</f>
        <v/>
      </c>
      <c r="J2816" s="3">
        <f>_xlfn.XLOOKUP(A2816,MktTitle,MktTotVol,0)</f>
        <v/>
      </c>
      <c r="K2816">
        <f>IF(H2816&gt;WhaleThreshold,"WHALE","")</f>
        <v/>
      </c>
    </row>
    <row r="2817">
      <c r="A2817" t="inlineStr">
        <is>
          <t>Will Portugal win the 2026 FIFA World Cup?</t>
        </is>
      </c>
      <c r="B2817" s="4" t="n">
        <v>46206</v>
      </c>
      <c r="C2817" s="5" t="n">
        <v>46206.06505787037</v>
      </c>
      <c r="D2817" t="inlineStr">
        <is>
          <t>BUY</t>
        </is>
      </c>
      <c r="E2817" t="inlineStr">
        <is>
          <t>Yes</t>
        </is>
      </c>
      <c r="F2817" s="2" t="n">
        <v>0.065</v>
      </c>
      <c r="G2817" s="6" t="n">
        <v>615.3846</v>
      </c>
      <c r="H2817" s="6">
        <f>F2817*G2817</f>
        <v/>
      </c>
      <c r="I2817">
        <f>_xlfn.XLOOKUP(A2817,MktTitle,MktCat,"n/a")</f>
        <v/>
      </c>
      <c r="J2817" s="3">
        <f>_xlfn.XLOOKUP(A2817,MktTitle,MktTotVol,0)</f>
        <v/>
      </c>
      <c r="K2817">
        <f>IF(H2817&gt;WhaleThreshold,"WHALE","")</f>
        <v/>
      </c>
    </row>
    <row r="2818">
      <c r="A2818" t="inlineStr">
        <is>
          <t>Will Portugal win the 2026 FIFA World Cup?</t>
        </is>
      </c>
      <c r="B2818" s="4" t="n">
        <v>46206</v>
      </c>
      <c r="C2818" s="5" t="n">
        <v>46206.06497685185</v>
      </c>
      <c r="D2818" t="inlineStr">
        <is>
          <t>BUY</t>
        </is>
      </c>
      <c r="E2818" t="inlineStr">
        <is>
          <t>Yes</t>
        </is>
      </c>
      <c r="F2818" s="2" t="n">
        <v>0.065</v>
      </c>
      <c r="G2818" s="6" t="n">
        <v>16.9231</v>
      </c>
      <c r="H2818" s="6">
        <f>F2818*G2818</f>
        <v/>
      </c>
      <c r="I2818">
        <f>_xlfn.XLOOKUP(A2818,MktTitle,MktCat,"n/a")</f>
        <v/>
      </c>
      <c r="J2818" s="3">
        <f>_xlfn.XLOOKUP(A2818,MktTitle,MktTotVol,0)</f>
        <v/>
      </c>
      <c r="K2818">
        <f>IF(H2818&gt;WhaleThreshold,"WHALE","")</f>
        <v/>
      </c>
    </row>
    <row r="2819">
      <c r="A2819" t="inlineStr">
        <is>
          <t>Will Portugal win the 2026 FIFA World Cup?</t>
        </is>
      </c>
      <c r="B2819" s="4" t="n">
        <v>46206</v>
      </c>
      <c r="C2819" s="5" t="n">
        <v>46206.0649537037</v>
      </c>
      <c r="D2819" t="inlineStr">
        <is>
          <t>BUY</t>
        </is>
      </c>
      <c r="E2819" t="inlineStr">
        <is>
          <t>Yes</t>
        </is>
      </c>
      <c r="F2819" s="2" t="n">
        <v>0.065</v>
      </c>
      <c r="G2819" s="6" t="n">
        <v>30</v>
      </c>
      <c r="H2819" s="6">
        <f>F2819*G2819</f>
        <v/>
      </c>
      <c r="I2819">
        <f>_xlfn.XLOOKUP(A2819,MktTitle,MktCat,"n/a")</f>
        <v/>
      </c>
      <c r="J2819" s="3">
        <f>_xlfn.XLOOKUP(A2819,MktTitle,MktTotVol,0)</f>
        <v/>
      </c>
      <c r="K2819">
        <f>IF(H2819&gt;WhaleThreshold,"WHALE","")</f>
        <v/>
      </c>
    </row>
    <row r="2820">
      <c r="A2820" t="inlineStr">
        <is>
          <t>Will Portugal win the 2026 FIFA World Cup?</t>
        </is>
      </c>
      <c r="B2820" s="4" t="n">
        <v>46206</v>
      </c>
      <c r="C2820" s="5" t="n">
        <v>46206.0649537037</v>
      </c>
      <c r="D2820" t="inlineStr">
        <is>
          <t>BUY</t>
        </is>
      </c>
      <c r="E2820" t="inlineStr">
        <is>
          <t>Yes</t>
        </is>
      </c>
      <c r="F2820" s="2" t="n">
        <v>0.065</v>
      </c>
      <c r="G2820" s="6" t="n">
        <v>30</v>
      </c>
      <c r="H2820" s="6">
        <f>F2820*G2820</f>
        <v/>
      </c>
      <c r="I2820">
        <f>_xlfn.XLOOKUP(A2820,MktTitle,MktCat,"n/a")</f>
        <v/>
      </c>
      <c r="J2820" s="3">
        <f>_xlfn.XLOOKUP(A2820,MktTitle,MktTotVol,0)</f>
        <v/>
      </c>
      <c r="K2820">
        <f>IF(H2820&gt;WhaleThreshold,"WHALE","")</f>
        <v/>
      </c>
    </row>
    <row r="2821">
      <c r="A2821" t="inlineStr">
        <is>
          <t>Will Portugal win the 2026 FIFA World Cup?</t>
        </is>
      </c>
      <c r="B2821" s="4" t="n">
        <v>46206</v>
      </c>
      <c r="C2821" s="5" t="n">
        <v>46206.06488425926</v>
      </c>
      <c r="D2821" t="inlineStr">
        <is>
          <t>BUY</t>
        </is>
      </c>
      <c r="E2821" t="inlineStr">
        <is>
          <t>Yes</t>
        </is>
      </c>
      <c r="F2821" s="2" t="n">
        <v>0.065</v>
      </c>
      <c r="G2821" s="6" t="n">
        <v>70.92310000000001</v>
      </c>
      <c r="H2821" s="6">
        <f>F2821*G2821</f>
        <v/>
      </c>
      <c r="I2821">
        <f>_xlfn.XLOOKUP(A2821,MktTitle,MktCat,"n/a")</f>
        <v/>
      </c>
      <c r="J2821" s="3">
        <f>_xlfn.XLOOKUP(A2821,MktTitle,MktTotVol,0)</f>
        <v/>
      </c>
      <c r="K2821">
        <f>IF(H2821&gt;WhaleThreshold,"WHALE","")</f>
        <v/>
      </c>
    </row>
    <row r="2822">
      <c r="A2822" t="inlineStr">
        <is>
          <t>Will Portugal win the 2026 FIFA World Cup?</t>
        </is>
      </c>
      <c r="B2822" s="4" t="n">
        <v>46206</v>
      </c>
      <c r="C2822" s="5" t="n">
        <v>46206.0646412037</v>
      </c>
      <c r="D2822" t="inlineStr">
        <is>
          <t>SELL</t>
        </is>
      </c>
      <c r="E2822" t="inlineStr">
        <is>
          <t>Yes</t>
        </is>
      </c>
      <c r="F2822" s="2" t="n">
        <v>0.063</v>
      </c>
      <c r="G2822" s="6" t="n">
        <v>4938.27</v>
      </c>
      <c r="H2822" s="6">
        <f>F2822*G2822</f>
        <v/>
      </c>
      <c r="I2822">
        <f>_xlfn.XLOOKUP(A2822,MktTitle,MktCat,"n/a")</f>
        <v/>
      </c>
      <c r="J2822" s="3">
        <f>_xlfn.XLOOKUP(A2822,MktTitle,MktTotVol,0)</f>
        <v/>
      </c>
      <c r="K2822">
        <f>IF(H2822&gt;WhaleThreshold,"WHALE","")</f>
        <v/>
      </c>
    </row>
    <row r="2823">
      <c r="A2823" t="inlineStr">
        <is>
          <t>Will Portugal win the 2026 FIFA World Cup?</t>
        </is>
      </c>
      <c r="B2823" s="4" t="n">
        <v>46206</v>
      </c>
      <c r="C2823" s="5" t="n">
        <v>46206.06459490741</v>
      </c>
      <c r="D2823" t="inlineStr">
        <is>
          <t>SELL</t>
        </is>
      </c>
      <c r="E2823" t="inlineStr">
        <is>
          <t>Yes</t>
        </is>
      </c>
      <c r="F2823" s="2" t="n">
        <v>0.065</v>
      </c>
      <c r="G2823" s="6" t="n">
        <v>1205</v>
      </c>
      <c r="H2823" s="6">
        <f>F2823*G2823</f>
        <v/>
      </c>
      <c r="I2823">
        <f>_xlfn.XLOOKUP(A2823,MktTitle,MktCat,"n/a")</f>
        <v/>
      </c>
      <c r="J2823" s="3">
        <f>_xlfn.XLOOKUP(A2823,MktTitle,MktTotVol,0)</f>
        <v/>
      </c>
      <c r="K2823">
        <f>IF(H2823&gt;WhaleThreshold,"WHALE","")</f>
        <v/>
      </c>
    </row>
    <row r="2824">
      <c r="A2824" t="inlineStr">
        <is>
          <t>Will Portugal win the 2026 FIFA World Cup?</t>
        </is>
      </c>
      <c r="B2824" s="4" t="n">
        <v>46206</v>
      </c>
      <c r="C2824" s="5" t="n">
        <v>46206.06439814815</v>
      </c>
      <c r="D2824" t="inlineStr">
        <is>
          <t>BUY</t>
        </is>
      </c>
      <c r="E2824" t="inlineStr">
        <is>
          <t>Yes</t>
        </is>
      </c>
      <c r="F2824" s="2" t="n">
        <v>0.067</v>
      </c>
      <c r="G2824" s="6" t="n">
        <v>144.88</v>
      </c>
      <c r="H2824" s="6">
        <f>F2824*G2824</f>
        <v/>
      </c>
      <c r="I2824">
        <f>_xlfn.XLOOKUP(A2824,MktTitle,MktCat,"n/a")</f>
        <v/>
      </c>
      <c r="J2824" s="3">
        <f>_xlfn.XLOOKUP(A2824,MktTitle,MktTotVol,0)</f>
        <v/>
      </c>
      <c r="K2824">
        <f>IF(H2824&gt;WhaleThreshold,"WHALE","")</f>
        <v/>
      </c>
    </row>
    <row r="2825">
      <c r="A2825" t="inlineStr">
        <is>
          <t>Will Portugal win the 2026 FIFA World Cup?</t>
        </is>
      </c>
      <c r="B2825" s="4" t="n">
        <v>46206</v>
      </c>
      <c r="C2825" s="5" t="n">
        <v>46206.06407407407</v>
      </c>
      <c r="D2825" t="inlineStr">
        <is>
          <t>SELL</t>
        </is>
      </c>
      <c r="E2825" t="inlineStr">
        <is>
          <t>Yes</t>
        </is>
      </c>
      <c r="F2825" s="2" t="n">
        <v>0.0633</v>
      </c>
      <c r="G2825" s="6" t="n">
        <v>8812.540000000001</v>
      </c>
      <c r="H2825" s="6">
        <f>F2825*G2825</f>
        <v/>
      </c>
      <c r="I2825">
        <f>_xlfn.XLOOKUP(A2825,MktTitle,MktCat,"n/a")</f>
        <v/>
      </c>
      <c r="J2825" s="3">
        <f>_xlfn.XLOOKUP(A2825,MktTitle,MktTotVol,0)</f>
        <v/>
      </c>
      <c r="K2825">
        <f>IF(H2825&gt;WhaleThreshold,"WHALE","")</f>
        <v/>
      </c>
    </row>
    <row r="2826">
      <c r="A2826" t="inlineStr">
        <is>
          <t>Will Portugal win the 2026 FIFA World Cup?</t>
        </is>
      </c>
      <c r="B2826" s="4" t="n">
        <v>46206</v>
      </c>
      <c r="C2826" s="5" t="n">
        <v>46206.06407407407</v>
      </c>
      <c r="D2826" t="inlineStr">
        <is>
          <t>BUY</t>
        </is>
      </c>
      <c r="E2826" t="inlineStr">
        <is>
          <t>Yes</t>
        </is>
      </c>
      <c r="F2826" s="2" t="n">
        <v>0.0669</v>
      </c>
      <c r="G2826" s="6" t="n">
        <v>134.6269</v>
      </c>
      <c r="H2826" s="6">
        <f>F2826*G2826</f>
        <v/>
      </c>
      <c r="I2826">
        <f>_xlfn.XLOOKUP(A2826,MktTitle,MktCat,"n/a")</f>
        <v/>
      </c>
      <c r="J2826" s="3">
        <f>_xlfn.XLOOKUP(A2826,MktTitle,MktTotVol,0)</f>
        <v/>
      </c>
      <c r="K2826">
        <f>IF(H2826&gt;WhaleThreshold,"WHALE","")</f>
        <v/>
      </c>
    </row>
    <row r="2827">
      <c r="A2827" t="inlineStr">
        <is>
          <t>Will Portugal win the 2026 FIFA World Cup?</t>
        </is>
      </c>
      <c r="B2827" s="4" t="n">
        <v>46206</v>
      </c>
      <c r="C2827" s="5" t="n">
        <v>46206.06398148148</v>
      </c>
      <c r="D2827" t="inlineStr">
        <is>
          <t>BUY</t>
        </is>
      </c>
      <c r="E2827" t="inlineStr">
        <is>
          <t>Yes</t>
        </is>
      </c>
      <c r="F2827" s="2" t="n">
        <v>0.065</v>
      </c>
      <c r="G2827" s="6" t="n">
        <v>2488.96</v>
      </c>
      <c r="H2827" s="6">
        <f>F2827*G2827</f>
        <v/>
      </c>
      <c r="I2827">
        <f>_xlfn.XLOOKUP(A2827,MktTitle,MktCat,"n/a")</f>
        <v/>
      </c>
      <c r="J2827" s="3">
        <f>_xlfn.XLOOKUP(A2827,MktTitle,MktTotVol,0)</f>
        <v/>
      </c>
      <c r="K2827">
        <f>IF(H2827&gt;WhaleThreshold,"WHALE","")</f>
        <v/>
      </c>
    </row>
    <row r="2828">
      <c r="A2828" t="inlineStr">
        <is>
          <t>Will Portugal win the 2026 FIFA World Cup?</t>
        </is>
      </c>
      <c r="B2828" s="4" t="n">
        <v>46206</v>
      </c>
      <c r="C2828" s="5" t="n">
        <v>46206.06383101852</v>
      </c>
      <c r="D2828" t="inlineStr">
        <is>
          <t>BUY</t>
        </is>
      </c>
      <c r="E2828" t="inlineStr">
        <is>
          <t>Yes</t>
        </is>
      </c>
      <c r="F2828" s="2" t="n">
        <v>0.065</v>
      </c>
      <c r="G2828" s="6" t="n">
        <v>13.01</v>
      </c>
      <c r="H2828" s="6">
        <f>F2828*G2828</f>
        <v/>
      </c>
      <c r="I2828">
        <f>_xlfn.XLOOKUP(A2828,MktTitle,MktCat,"n/a")</f>
        <v/>
      </c>
      <c r="J2828" s="3">
        <f>_xlfn.XLOOKUP(A2828,MktTitle,MktTotVol,0)</f>
        <v/>
      </c>
      <c r="K2828">
        <f>IF(H2828&gt;WhaleThreshold,"WHALE","")</f>
        <v/>
      </c>
    </row>
    <row r="2829">
      <c r="A2829" t="inlineStr">
        <is>
          <t>Will Portugal win the 2026 FIFA World Cup?</t>
        </is>
      </c>
      <c r="B2829" s="4" t="n">
        <v>46206</v>
      </c>
      <c r="C2829" s="5" t="n">
        <v>46206.06376157407</v>
      </c>
      <c r="D2829" t="inlineStr">
        <is>
          <t>BUY</t>
        </is>
      </c>
      <c r="E2829" t="inlineStr">
        <is>
          <t>Yes</t>
        </is>
      </c>
      <c r="F2829" s="2" t="n">
        <v>0.065</v>
      </c>
      <c r="G2829" s="6" t="n">
        <v>15.3846</v>
      </c>
      <c r="H2829" s="6">
        <f>F2829*G2829</f>
        <v/>
      </c>
      <c r="I2829">
        <f>_xlfn.XLOOKUP(A2829,MktTitle,MktCat,"n/a")</f>
        <v/>
      </c>
      <c r="J2829" s="3">
        <f>_xlfn.XLOOKUP(A2829,MktTitle,MktTotVol,0)</f>
        <v/>
      </c>
      <c r="K2829">
        <f>IF(H2829&gt;WhaleThreshold,"WHALE","")</f>
        <v/>
      </c>
    </row>
    <row r="2830">
      <c r="A2830" t="inlineStr">
        <is>
          <t>Will Portugal win the 2026 FIFA World Cup?</t>
        </is>
      </c>
      <c r="B2830" s="4" t="n">
        <v>46206</v>
      </c>
      <c r="C2830" s="5" t="n">
        <v>46206.06363425926</v>
      </c>
      <c r="D2830" t="inlineStr">
        <is>
          <t>BUY</t>
        </is>
      </c>
      <c r="E2830" t="inlineStr">
        <is>
          <t>Yes</t>
        </is>
      </c>
      <c r="F2830" s="2" t="n">
        <v>0.065</v>
      </c>
      <c r="G2830" s="6" t="n">
        <v>461.5385</v>
      </c>
      <c r="H2830" s="6">
        <f>F2830*G2830</f>
        <v/>
      </c>
      <c r="I2830">
        <f>_xlfn.XLOOKUP(A2830,MktTitle,MktCat,"n/a")</f>
        <v/>
      </c>
      <c r="J2830" s="3">
        <f>_xlfn.XLOOKUP(A2830,MktTitle,MktTotVol,0)</f>
        <v/>
      </c>
      <c r="K2830">
        <f>IF(H2830&gt;WhaleThreshold,"WHALE","")</f>
        <v/>
      </c>
    </row>
    <row r="2831">
      <c r="A2831" t="inlineStr">
        <is>
          <t>Will Portugal win the 2026 FIFA World Cup?</t>
        </is>
      </c>
      <c r="B2831" s="4" t="n">
        <v>46206</v>
      </c>
      <c r="C2831" s="5" t="n">
        <v>46206.06359953704</v>
      </c>
      <c r="D2831" t="inlineStr">
        <is>
          <t>SELL</t>
        </is>
      </c>
      <c r="E2831" t="inlineStr">
        <is>
          <t>Yes</t>
        </is>
      </c>
      <c r="F2831" s="2" t="n">
        <v>0.064</v>
      </c>
      <c r="G2831" s="6" t="n">
        <v>44.24</v>
      </c>
      <c r="H2831" s="6">
        <f>F2831*G2831</f>
        <v/>
      </c>
      <c r="I2831">
        <f>_xlfn.XLOOKUP(A2831,MktTitle,MktCat,"n/a")</f>
        <v/>
      </c>
      <c r="J2831" s="3">
        <f>_xlfn.XLOOKUP(A2831,MktTitle,MktTotVol,0)</f>
        <v/>
      </c>
      <c r="K2831">
        <f>IF(H2831&gt;WhaleThreshold,"WHALE","")</f>
        <v/>
      </c>
    </row>
    <row r="2832">
      <c r="A2832" t="inlineStr">
        <is>
          <t>Will Portugal win the 2026 FIFA World Cup?</t>
        </is>
      </c>
      <c r="B2832" s="4" t="n">
        <v>46206</v>
      </c>
      <c r="C2832" s="5" t="n">
        <v>46206.06328703704</v>
      </c>
      <c r="D2832" t="inlineStr">
        <is>
          <t>SELL</t>
        </is>
      </c>
      <c r="E2832" t="inlineStr">
        <is>
          <t>Yes</t>
        </is>
      </c>
      <c r="F2832" s="2" t="n">
        <v>0.065</v>
      </c>
      <c r="G2832" s="6" t="n">
        <v>3278.69</v>
      </c>
      <c r="H2832" s="6">
        <f>F2832*G2832</f>
        <v/>
      </c>
      <c r="I2832">
        <f>_xlfn.XLOOKUP(A2832,MktTitle,MktCat,"n/a")</f>
        <v/>
      </c>
      <c r="J2832" s="3">
        <f>_xlfn.XLOOKUP(A2832,MktTitle,MktTotVol,0)</f>
        <v/>
      </c>
      <c r="K2832">
        <f>IF(H2832&gt;WhaleThreshold,"WHALE","")</f>
        <v/>
      </c>
    </row>
    <row r="2833">
      <c r="A2833" t="inlineStr">
        <is>
          <t>Will Portugal win the 2026 FIFA World Cup?</t>
        </is>
      </c>
      <c r="B2833" s="4" t="n">
        <v>46206</v>
      </c>
      <c r="C2833" s="5" t="n">
        <v>46206.06327546296</v>
      </c>
      <c r="D2833" t="inlineStr">
        <is>
          <t>SELL</t>
        </is>
      </c>
      <c r="E2833" t="inlineStr">
        <is>
          <t>Yes</t>
        </is>
      </c>
      <c r="F2833" s="2" t="n">
        <v>0.067</v>
      </c>
      <c r="G2833" s="6" t="n">
        <v>77.05</v>
      </c>
      <c r="H2833" s="6">
        <f>F2833*G2833</f>
        <v/>
      </c>
      <c r="I2833">
        <f>_xlfn.XLOOKUP(A2833,MktTitle,MktCat,"n/a")</f>
        <v/>
      </c>
      <c r="J2833" s="3">
        <f>_xlfn.XLOOKUP(A2833,MktTitle,MktTotVol,0)</f>
        <v/>
      </c>
      <c r="K2833">
        <f>IF(H2833&gt;WhaleThreshold,"WHALE","")</f>
        <v/>
      </c>
    </row>
    <row r="2834">
      <c r="A2834" t="inlineStr">
        <is>
          <t>Will Portugal win the 2026 FIFA World Cup?</t>
        </is>
      </c>
      <c r="B2834" s="4" t="n">
        <v>46206</v>
      </c>
      <c r="C2834" s="5" t="n">
        <v>46206.06268518518</v>
      </c>
      <c r="D2834" t="inlineStr">
        <is>
          <t>BUY</t>
        </is>
      </c>
      <c r="E2834" t="inlineStr">
        <is>
          <t>Yes</t>
        </is>
      </c>
      <c r="F2834" s="2" t="n">
        <v>0.068</v>
      </c>
      <c r="G2834" s="6" t="n">
        <v>2435.1471</v>
      </c>
      <c r="H2834" s="6">
        <f>F2834*G2834</f>
        <v/>
      </c>
      <c r="I2834">
        <f>_xlfn.XLOOKUP(A2834,MktTitle,MktCat,"n/a")</f>
        <v/>
      </c>
      <c r="J2834" s="3">
        <f>_xlfn.XLOOKUP(A2834,MktTitle,MktTotVol,0)</f>
        <v/>
      </c>
      <c r="K2834">
        <f>IF(H2834&gt;WhaleThreshold,"WHALE","")</f>
        <v/>
      </c>
    </row>
    <row r="2835">
      <c r="A2835" t="inlineStr">
        <is>
          <t>Will Portugal win the 2026 FIFA World Cup?</t>
        </is>
      </c>
      <c r="B2835" s="4" t="n">
        <v>46206</v>
      </c>
      <c r="C2835" s="5" t="n">
        <v>46206.06266203704</v>
      </c>
      <c r="D2835" t="inlineStr">
        <is>
          <t>SELL</t>
        </is>
      </c>
      <c r="E2835" t="inlineStr">
        <is>
          <t>Yes</t>
        </is>
      </c>
      <c r="F2835" s="2" t="n">
        <v>0.067</v>
      </c>
      <c r="G2835" s="6" t="n">
        <v>400</v>
      </c>
      <c r="H2835" s="6">
        <f>F2835*G2835</f>
        <v/>
      </c>
      <c r="I2835">
        <f>_xlfn.XLOOKUP(A2835,MktTitle,MktCat,"n/a")</f>
        <v/>
      </c>
      <c r="J2835" s="3">
        <f>_xlfn.XLOOKUP(A2835,MktTitle,MktTotVol,0)</f>
        <v/>
      </c>
      <c r="K2835">
        <f>IF(H2835&gt;WhaleThreshold,"WHALE","")</f>
        <v/>
      </c>
    </row>
    <row r="2836">
      <c r="A2836" t="inlineStr">
        <is>
          <t>Will Portugal win the 2026 FIFA World Cup?</t>
        </is>
      </c>
      <c r="B2836" s="4" t="n">
        <v>46206</v>
      </c>
      <c r="C2836" s="5" t="n">
        <v>46206.06255787037</v>
      </c>
      <c r="D2836" t="inlineStr">
        <is>
          <t>SELL</t>
        </is>
      </c>
      <c r="E2836" t="inlineStr">
        <is>
          <t>Yes</t>
        </is>
      </c>
      <c r="F2836" s="2" t="n">
        <v>0.067</v>
      </c>
      <c r="G2836" s="6" t="n">
        <v>120.68</v>
      </c>
      <c r="H2836" s="6">
        <f>F2836*G2836</f>
        <v/>
      </c>
      <c r="I2836">
        <f>_xlfn.XLOOKUP(A2836,MktTitle,MktCat,"n/a")</f>
        <v/>
      </c>
      <c r="J2836" s="3">
        <f>_xlfn.XLOOKUP(A2836,MktTitle,MktTotVol,0)</f>
        <v/>
      </c>
      <c r="K2836">
        <f>IF(H2836&gt;WhaleThreshold,"WHALE","")</f>
        <v/>
      </c>
    </row>
    <row r="2837">
      <c r="A2837" t="inlineStr">
        <is>
          <t>Will Portugal win the 2026 FIFA World Cup?</t>
        </is>
      </c>
      <c r="B2837" s="4" t="n">
        <v>46206</v>
      </c>
      <c r="C2837" s="5" t="n">
        <v>46206.06251157408</v>
      </c>
      <c r="D2837" t="inlineStr">
        <is>
          <t>SELL</t>
        </is>
      </c>
      <c r="E2837" t="inlineStr">
        <is>
          <t>Yes</t>
        </is>
      </c>
      <c r="F2837" s="2" t="n">
        <v>0.067</v>
      </c>
      <c r="G2837" s="6" t="n">
        <v>119.92</v>
      </c>
      <c r="H2837" s="6">
        <f>F2837*G2837</f>
        <v/>
      </c>
      <c r="I2837">
        <f>_xlfn.XLOOKUP(A2837,MktTitle,MktCat,"n/a")</f>
        <v/>
      </c>
      <c r="J2837" s="3">
        <f>_xlfn.XLOOKUP(A2837,MktTitle,MktTotVol,0)</f>
        <v/>
      </c>
      <c r="K2837">
        <f>IF(H2837&gt;WhaleThreshold,"WHALE","")</f>
        <v/>
      </c>
    </row>
    <row r="2838">
      <c r="A2838" t="inlineStr">
        <is>
          <t>Will Portugal win the 2026 FIFA World Cup?</t>
        </is>
      </c>
      <c r="B2838" s="4" t="n">
        <v>46206</v>
      </c>
      <c r="C2838" s="5" t="n">
        <v>46206.0624537037</v>
      </c>
      <c r="D2838" t="inlineStr">
        <is>
          <t>BUY</t>
        </is>
      </c>
      <c r="E2838" t="inlineStr">
        <is>
          <t>Yes</t>
        </is>
      </c>
      <c r="F2838" s="2" t="n">
        <v>0.068</v>
      </c>
      <c r="G2838" s="6" t="n">
        <v>220.5882</v>
      </c>
      <c r="H2838" s="6">
        <f>F2838*G2838</f>
        <v/>
      </c>
      <c r="I2838">
        <f>_xlfn.XLOOKUP(A2838,MktTitle,MktCat,"n/a")</f>
        <v/>
      </c>
      <c r="J2838" s="3">
        <f>_xlfn.XLOOKUP(A2838,MktTitle,MktTotVol,0)</f>
        <v/>
      </c>
      <c r="K2838">
        <f>IF(H2838&gt;WhaleThreshold,"WHALE","")</f>
        <v/>
      </c>
    </row>
    <row r="2839">
      <c r="A2839" t="inlineStr">
        <is>
          <t>Will Portugal win the 2026 FIFA World Cup?</t>
        </is>
      </c>
      <c r="B2839" s="4" t="n">
        <v>46206</v>
      </c>
      <c r="C2839" s="5" t="n">
        <v>46206.06237268518</v>
      </c>
      <c r="D2839" t="inlineStr">
        <is>
          <t>BUY</t>
        </is>
      </c>
      <c r="E2839" t="inlineStr">
        <is>
          <t>Yes</t>
        </is>
      </c>
      <c r="F2839" s="2" t="n">
        <v>0.068</v>
      </c>
      <c r="G2839" s="6" t="n">
        <v>117.6471</v>
      </c>
      <c r="H2839" s="6">
        <f>F2839*G2839</f>
        <v/>
      </c>
      <c r="I2839">
        <f>_xlfn.XLOOKUP(A2839,MktTitle,MktCat,"n/a")</f>
        <v/>
      </c>
      <c r="J2839" s="3">
        <f>_xlfn.XLOOKUP(A2839,MktTitle,MktTotVol,0)</f>
        <v/>
      </c>
      <c r="K2839">
        <f>IF(H2839&gt;WhaleThreshold,"WHALE","")</f>
        <v/>
      </c>
    </row>
    <row r="2840">
      <c r="A2840" t="inlineStr">
        <is>
          <t>Will Portugal win the 2026 FIFA World Cup?</t>
        </is>
      </c>
      <c r="B2840" s="4" t="n">
        <v>46206</v>
      </c>
      <c r="C2840" s="5" t="n">
        <v>46206.06231481482</v>
      </c>
      <c r="D2840" t="inlineStr">
        <is>
          <t>SELL</t>
        </is>
      </c>
      <c r="E2840" t="inlineStr">
        <is>
          <t>Yes</t>
        </is>
      </c>
      <c r="F2840" s="2" t="n">
        <v>0.067</v>
      </c>
      <c r="G2840" s="6" t="n">
        <v>180</v>
      </c>
      <c r="H2840" s="6">
        <f>F2840*G2840</f>
        <v/>
      </c>
      <c r="I2840">
        <f>_xlfn.XLOOKUP(A2840,MktTitle,MktCat,"n/a")</f>
        <v/>
      </c>
      <c r="J2840" s="3">
        <f>_xlfn.XLOOKUP(A2840,MktTitle,MktTotVol,0)</f>
        <v/>
      </c>
      <c r="K2840">
        <f>IF(H2840&gt;WhaleThreshold,"WHALE","")</f>
        <v/>
      </c>
    </row>
    <row r="2841">
      <c r="A2841" t="inlineStr">
        <is>
          <t>Will Portugal win the 2026 FIFA World Cup?</t>
        </is>
      </c>
      <c r="B2841" s="4" t="n">
        <v>46206</v>
      </c>
      <c r="C2841" s="5" t="n">
        <v>46206.06209490741</v>
      </c>
      <c r="D2841" t="inlineStr">
        <is>
          <t>SELL</t>
        </is>
      </c>
      <c r="E2841" t="inlineStr">
        <is>
          <t>No</t>
        </is>
      </c>
      <c r="F2841" s="2" t="n">
        <v>0.9320000000000001</v>
      </c>
      <c r="G2841" s="6" t="n">
        <v>22.6</v>
      </c>
      <c r="H2841" s="6">
        <f>F2841*G2841</f>
        <v/>
      </c>
      <c r="I2841">
        <f>_xlfn.XLOOKUP(A2841,MktTitle,MktCat,"n/a")</f>
        <v/>
      </c>
      <c r="J2841" s="3">
        <f>_xlfn.XLOOKUP(A2841,MktTitle,MktTotVol,0)</f>
        <v/>
      </c>
      <c r="K2841">
        <f>IF(H2841&gt;WhaleThreshold,"WHALE","")</f>
        <v/>
      </c>
    </row>
    <row r="2842">
      <c r="A2842" t="inlineStr">
        <is>
          <t>Will Portugal win the 2026 FIFA World Cup?</t>
        </is>
      </c>
      <c r="B2842" s="4" t="n">
        <v>46206</v>
      </c>
      <c r="C2842" s="5" t="n">
        <v>46206.06203703704</v>
      </c>
      <c r="D2842" t="inlineStr">
        <is>
          <t>BUY</t>
        </is>
      </c>
      <c r="E2842" t="inlineStr">
        <is>
          <t>Yes</t>
        </is>
      </c>
      <c r="F2842" s="2" t="n">
        <v>0.068</v>
      </c>
      <c r="G2842" s="6" t="n">
        <v>11.74</v>
      </c>
      <c r="H2842" s="6">
        <f>F2842*G2842</f>
        <v/>
      </c>
      <c r="I2842">
        <f>_xlfn.XLOOKUP(A2842,MktTitle,MktCat,"n/a")</f>
        <v/>
      </c>
      <c r="J2842" s="3">
        <f>_xlfn.XLOOKUP(A2842,MktTitle,MktTotVol,0)</f>
        <v/>
      </c>
      <c r="K2842">
        <f>IF(H2842&gt;WhaleThreshold,"WHALE","")</f>
        <v/>
      </c>
    </row>
    <row r="2843">
      <c r="A2843" t="inlineStr">
        <is>
          <t>Will Portugal win the 2026 FIFA World Cup?</t>
        </is>
      </c>
      <c r="B2843" s="4" t="n">
        <v>46206</v>
      </c>
      <c r="C2843" s="5" t="n">
        <v>46206.06196759259</v>
      </c>
      <c r="D2843" t="inlineStr">
        <is>
          <t>BUY</t>
        </is>
      </c>
      <c r="E2843" t="inlineStr">
        <is>
          <t>Yes</t>
        </is>
      </c>
      <c r="F2843" s="2" t="n">
        <v>0.068</v>
      </c>
      <c r="G2843" s="6" t="n">
        <v>29.4118</v>
      </c>
      <c r="H2843" s="6">
        <f>F2843*G2843</f>
        <v/>
      </c>
      <c r="I2843">
        <f>_xlfn.XLOOKUP(A2843,MktTitle,MktCat,"n/a")</f>
        <v/>
      </c>
      <c r="J2843" s="3">
        <f>_xlfn.XLOOKUP(A2843,MktTitle,MktTotVol,0)</f>
        <v/>
      </c>
      <c r="K2843">
        <f>IF(H2843&gt;WhaleThreshold,"WHALE","")</f>
        <v/>
      </c>
    </row>
    <row r="2844">
      <c r="A2844" t="inlineStr">
        <is>
          <t>Will Portugal win the 2026 FIFA World Cup?</t>
        </is>
      </c>
      <c r="B2844" s="4" t="n">
        <v>46206</v>
      </c>
      <c r="C2844" s="5" t="n">
        <v>46206.06196759259</v>
      </c>
      <c r="D2844" t="inlineStr">
        <is>
          <t>BUY</t>
        </is>
      </c>
      <c r="E2844" t="inlineStr">
        <is>
          <t>Yes</t>
        </is>
      </c>
      <c r="F2844" s="2" t="n">
        <v>0.068</v>
      </c>
      <c r="G2844" s="6" t="n">
        <v>64</v>
      </c>
      <c r="H2844" s="6">
        <f>F2844*G2844</f>
        <v/>
      </c>
      <c r="I2844">
        <f>_xlfn.XLOOKUP(A2844,MktTitle,MktCat,"n/a")</f>
        <v/>
      </c>
      <c r="J2844" s="3">
        <f>_xlfn.XLOOKUP(A2844,MktTitle,MktTotVol,0)</f>
        <v/>
      </c>
      <c r="K2844">
        <f>IF(H2844&gt;WhaleThreshold,"WHALE","")</f>
        <v/>
      </c>
    </row>
    <row r="2845">
      <c r="A2845" t="inlineStr">
        <is>
          <t>Will Portugal win the 2026 FIFA World Cup?</t>
        </is>
      </c>
      <c r="B2845" s="4" t="n">
        <v>46206</v>
      </c>
      <c r="C2845" s="5" t="n">
        <v>46206.06195601852</v>
      </c>
      <c r="D2845" t="inlineStr">
        <is>
          <t>BUY</t>
        </is>
      </c>
      <c r="E2845" t="inlineStr">
        <is>
          <t>Yes</t>
        </is>
      </c>
      <c r="F2845" s="2" t="n">
        <v>0.068</v>
      </c>
      <c r="G2845" s="6" t="n">
        <v>10.73</v>
      </c>
      <c r="H2845" s="6">
        <f>F2845*G2845</f>
        <v/>
      </c>
      <c r="I2845">
        <f>_xlfn.XLOOKUP(A2845,MktTitle,MktCat,"n/a")</f>
        <v/>
      </c>
      <c r="J2845" s="3">
        <f>_xlfn.XLOOKUP(A2845,MktTitle,MktTotVol,0)</f>
        <v/>
      </c>
      <c r="K2845">
        <f>IF(H2845&gt;WhaleThreshold,"WHALE","")</f>
        <v/>
      </c>
    </row>
    <row r="2846">
      <c r="A2846" t="inlineStr">
        <is>
          <t>Will Portugal win the 2026 FIFA World Cup?</t>
        </is>
      </c>
      <c r="B2846" s="4" t="n">
        <v>46206</v>
      </c>
      <c r="C2846" s="5" t="n">
        <v>46206.06186342592</v>
      </c>
      <c r="D2846" t="inlineStr">
        <is>
          <t>BUY</t>
        </is>
      </c>
      <c r="E2846" t="inlineStr">
        <is>
          <t>Yes</t>
        </is>
      </c>
      <c r="F2846" s="2" t="n">
        <v>0.06809999999999999</v>
      </c>
      <c r="G2846" s="6" t="n">
        <v>1016.6074</v>
      </c>
      <c r="H2846" s="6">
        <f>F2846*G2846</f>
        <v/>
      </c>
      <c r="I2846">
        <f>_xlfn.XLOOKUP(A2846,MktTitle,MktCat,"n/a")</f>
        <v/>
      </c>
      <c r="J2846" s="3">
        <f>_xlfn.XLOOKUP(A2846,MktTitle,MktTotVol,0)</f>
        <v/>
      </c>
      <c r="K2846">
        <f>IF(H2846&gt;WhaleThreshold,"WHALE","")</f>
        <v/>
      </c>
    </row>
    <row r="2847">
      <c r="A2847" t="inlineStr">
        <is>
          <t>Will Portugal win the 2026 FIFA World Cup?</t>
        </is>
      </c>
      <c r="B2847" s="4" t="n">
        <v>46206</v>
      </c>
      <c r="C2847" s="5" t="n">
        <v>46206.06182870371</v>
      </c>
      <c r="D2847" t="inlineStr">
        <is>
          <t>BUY</t>
        </is>
      </c>
      <c r="E2847" t="inlineStr">
        <is>
          <t>Yes</t>
        </is>
      </c>
      <c r="F2847" s="2" t="n">
        <v>0.068</v>
      </c>
      <c r="G2847" s="6" t="n">
        <v>698.6765</v>
      </c>
      <c r="H2847" s="6">
        <f>F2847*G2847</f>
        <v/>
      </c>
      <c r="I2847">
        <f>_xlfn.XLOOKUP(A2847,MktTitle,MktCat,"n/a")</f>
        <v/>
      </c>
      <c r="J2847" s="3">
        <f>_xlfn.XLOOKUP(A2847,MktTitle,MktTotVol,0)</f>
        <v/>
      </c>
      <c r="K2847">
        <f>IF(H2847&gt;WhaleThreshold,"WHALE","")</f>
        <v/>
      </c>
    </row>
    <row r="2848">
      <c r="A2848" t="inlineStr">
        <is>
          <t>Will Portugal win the 2026 FIFA World Cup?</t>
        </is>
      </c>
      <c r="B2848" s="4" t="n">
        <v>46206</v>
      </c>
      <c r="C2848" s="5" t="n">
        <v>46206.06178240741</v>
      </c>
      <c r="D2848" t="inlineStr">
        <is>
          <t>BUY</t>
        </is>
      </c>
      <c r="E2848" t="inlineStr">
        <is>
          <t>Yes</t>
        </is>
      </c>
      <c r="F2848" s="2" t="n">
        <v>0.068</v>
      </c>
      <c r="G2848" s="6" t="n">
        <v>117.43</v>
      </c>
      <c r="H2848" s="6">
        <f>F2848*G2848</f>
        <v/>
      </c>
      <c r="I2848">
        <f>_xlfn.XLOOKUP(A2848,MktTitle,MktCat,"n/a")</f>
        <v/>
      </c>
      <c r="J2848" s="3">
        <f>_xlfn.XLOOKUP(A2848,MktTitle,MktTotVol,0)</f>
        <v/>
      </c>
      <c r="K2848">
        <f>IF(H2848&gt;WhaleThreshold,"WHALE","")</f>
        <v/>
      </c>
    </row>
    <row r="2849">
      <c r="A2849" t="inlineStr">
        <is>
          <t>Will Portugal win the 2026 FIFA World Cup?</t>
        </is>
      </c>
      <c r="B2849" s="4" t="n">
        <v>46206</v>
      </c>
      <c r="C2849" s="5" t="n">
        <v>46206.06174768518</v>
      </c>
      <c r="D2849" t="inlineStr">
        <is>
          <t>BUY</t>
        </is>
      </c>
      <c r="E2849" t="inlineStr">
        <is>
          <t>Yes</t>
        </is>
      </c>
      <c r="F2849" s="2" t="n">
        <v>0.068</v>
      </c>
      <c r="G2849" s="6" t="n">
        <v>117.43</v>
      </c>
      <c r="H2849" s="6">
        <f>F2849*G2849</f>
        <v/>
      </c>
      <c r="I2849">
        <f>_xlfn.XLOOKUP(A2849,MktTitle,MktCat,"n/a")</f>
        <v/>
      </c>
      <c r="J2849" s="3">
        <f>_xlfn.XLOOKUP(A2849,MktTitle,MktTotVol,0)</f>
        <v/>
      </c>
      <c r="K2849">
        <f>IF(H2849&gt;WhaleThreshold,"WHALE","")</f>
        <v/>
      </c>
    </row>
    <row r="2850">
      <c r="A2850" t="inlineStr">
        <is>
          <t>Will Portugal win the 2026 FIFA World Cup?</t>
        </is>
      </c>
      <c r="B2850" s="4" t="n">
        <v>46206</v>
      </c>
      <c r="C2850" s="5" t="n">
        <v>46206.06172453704</v>
      </c>
      <c r="D2850" t="inlineStr">
        <is>
          <t>BUY</t>
        </is>
      </c>
      <c r="E2850" t="inlineStr">
        <is>
          <t>Yes</t>
        </is>
      </c>
      <c r="F2850" s="2" t="n">
        <v>0.068</v>
      </c>
      <c r="G2850" s="6" t="n">
        <v>9.9</v>
      </c>
      <c r="H2850" s="6">
        <f>F2850*G2850</f>
        <v/>
      </c>
      <c r="I2850">
        <f>_xlfn.XLOOKUP(A2850,MktTitle,MktCat,"n/a")</f>
        <v/>
      </c>
      <c r="J2850" s="3">
        <f>_xlfn.XLOOKUP(A2850,MktTitle,MktTotVol,0)</f>
        <v/>
      </c>
      <c r="K2850">
        <f>IF(H2850&gt;WhaleThreshold,"WHALE","")</f>
        <v/>
      </c>
    </row>
    <row r="2851">
      <c r="A2851" t="inlineStr">
        <is>
          <t>Will Portugal win the 2026 FIFA World Cup?</t>
        </is>
      </c>
      <c r="B2851" s="4" t="n">
        <v>46206</v>
      </c>
      <c r="C2851" s="5" t="n">
        <v>46206.06165509259</v>
      </c>
      <c r="D2851" t="inlineStr">
        <is>
          <t>BUY</t>
        </is>
      </c>
      <c r="E2851" t="inlineStr">
        <is>
          <t>Yes</t>
        </is>
      </c>
      <c r="F2851" s="2" t="n">
        <v>0.068</v>
      </c>
      <c r="G2851" s="6" t="n">
        <v>54.1176</v>
      </c>
      <c r="H2851" s="6">
        <f>F2851*G2851</f>
        <v/>
      </c>
      <c r="I2851">
        <f>_xlfn.XLOOKUP(A2851,MktTitle,MktCat,"n/a")</f>
        <v/>
      </c>
      <c r="J2851" s="3">
        <f>_xlfn.XLOOKUP(A2851,MktTitle,MktTotVol,0)</f>
        <v/>
      </c>
      <c r="K2851">
        <f>IF(H2851&gt;WhaleThreshold,"WHALE","")</f>
        <v/>
      </c>
    </row>
    <row r="2852">
      <c r="A2852" t="inlineStr">
        <is>
          <t>Will Portugal win the 2026 FIFA World Cup?</t>
        </is>
      </c>
      <c r="B2852" s="4" t="n">
        <v>46206</v>
      </c>
      <c r="C2852" s="5" t="n">
        <v>46206.06164351852</v>
      </c>
      <c r="D2852" t="inlineStr">
        <is>
          <t>SELL</t>
        </is>
      </c>
      <c r="E2852" t="inlineStr">
        <is>
          <t>Yes</t>
        </is>
      </c>
      <c r="F2852" s="2" t="n">
        <v>0.068</v>
      </c>
      <c r="G2852" s="6" t="n">
        <v>5552.94</v>
      </c>
      <c r="H2852" s="6">
        <f>F2852*G2852</f>
        <v/>
      </c>
      <c r="I2852">
        <f>_xlfn.XLOOKUP(A2852,MktTitle,MktCat,"n/a")</f>
        <v/>
      </c>
      <c r="J2852" s="3">
        <f>_xlfn.XLOOKUP(A2852,MktTitle,MktTotVol,0)</f>
        <v/>
      </c>
      <c r="K2852">
        <f>IF(H2852&gt;WhaleThreshold,"WHALE","")</f>
        <v/>
      </c>
    </row>
    <row r="2853">
      <c r="A2853" t="inlineStr">
        <is>
          <t>Will Portugal win the 2026 FIFA World Cup?</t>
        </is>
      </c>
      <c r="B2853" s="4" t="n">
        <v>46206</v>
      </c>
      <c r="C2853" s="5" t="n">
        <v>46206.06153935185</v>
      </c>
      <c r="D2853" t="inlineStr">
        <is>
          <t>SELL</t>
        </is>
      </c>
      <c r="E2853" t="inlineStr">
        <is>
          <t>Yes</t>
        </is>
      </c>
      <c r="F2853" s="2" t="n">
        <v>0.068</v>
      </c>
      <c r="G2853" s="6" t="n">
        <v>16</v>
      </c>
      <c r="H2853" s="6">
        <f>F2853*G2853</f>
        <v/>
      </c>
      <c r="I2853">
        <f>_xlfn.XLOOKUP(A2853,MktTitle,MktCat,"n/a")</f>
        <v/>
      </c>
      <c r="J2853" s="3">
        <f>_xlfn.XLOOKUP(A2853,MktTitle,MktTotVol,0)</f>
        <v/>
      </c>
      <c r="K2853">
        <f>IF(H2853&gt;WhaleThreshold,"WHALE","")</f>
        <v/>
      </c>
    </row>
    <row r="2854">
      <c r="A2854" t="inlineStr">
        <is>
          <t>Will Portugal win the 2026 FIFA World Cup?</t>
        </is>
      </c>
      <c r="B2854" s="4" t="n">
        <v>46206</v>
      </c>
      <c r="C2854" s="5" t="n">
        <v>46206.0612962963</v>
      </c>
      <c r="D2854" t="inlineStr">
        <is>
          <t>BUY</t>
        </is>
      </c>
      <c r="E2854" t="inlineStr">
        <is>
          <t>Yes</t>
        </is>
      </c>
      <c r="F2854" s="2" t="n">
        <v>0.06900000000000001</v>
      </c>
      <c r="G2854" s="6" t="n">
        <v>14.4928</v>
      </c>
      <c r="H2854" s="6">
        <f>F2854*G2854</f>
        <v/>
      </c>
      <c r="I2854">
        <f>_xlfn.XLOOKUP(A2854,MktTitle,MktCat,"n/a")</f>
        <v/>
      </c>
      <c r="J2854" s="3">
        <f>_xlfn.XLOOKUP(A2854,MktTitle,MktTotVol,0)</f>
        <v/>
      </c>
      <c r="K2854">
        <f>IF(H2854&gt;WhaleThreshold,"WHALE","")</f>
        <v/>
      </c>
    </row>
    <row r="2855">
      <c r="A2855" t="inlineStr">
        <is>
          <t>Will Portugal win the 2026 FIFA World Cup?</t>
        </is>
      </c>
      <c r="B2855" s="4" t="n">
        <v>46206</v>
      </c>
      <c r="C2855" s="5" t="n">
        <v>46206.06123842593</v>
      </c>
      <c r="D2855" t="inlineStr">
        <is>
          <t>BUY</t>
        </is>
      </c>
      <c r="E2855" t="inlineStr">
        <is>
          <t>Yes</t>
        </is>
      </c>
      <c r="F2855" s="2" t="n">
        <v>0.06900000000000001</v>
      </c>
      <c r="G2855" s="6" t="n">
        <v>603.1884</v>
      </c>
      <c r="H2855" s="6">
        <f>F2855*G2855</f>
        <v/>
      </c>
      <c r="I2855">
        <f>_xlfn.XLOOKUP(A2855,MktTitle,MktCat,"n/a")</f>
        <v/>
      </c>
      <c r="J2855" s="3">
        <f>_xlfn.XLOOKUP(A2855,MktTitle,MktTotVol,0)</f>
        <v/>
      </c>
      <c r="K2855">
        <f>IF(H2855&gt;WhaleThreshold,"WHALE","")</f>
        <v/>
      </c>
    </row>
    <row r="2856">
      <c r="A2856" t="inlineStr">
        <is>
          <t>Will Portugal win the 2026 FIFA World Cup?</t>
        </is>
      </c>
      <c r="B2856" s="4" t="n">
        <v>46206</v>
      </c>
      <c r="C2856" s="5" t="n">
        <v>46206.06087962963</v>
      </c>
      <c r="D2856" t="inlineStr">
        <is>
          <t>BUY</t>
        </is>
      </c>
      <c r="E2856" t="inlineStr">
        <is>
          <t>Yes</t>
        </is>
      </c>
      <c r="F2856" s="2" t="n">
        <v>0.06900000000000001</v>
      </c>
      <c r="G2856" s="6" t="n">
        <v>304.3478</v>
      </c>
      <c r="H2856" s="6">
        <f>F2856*G2856</f>
        <v/>
      </c>
      <c r="I2856">
        <f>_xlfn.XLOOKUP(A2856,MktTitle,MktCat,"n/a")</f>
        <v/>
      </c>
      <c r="J2856" s="3">
        <f>_xlfn.XLOOKUP(A2856,MktTitle,MktTotVol,0)</f>
        <v/>
      </c>
      <c r="K2856">
        <f>IF(H2856&gt;WhaleThreshold,"WHALE","")</f>
        <v/>
      </c>
    </row>
    <row r="2857">
      <c r="A2857" t="inlineStr">
        <is>
          <t>Will Portugal win the 2026 FIFA World Cup?</t>
        </is>
      </c>
      <c r="B2857" s="4" t="n">
        <v>46206</v>
      </c>
      <c r="C2857" s="5" t="n">
        <v>46206.06085648148</v>
      </c>
      <c r="D2857" t="inlineStr">
        <is>
          <t>SELL</t>
        </is>
      </c>
      <c r="E2857" t="inlineStr">
        <is>
          <t>Yes</t>
        </is>
      </c>
      <c r="F2857" s="2" t="n">
        <v>0.068</v>
      </c>
      <c r="G2857" s="6" t="n">
        <v>1465.17</v>
      </c>
      <c r="H2857" s="6">
        <f>F2857*G2857</f>
        <v/>
      </c>
      <c r="I2857">
        <f>_xlfn.XLOOKUP(A2857,MktTitle,MktCat,"n/a")</f>
        <v/>
      </c>
      <c r="J2857" s="3">
        <f>_xlfn.XLOOKUP(A2857,MktTitle,MktTotVol,0)</f>
        <v/>
      </c>
      <c r="K2857">
        <f>IF(H2857&gt;WhaleThreshold,"WHALE","")</f>
        <v/>
      </c>
    </row>
    <row r="2858">
      <c r="A2858" t="inlineStr">
        <is>
          <t>Will Portugal win the 2026 FIFA World Cup?</t>
        </is>
      </c>
      <c r="B2858" s="4" t="n">
        <v>46206</v>
      </c>
      <c r="C2858" s="5" t="n">
        <v>46206.0603587963</v>
      </c>
      <c r="D2858" t="inlineStr">
        <is>
          <t>BUY</t>
        </is>
      </c>
      <c r="E2858" t="inlineStr">
        <is>
          <t>Yes</t>
        </is>
      </c>
      <c r="F2858" s="2" t="n">
        <v>0.06900000000000001</v>
      </c>
      <c r="G2858" s="6" t="n">
        <v>552.72</v>
      </c>
      <c r="H2858" s="6">
        <f>F2858*G2858</f>
        <v/>
      </c>
      <c r="I2858">
        <f>_xlfn.XLOOKUP(A2858,MktTitle,MktCat,"n/a")</f>
        <v/>
      </c>
      <c r="J2858" s="3">
        <f>_xlfn.XLOOKUP(A2858,MktTitle,MktTotVol,0)</f>
        <v/>
      </c>
      <c r="K2858">
        <f>IF(H2858&gt;WhaleThreshold,"WHALE","")</f>
        <v/>
      </c>
    </row>
    <row r="2859">
      <c r="A2859" t="inlineStr">
        <is>
          <t>Will Portugal win the 2026 FIFA World Cup?</t>
        </is>
      </c>
      <c r="B2859" s="4" t="n">
        <v>46206</v>
      </c>
      <c r="C2859" s="5" t="n">
        <v>46206.06026620371</v>
      </c>
      <c r="D2859" t="inlineStr">
        <is>
          <t>SELL</t>
        </is>
      </c>
      <c r="E2859" t="inlineStr">
        <is>
          <t>Yes</t>
        </is>
      </c>
      <c r="F2859" s="2" t="n">
        <v>0.068</v>
      </c>
      <c r="G2859" s="6" t="n">
        <v>0.5</v>
      </c>
      <c r="H2859" s="6">
        <f>F2859*G2859</f>
        <v/>
      </c>
      <c r="I2859">
        <f>_xlfn.XLOOKUP(A2859,MktTitle,MktCat,"n/a")</f>
        <v/>
      </c>
      <c r="J2859" s="3">
        <f>_xlfn.XLOOKUP(A2859,MktTitle,MktTotVol,0)</f>
        <v/>
      </c>
      <c r="K2859">
        <f>IF(H2859&gt;WhaleThreshold,"WHALE","")</f>
        <v/>
      </c>
    </row>
    <row r="2860">
      <c r="A2860" t="inlineStr">
        <is>
          <t>Will Portugal win the 2026 FIFA World Cup?</t>
        </is>
      </c>
      <c r="B2860" s="4" t="n">
        <v>46206</v>
      </c>
      <c r="C2860" s="5" t="n">
        <v>46206.06025462963</v>
      </c>
      <c r="D2860" t="inlineStr">
        <is>
          <t>BUY</t>
        </is>
      </c>
      <c r="E2860" t="inlineStr">
        <is>
          <t>Yes</t>
        </is>
      </c>
      <c r="F2860" s="2" t="n">
        <v>0.06900000000000001</v>
      </c>
      <c r="G2860" s="6" t="n">
        <v>713.913</v>
      </c>
      <c r="H2860" s="6">
        <f>F2860*G2860</f>
        <v/>
      </c>
      <c r="I2860">
        <f>_xlfn.XLOOKUP(A2860,MktTitle,MktCat,"n/a")</f>
        <v/>
      </c>
      <c r="J2860" s="3">
        <f>_xlfn.XLOOKUP(A2860,MktTitle,MktTotVol,0)</f>
        <v/>
      </c>
      <c r="K2860">
        <f>IF(H2860&gt;WhaleThreshold,"WHALE","")</f>
        <v/>
      </c>
    </row>
    <row r="2861">
      <c r="A2861" t="inlineStr">
        <is>
          <t>Will Portugal win the 2026 FIFA World Cup?</t>
        </is>
      </c>
      <c r="B2861" s="4" t="n">
        <v>46206</v>
      </c>
      <c r="C2861" s="5" t="n">
        <v>46206.06023148148</v>
      </c>
      <c r="D2861" t="inlineStr">
        <is>
          <t>SELL</t>
        </is>
      </c>
      <c r="E2861" t="inlineStr">
        <is>
          <t>Yes</t>
        </is>
      </c>
      <c r="F2861" s="2" t="n">
        <v>0.068</v>
      </c>
      <c r="G2861" s="6" t="n">
        <v>31.8</v>
      </c>
      <c r="H2861" s="6">
        <f>F2861*G2861</f>
        <v/>
      </c>
      <c r="I2861">
        <f>_xlfn.XLOOKUP(A2861,MktTitle,MktCat,"n/a")</f>
        <v/>
      </c>
      <c r="J2861" s="3">
        <f>_xlfn.XLOOKUP(A2861,MktTitle,MktTotVol,0)</f>
        <v/>
      </c>
      <c r="K2861">
        <f>IF(H2861&gt;WhaleThreshold,"WHALE","")</f>
        <v/>
      </c>
    </row>
    <row r="2862">
      <c r="A2862" t="inlineStr">
        <is>
          <t>Will Portugal win the 2026 FIFA World Cup?</t>
        </is>
      </c>
      <c r="B2862" s="4" t="n">
        <v>46206</v>
      </c>
      <c r="C2862" s="5" t="n">
        <v>46206.06016203704</v>
      </c>
      <c r="D2862" t="inlineStr">
        <is>
          <t>BUY</t>
        </is>
      </c>
      <c r="E2862" t="inlineStr">
        <is>
          <t>Yes</t>
        </is>
      </c>
      <c r="F2862" s="2" t="n">
        <v>0.06900000000000001</v>
      </c>
      <c r="G2862" s="6" t="n">
        <v>14.4928</v>
      </c>
      <c r="H2862" s="6">
        <f>F2862*G2862</f>
        <v/>
      </c>
      <c r="I2862">
        <f>_xlfn.XLOOKUP(A2862,MktTitle,MktCat,"n/a")</f>
        <v/>
      </c>
      <c r="J2862" s="3">
        <f>_xlfn.XLOOKUP(A2862,MktTitle,MktTotVol,0)</f>
        <v/>
      </c>
      <c r="K2862">
        <f>IF(H2862&gt;WhaleThreshold,"WHALE","")</f>
        <v/>
      </c>
    </row>
    <row r="2863">
      <c r="A2863" t="inlineStr">
        <is>
          <t>Will Portugal win the 2026 FIFA World Cup?</t>
        </is>
      </c>
      <c r="B2863" s="4" t="n">
        <v>46206</v>
      </c>
      <c r="C2863" s="5" t="n">
        <v>46206.06009259259</v>
      </c>
      <c r="D2863" t="inlineStr">
        <is>
          <t>BUY</t>
        </is>
      </c>
      <c r="E2863" t="inlineStr">
        <is>
          <t>Yes</t>
        </is>
      </c>
      <c r="F2863" s="2" t="n">
        <v>0.06900000000000001</v>
      </c>
      <c r="G2863" s="6" t="n">
        <v>233.6232</v>
      </c>
      <c r="H2863" s="6">
        <f>F2863*G2863</f>
        <v/>
      </c>
      <c r="I2863">
        <f>_xlfn.XLOOKUP(A2863,MktTitle,MktCat,"n/a")</f>
        <v/>
      </c>
      <c r="J2863" s="3">
        <f>_xlfn.XLOOKUP(A2863,MktTitle,MktTotVol,0)</f>
        <v/>
      </c>
      <c r="K2863">
        <f>IF(H2863&gt;WhaleThreshold,"WHALE","")</f>
        <v/>
      </c>
    </row>
    <row r="2864">
      <c r="A2864" t="inlineStr">
        <is>
          <t>Will Portugal win the 2026 FIFA World Cup?</t>
        </is>
      </c>
      <c r="B2864" s="4" t="n">
        <v>46206</v>
      </c>
      <c r="C2864" s="5" t="n">
        <v>46206.05991898148</v>
      </c>
      <c r="D2864" t="inlineStr">
        <is>
          <t>BUY</t>
        </is>
      </c>
      <c r="E2864" t="inlineStr">
        <is>
          <t>Yes</t>
        </is>
      </c>
      <c r="F2864" s="2" t="n">
        <v>0.06900000000000001</v>
      </c>
      <c r="G2864" s="6" t="n">
        <v>14.4928</v>
      </c>
      <c r="H2864" s="6">
        <f>F2864*G2864</f>
        <v/>
      </c>
      <c r="I2864">
        <f>_xlfn.XLOOKUP(A2864,MktTitle,MktCat,"n/a")</f>
        <v/>
      </c>
      <c r="J2864" s="3">
        <f>_xlfn.XLOOKUP(A2864,MktTitle,MktTotVol,0)</f>
        <v/>
      </c>
      <c r="K2864">
        <f>IF(H2864&gt;WhaleThreshold,"WHALE","")</f>
        <v/>
      </c>
    </row>
    <row r="2865">
      <c r="A2865" t="inlineStr">
        <is>
          <t>Will Portugal win the 2026 FIFA World Cup?</t>
        </is>
      </c>
      <c r="B2865" s="4" t="n">
        <v>46206</v>
      </c>
      <c r="C2865" s="5" t="n">
        <v>46206.05988425926</v>
      </c>
      <c r="D2865" t="inlineStr">
        <is>
          <t>SELL</t>
        </is>
      </c>
      <c r="E2865" t="inlineStr">
        <is>
          <t>Yes</t>
        </is>
      </c>
      <c r="F2865" s="2" t="n">
        <v>0.068</v>
      </c>
      <c r="G2865" s="6" t="n">
        <v>6213.83</v>
      </c>
      <c r="H2865" s="6">
        <f>F2865*G2865</f>
        <v/>
      </c>
      <c r="I2865">
        <f>_xlfn.XLOOKUP(A2865,MktTitle,MktCat,"n/a")</f>
        <v/>
      </c>
      <c r="J2865" s="3">
        <f>_xlfn.XLOOKUP(A2865,MktTitle,MktTotVol,0)</f>
        <v/>
      </c>
      <c r="K2865">
        <f>IF(H2865&gt;WhaleThreshold,"WHALE","")</f>
        <v/>
      </c>
    </row>
    <row r="2866">
      <c r="A2866" t="inlineStr">
        <is>
          <t>Will Portugal win the 2026 FIFA World Cup?</t>
        </is>
      </c>
      <c r="B2866" s="4" t="n">
        <v>46206</v>
      </c>
      <c r="C2866" s="5" t="n">
        <v>46206.05984953704</v>
      </c>
      <c r="D2866" t="inlineStr">
        <is>
          <t>SELL</t>
        </is>
      </c>
      <c r="E2866" t="inlineStr">
        <is>
          <t>No</t>
        </is>
      </c>
      <c r="F2866" s="2" t="n">
        <v>0.931</v>
      </c>
      <c r="G2866" s="6" t="n">
        <v>108</v>
      </c>
      <c r="H2866" s="6">
        <f>F2866*G2866</f>
        <v/>
      </c>
      <c r="I2866">
        <f>_xlfn.XLOOKUP(A2866,MktTitle,MktCat,"n/a")</f>
        <v/>
      </c>
      <c r="J2866" s="3">
        <f>_xlfn.XLOOKUP(A2866,MktTitle,MktTotVol,0)</f>
        <v/>
      </c>
      <c r="K2866">
        <f>IF(H2866&gt;WhaleThreshold,"WHALE","")</f>
        <v/>
      </c>
    </row>
    <row r="2867">
      <c r="A2867" t="inlineStr">
        <is>
          <t>Will Portugal win the 2026 FIFA World Cup?</t>
        </is>
      </c>
      <c r="B2867" s="4" t="n">
        <v>46206</v>
      </c>
      <c r="C2867" s="5" t="n">
        <v>46206.05974537037</v>
      </c>
      <c r="D2867" t="inlineStr">
        <is>
          <t>BUY</t>
        </is>
      </c>
      <c r="E2867" t="inlineStr">
        <is>
          <t>Yes</t>
        </is>
      </c>
      <c r="F2867" s="2" t="n">
        <v>0.06900000000000001</v>
      </c>
      <c r="G2867" s="6" t="n">
        <v>655.61</v>
      </c>
      <c r="H2867" s="6">
        <f>F2867*G2867</f>
        <v/>
      </c>
      <c r="I2867">
        <f>_xlfn.XLOOKUP(A2867,MktTitle,MktCat,"n/a")</f>
        <v/>
      </c>
      <c r="J2867" s="3">
        <f>_xlfn.XLOOKUP(A2867,MktTitle,MktTotVol,0)</f>
        <v/>
      </c>
      <c r="K2867">
        <f>IF(H2867&gt;WhaleThreshold,"WHALE","")</f>
        <v/>
      </c>
    </row>
    <row r="2868">
      <c r="A2868" t="inlineStr">
        <is>
          <t>Will Portugal win the 2026 FIFA World Cup?</t>
        </is>
      </c>
      <c r="B2868" s="4" t="n">
        <v>46206</v>
      </c>
      <c r="C2868" s="5" t="n">
        <v>46206.0597337963</v>
      </c>
      <c r="D2868" t="inlineStr">
        <is>
          <t>SELL</t>
        </is>
      </c>
      <c r="E2868" t="inlineStr">
        <is>
          <t>Yes</t>
        </is>
      </c>
      <c r="F2868" s="2" t="n">
        <v>0.068</v>
      </c>
      <c r="G2868" s="6" t="n">
        <v>59.84</v>
      </c>
      <c r="H2868" s="6">
        <f>F2868*G2868</f>
        <v/>
      </c>
      <c r="I2868">
        <f>_xlfn.XLOOKUP(A2868,MktTitle,MktCat,"n/a")</f>
        <v/>
      </c>
      <c r="J2868" s="3">
        <f>_xlfn.XLOOKUP(A2868,MktTitle,MktTotVol,0)</f>
        <v/>
      </c>
      <c r="K2868">
        <f>IF(H2868&gt;WhaleThreshold,"WHALE","")</f>
        <v/>
      </c>
    </row>
    <row r="2869">
      <c r="A2869" t="inlineStr">
        <is>
          <t>Will Portugal win the 2026 FIFA World Cup?</t>
        </is>
      </c>
      <c r="B2869" s="4" t="n">
        <v>46206</v>
      </c>
      <c r="C2869" s="5" t="n">
        <v>46206.05967592593</v>
      </c>
      <c r="D2869" t="inlineStr">
        <is>
          <t>BUY</t>
        </is>
      </c>
      <c r="E2869" t="inlineStr">
        <is>
          <t>Yes</t>
        </is>
      </c>
      <c r="F2869" s="2" t="n">
        <v>0.07000000000000001</v>
      </c>
      <c r="G2869" s="6" t="n">
        <v>218.46</v>
      </c>
      <c r="H2869" s="6">
        <f>F2869*G2869</f>
        <v/>
      </c>
      <c r="I2869">
        <f>_xlfn.XLOOKUP(A2869,MktTitle,MktCat,"n/a")</f>
        <v/>
      </c>
      <c r="J2869" s="3">
        <f>_xlfn.XLOOKUP(A2869,MktTitle,MktTotVol,0)</f>
        <v/>
      </c>
      <c r="K2869">
        <f>IF(H2869&gt;WhaleThreshold,"WHALE","")</f>
        <v/>
      </c>
    </row>
    <row r="2870">
      <c r="A2870" t="inlineStr">
        <is>
          <t>Will Portugal win the 2026 FIFA World Cup?</t>
        </is>
      </c>
      <c r="B2870" s="4" t="n">
        <v>46206</v>
      </c>
      <c r="C2870" s="5" t="n">
        <v>46206.05966435185</v>
      </c>
      <c r="D2870" t="inlineStr">
        <is>
          <t>BUY</t>
        </is>
      </c>
      <c r="E2870" t="inlineStr">
        <is>
          <t>Yes</t>
        </is>
      </c>
      <c r="F2870" s="2" t="n">
        <v>0.07000000000000001</v>
      </c>
      <c r="G2870" s="6" t="n">
        <v>53.85</v>
      </c>
      <c r="H2870" s="6">
        <f>F2870*G2870</f>
        <v/>
      </c>
      <c r="I2870">
        <f>_xlfn.XLOOKUP(A2870,MktTitle,MktCat,"n/a")</f>
        <v/>
      </c>
      <c r="J2870" s="3">
        <f>_xlfn.XLOOKUP(A2870,MktTitle,MktTotVol,0)</f>
        <v/>
      </c>
      <c r="K2870">
        <f>IF(H2870&gt;WhaleThreshold,"WHALE","")</f>
        <v/>
      </c>
    </row>
    <row r="2871">
      <c r="A2871" t="inlineStr">
        <is>
          <t>Will Portugal win the 2026 FIFA World Cup?</t>
        </is>
      </c>
      <c r="B2871" s="4" t="n">
        <v>46206</v>
      </c>
      <c r="C2871" s="5" t="n">
        <v>46206.05962962963</v>
      </c>
      <c r="D2871" t="inlineStr">
        <is>
          <t>BUY</t>
        </is>
      </c>
      <c r="E2871" t="inlineStr">
        <is>
          <t>Yes</t>
        </is>
      </c>
      <c r="F2871" s="2" t="n">
        <v>0.07000000000000001</v>
      </c>
      <c r="G2871" s="6" t="n">
        <v>109.2</v>
      </c>
      <c r="H2871" s="6">
        <f>F2871*G2871</f>
        <v/>
      </c>
      <c r="I2871">
        <f>_xlfn.XLOOKUP(A2871,MktTitle,MktCat,"n/a")</f>
        <v/>
      </c>
      <c r="J2871" s="3">
        <f>_xlfn.XLOOKUP(A2871,MktTitle,MktTotVol,0)</f>
        <v/>
      </c>
      <c r="K2871">
        <f>IF(H2871&gt;WhaleThreshold,"WHALE","")</f>
        <v/>
      </c>
    </row>
    <row r="2872">
      <c r="A2872" t="inlineStr">
        <is>
          <t>Will Portugal win the 2026 FIFA World Cup?</t>
        </is>
      </c>
      <c r="B2872" s="4" t="n">
        <v>46206</v>
      </c>
      <c r="C2872" s="5" t="n">
        <v>46206.05960648148</v>
      </c>
      <c r="D2872" t="inlineStr">
        <is>
          <t>BUY</t>
        </is>
      </c>
      <c r="E2872" t="inlineStr">
        <is>
          <t>Yes</t>
        </is>
      </c>
      <c r="F2872" s="2" t="n">
        <v>0.07000000000000001</v>
      </c>
      <c r="G2872" s="6" t="n">
        <v>327.75</v>
      </c>
      <c r="H2872" s="6">
        <f>F2872*G2872</f>
        <v/>
      </c>
      <c r="I2872">
        <f>_xlfn.XLOOKUP(A2872,MktTitle,MktCat,"n/a")</f>
        <v/>
      </c>
      <c r="J2872" s="3">
        <f>_xlfn.XLOOKUP(A2872,MktTitle,MktTotVol,0)</f>
        <v/>
      </c>
      <c r="K2872">
        <f>IF(H2872&gt;WhaleThreshold,"WHALE","")</f>
        <v/>
      </c>
    </row>
    <row r="2873">
      <c r="A2873" t="inlineStr">
        <is>
          <t>Will Portugal win the 2026 FIFA World Cup?</t>
        </is>
      </c>
      <c r="B2873" s="4" t="n">
        <v>46206</v>
      </c>
      <c r="C2873" s="5" t="n">
        <v>46206.0595949074</v>
      </c>
      <c r="D2873" t="inlineStr">
        <is>
          <t>BUY</t>
        </is>
      </c>
      <c r="E2873" t="inlineStr">
        <is>
          <t>Yes</t>
        </is>
      </c>
      <c r="F2873" s="2" t="n">
        <v>0.07000000000000001</v>
      </c>
      <c r="G2873" s="6" t="n">
        <v>2185.69</v>
      </c>
      <c r="H2873" s="6">
        <f>F2873*G2873</f>
        <v/>
      </c>
      <c r="I2873">
        <f>_xlfn.XLOOKUP(A2873,MktTitle,MktCat,"n/a")</f>
        <v/>
      </c>
      <c r="J2873" s="3">
        <f>_xlfn.XLOOKUP(A2873,MktTitle,MktTotVol,0)</f>
        <v/>
      </c>
      <c r="K2873">
        <f>IF(H2873&gt;WhaleThreshold,"WHALE","")</f>
        <v/>
      </c>
    </row>
    <row r="2874">
      <c r="A2874" t="inlineStr">
        <is>
          <t>Will Portugal win the 2026 FIFA World Cup?</t>
        </is>
      </c>
      <c r="B2874" s="4" t="n">
        <v>46206</v>
      </c>
      <c r="C2874" s="5" t="n">
        <v>46206.0595949074</v>
      </c>
      <c r="D2874" t="inlineStr">
        <is>
          <t>BUY</t>
        </is>
      </c>
      <c r="E2874" t="inlineStr">
        <is>
          <t>Yes</t>
        </is>
      </c>
      <c r="F2874" s="2" t="n">
        <v>0.07000000000000001</v>
      </c>
      <c r="G2874" s="6" t="n">
        <v>693.4286</v>
      </c>
      <c r="H2874" s="6">
        <f>F2874*G2874</f>
        <v/>
      </c>
      <c r="I2874">
        <f>_xlfn.XLOOKUP(A2874,MktTitle,MktCat,"n/a")</f>
        <v/>
      </c>
      <c r="J2874" s="3">
        <f>_xlfn.XLOOKUP(A2874,MktTitle,MktTotVol,0)</f>
        <v/>
      </c>
      <c r="K2874">
        <f>IF(H2874&gt;WhaleThreshold,"WHALE","")</f>
        <v/>
      </c>
    </row>
    <row r="2875">
      <c r="A2875" t="inlineStr">
        <is>
          <t>Will Portugal win the 2026 FIFA World Cup?</t>
        </is>
      </c>
      <c r="B2875" s="4" t="n">
        <v>46206</v>
      </c>
      <c r="C2875" s="5" t="n">
        <v>46206.0595949074</v>
      </c>
      <c r="D2875" t="inlineStr">
        <is>
          <t>SELL</t>
        </is>
      </c>
      <c r="E2875" t="inlineStr">
        <is>
          <t>Yes</t>
        </is>
      </c>
      <c r="F2875" s="2" t="n">
        <v>0.068</v>
      </c>
      <c r="G2875" s="6" t="n">
        <v>254.38</v>
      </c>
      <c r="H2875" s="6">
        <f>F2875*G2875</f>
        <v/>
      </c>
      <c r="I2875">
        <f>_xlfn.XLOOKUP(A2875,MktTitle,MktCat,"n/a")</f>
        <v/>
      </c>
      <c r="J2875" s="3">
        <f>_xlfn.XLOOKUP(A2875,MktTitle,MktTotVol,0)</f>
        <v/>
      </c>
      <c r="K2875">
        <f>IF(H2875&gt;WhaleThreshold,"WHALE","")</f>
        <v/>
      </c>
    </row>
    <row r="2876">
      <c r="A2876" t="inlineStr">
        <is>
          <t>Will Portugal win the 2026 FIFA World Cup?</t>
        </is>
      </c>
      <c r="B2876" s="4" t="n">
        <v>46206</v>
      </c>
      <c r="C2876" s="5" t="n">
        <v>46206.0595949074</v>
      </c>
      <c r="D2876" t="inlineStr">
        <is>
          <t>BUY</t>
        </is>
      </c>
      <c r="E2876" t="inlineStr">
        <is>
          <t>Yes</t>
        </is>
      </c>
      <c r="F2876" s="2" t="n">
        <v>0.07000000000000001</v>
      </c>
      <c r="G2876" s="6" t="n">
        <v>68.81999999999999</v>
      </c>
      <c r="H2876" s="6">
        <f>F2876*G2876</f>
        <v/>
      </c>
      <c r="I2876">
        <f>_xlfn.XLOOKUP(A2876,MktTitle,MktCat,"n/a")</f>
        <v/>
      </c>
      <c r="J2876" s="3">
        <f>_xlfn.XLOOKUP(A2876,MktTitle,MktTotVol,0)</f>
        <v/>
      </c>
      <c r="K2876">
        <f>IF(H2876&gt;WhaleThreshold,"WHALE","")</f>
        <v/>
      </c>
    </row>
    <row r="2877">
      <c r="A2877" t="inlineStr">
        <is>
          <t>Will Portugal win the 2026 FIFA World Cup?</t>
        </is>
      </c>
      <c r="B2877" s="4" t="n">
        <v>46206</v>
      </c>
      <c r="C2877" s="5" t="n">
        <v>46206.05957175926</v>
      </c>
      <c r="D2877" t="inlineStr">
        <is>
          <t>SELL</t>
        </is>
      </c>
      <c r="E2877" t="inlineStr">
        <is>
          <t>Yes</t>
        </is>
      </c>
      <c r="F2877" s="2" t="n">
        <v>0.06900000000000001</v>
      </c>
      <c r="G2877" s="6" t="n">
        <v>1786.11</v>
      </c>
      <c r="H2877" s="6">
        <f>F2877*G2877</f>
        <v/>
      </c>
      <c r="I2877">
        <f>_xlfn.XLOOKUP(A2877,MktTitle,MktCat,"n/a")</f>
        <v/>
      </c>
      <c r="J2877" s="3">
        <f>_xlfn.XLOOKUP(A2877,MktTitle,MktTotVol,0)</f>
        <v/>
      </c>
      <c r="K2877">
        <f>IF(H2877&gt;WhaleThreshold,"WHALE","")</f>
        <v/>
      </c>
    </row>
    <row r="2878">
      <c r="A2878" t="inlineStr">
        <is>
          <t>Will Portugal win the 2026 FIFA World Cup?</t>
        </is>
      </c>
      <c r="B2878" s="4" t="n">
        <v>46206</v>
      </c>
      <c r="C2878" s="5" t="n">
        <v>46206.05950231481</v>
      </c>
      <c r="D2878" t="inlineStr">
        <is>
          <t>BUY</t>
        </is>
      </c>
      <c r="E2878" t="inlineStr">
        <is>
          <t>Yes</t>
        </is>
      </c>
      <c r="F2878" s="2" t="n">
        <v>0.07000000000000001</v>
      </c>
      <c r="G2878" s="6" t="n">
        <v>218.46</v>
      </c>
      <c r="H2878" s="6">
        <f>F2878*G2878</f>
        <v/>
      </c>
      <c r="I2878">
        <f>_xlfn.XLOOKUP(A2878,MktTitle,MktCat,"n/a")</f>
        <v/>
      </c>
      <c r="J2878" s="3">
        <f>_xlfn.XLOOKUP(A2878,MktTitle,MktTotVol,0)</f>
        <v/>
      </c>
      <c r="K2878">
        <f>IF(H2878&gt;WhaleThreshold,"WHALE","")</f>
        <v/>
      </c>
    </row>
    <row r="2879">
      <c r="A2879" t="inlineStr">
        <is>
          <t>Will Portugal win the 2026 FIFA World Cup?</t>
        </is>
      </c>
      <c r="B2879" s="4" t="n">
        <v>46206</v>
      </c>
      <c r="C2879" s="5" t="n">
        <v>46206.05939814815</v>
      </c>
      <c r="D2879" t="inlineStr">
        <is>
          <t>SELL</t>
        </is>
      </c>
      <c r="E2879" t="inlineStr">
        <is>
          <t>No</t>
        </is>
      </c>
      <c r="F2879" s="2" t="n">
        <v>0.93</v>
      </c>
      <c r="G2879" s="6" t="n">
        <v>1.66</v>
      </c>
      <c r="H2879" s="6">
        <f>F2879*G2879</f>
        <v/>
      </c>
      <c r="I2879">
        <f>_xlfn.XLOOKUP(A2879,MktTitle,MktCat,"n/a")</f>
        <v/>
      </c>
      <c r="J2879" s="3">
        <f>_xlfn.XLOOKUP(A2879,MktTitle,MktTotVol,0)</f>
        <v/>
      </c>
      <c r="K2879">
        <f>IF(H2879&gt;WhaleThreshold,"WHALE","")</f>
        <v/>
      </c>
    </row>
    <row r="2880">
      <c r="A2880" t="inlineStr">
        <is>
          <t>Will Portugal win the 2026 FIFA World Cup?</t>
        </is>
      </c>
      <c r="B2880" s="4" t="n">
        <v>46206</v>
      </c>
      <c r="C2880" s="5" t="n">
        <v>46206.05938657407</v>
      </c>
      <c r="D2880" t="inlineStr">
        <is>
          <t>BUY</t>
        </is>
      </c>
      <c r="E2880" t="inlineStr">
        <is>
          <t>Yes</t>
        </is>
      </c>
      <c r="F2880" s="2" t="n">
        <v>0.07000000000000001</v>
      </c>
      <c r="G2880" s="6" t="n">
        <v>192.35</v>
      </c>
      <c r="H2880" s="6">
        <f>F2880*G2880</f>
        <v/>
      </c>
      <c r="I2880">
        <f>_xlfn.XLOOKUP(A2880,MktTitle,MktCat,"n/a")</f>
        <v/>
      </c>
      <c r="J2880" s="3">
        <f>_xlfn.XLOOKUP(A2880,MktTitle,MktTotVol,0)</f>
        <v/>
      </c>
      <c r="K2880">
        <f>IF(H2880&gt;WhaleThreshold,"WHALE","")</f>
        <v/>
      </c>
    </row>
    <row r="2881">
      <c r="A2881" t="inlineStr">
        <is>
          <t>Will Portugal win the 2026 FIFA World Cup?</t>
        </is>
      </c>
      <c r="B2881" s="4" t="n">
        <v>46206</v>
      </c>
      <c r="C2881" s="5" t="n">
        <v>46206.05935185185</v>
      </c>
      <c r="D2881" t="inlineStr">
        <is>
          <t>BUY</t>
        </is>
      </c>
      <c r="E2881" t="inlineStr">
        <is>
          <t>Yes</t>
        </is>
      </c>
      <c r="F2881" s="2" t="n">
        <v>0.07000000000000001</v>
      </c>
      <c r="G2881" s="6" t="n">
        <v>215.96</v>
      </c>
      <c r="H2881" s="6">
        <f>F2881*G2881</f>
        <v/>
      </c>
      <c r="I2881">
        <f>_xlfn.XLOOKUP(A2881,MktTitle,MktCat,"n/a")</f>
        <v/>
      </c>
      <c r="J2881" s="3">
        <f>_xlfn.XLOOKUP(A2881,MktTitle,MktTotVol,0)</f>
        <v/>
      </c>
      <c r="K2881">
        <f>IF(H2881&gt;WhaleThreshold,"WHALE","")</f>
        <v/>
      </c>
    </row>
    <row r="2882">
      <c r="A2882" t="inlineStr">
        <is>
          <t>Will Portugal win the 2026 FIFA World Cup?</t>
        </is>
      </c>
      <c r="B2882" s="4" t="n">
        <v>46206</v>
      </c>
      <c r="C2882" s="5" t="n">
        <v>46206.0593287037</v>
      </c>
      <c r="D2882" t="inlineStr">
        <is>
          <t>BUY</t>
        </is>
      </c>
      <c r="E2882" t="inlineStr">
        <is>
          <t>Yes</t>
        </is>
      </c>
      <c r="F2882" s="2" t="n">
        <v>0.07000000000000001</v>
      </c>
      <c r="G2882" s="6" t="n">
        <v>114.2857</v>
      </c>
      <c r="H2882" s="6">
        <f>F2882*G2882</f>
        <v/>
      </c>
      <c r="I2882">
        <f>_xlfn.XLOOKUP(A2882,MktTitle,MktCat,"n/a")</f>
        <v/>
      </c>
      <c r="J2882" s="3">
        <f>_xlfn.XLOOKUP(A2882,MktTitle,MktTotVol,0)</f>
        <v/>
      </c>
      <c r="K2882">
        <f>IF(H2882&gt;WhaleThreshold,"WHALE","")</f>
        <v/>
      </c>
    </row>
    <row r="2883">
      <c r="A2883" t="inlineStr">
        <is>
          <t>Will Portugal win the 2026 FIFA World Cup?</t>
        </is>
      </c>
      <c r="B2883" s="4" t="n">
        <v>46206</v>
      </c>
      <c r="C2883" s="5" t="n">
        <v>46206.0593287037</v>
      </c>
      <c r="D2883" t="inlineStr">
        <is>
          <t>BUY</t>
        </is>
      </c>
      <c r="E2883" t="inlineStr">
        <is>
          <t>Yes</t>
        </is>
      </c>
      <c r="F2883" s="2" t="n">
        <v>0.07000000000000001</v>
      </c>
      <c r="G2883" s="6" t="n">
        <v>54.55</v>
      </c>
      <c r="H2883" s="6">
        <f>F2883*G2883</f>
        <v/>
      </c>
      <c r="I2883">
        <f>_xlfn.XLOOKUP(A2883,MktTitle,MktCat,"n/a")</f>
        <v/>
      </c>
      <c r="J2883" s="3">
        <f>_xlfn.XLOOKUP(A2883,MktTitle,MktTotVol,0)</f>
        <v/>
      </c>
      <c r="K2883">
        <f>IF(H2883&gt;WhaleThreshold,"WHALE","")</f>
        <v/>
      </c>
    </row>
    <row r="2884">
      <c r="A2884" t="inlineStr">
        <is>
          <t>Will Portugal win the 2026 FIFA World Cup?</t>
        </is>
      </c>
      <c r="B2884" s="4" t="n">
        <v>46206</v>
      </c>
      <c r="C2884" s="5" t="n">
        <v>46206.05931712963</v>
      </c>
      <c r="D2884" t="inlineStr">
        <is>
          <t>BUY</t>
        </is>
      </c>
      <c r="E2884" t="inlineStr">
        <is>
          <t>Yes</t>
        </is>
      </c>
      <c r="F2884" s="2" t="n">
        <v>0.07000000000000001</v>
      </c>
      <c r="G2884" s="6" t="n">
        <v>58.6</v>
      </c>
      <c r="H2884" s="6">
        <f>F2884*G2884</f>
        <v/>
      </c>
      <c r="I2884">
        <f>_xlfn.XLOOKUP(A2884,MktTitle,MktCat,"n/a")</f>
        <v/>
      </c>
      <c r="J2884" s="3">
        <f>_xlfn.XLOOKUP(A2884,MktTitle,MktTotVol,0)</f>
        <v/>
      </c>
      <c r="K2884">
        <f>IF(H2884&gt;WhaleThreshold,"WHALE","")</f>
        <v/>
      </c>
    </row>
    <row r="2885">
      <c r="A2885" t="inlineStr">
        <is>
          <t>Will Portugal win the 2026 FIFA World Cup?</t>
        </is>
      </c>
      <c r="B2885" s="4" t="n">
        <v>46206</v>
      </c>
      <c r="C2885" s="5" t="n">
        <v>46206.05924768518</v>
      </c>
      <c r="D2885" t="inlineStr">
        <is>
          <t>BUY</t>
        </is>
      </c>
      <c r="E2885" t="inlineStr">
        <is>
          <t>Yes</t>
        </is>
      </c>
      <c r="F2885" s="2" t="n">
        <v>0.07000000000000001</v>
      </c>
      <c r="G2885" s="6" t="n">
        <v>71.4286</v>
      </c>
      <c r="H2885" s="6">
        <f>F2885*G2885</f>
        <v/>
      </c>
      <c r="I2885">
        <f>_xlfn.XLOOKUP(A2885,MktTitle,MktCat,"n/a")</f>
        <v/>
      </c>
      <c r="J2885" s="3">
        <f>_xlfn.XLOOKUP(A2885,MktTitle,MktTotVol,0)</f>
        <v/>
      </c>
      <c r="K2885">
        <f>IF(H2885&gt;WhaleThreshold,"WHALE","")</f>
        <v/>
      </c>
    </row>
    <row r="2886">
      <c r="A2886" t="inlineStr">
        <is>
          <t>Will Portugal win the 2026 FIFA World Cup?</t>
        </is>
      </c>
      <c r="B2886" s="4" t="n">
        <v>46206</v>
      </c>
      <c r="C2886" s="5" t="n">
        <v>46206.05924768518</v>
      </c>
      <c r="D2886" t="inlineStr">
        <is>
          <t>BUY</t>
        </is>
      </c>
      <c r="E2886" t="inlineStr">
        <is>
          <t>Yes</t>
        </is>
      </c>
      <c r="F2886" s="2" t="n">
        <v>0.07000000000000001</v>
      </c>
      <c r="G2886" s="6" t="n">
        <v>1620.45</v>
      </c>
      <c r="H2886" s="6">
        <f>F2886*G2886</f>
        <v/>
      </c>
      <c r="I2886">
        <f>_xlfn.XLOOKUP(A2886,MktTitle,MktCat,"n/a")</f>
        <v/>
      </c>
      <c r="J2886" s="3">
        <f>_xlfn.XLOOKUP(A2886,MktTitle,MktTotVol,0)</f>
        <v/>
      </c>
      <c r="K2886">
        <f>IF(H2886&gt;WhaleThreshold,"WHALE","")</f>
        <v/>
      </c>
    </row>
    <row r="2887">
      <c r="A2887" t="inlineStr">
        <is>
          <t>Will Portugal win the 2026 FIFA World Cup?</t>
        </is>
      </c>
      <c r="B2887" s="4" t="n">
        <v>46206</v>
      </c>
      <c r="C2887" s="5" t="n">
        <v>46206.05922453704</v>
      </c>
      <c r="D2887" t="inlineStr">
        <is>
          <t>SELL</t>
        </is>
      </c>
      <c r="E2887" t="inlineStr">
        <is>
          <t>Yes</t>
        </is>
      </c>
      <c r="F2887" s="2" t="n">
        <v>0.06900000000000001</v>
      </c>
      <c r="G2887" s="6" t="n">
        <v>5.61</v>
      </c>
      <c r="H2887" s="6">
        <f>F2887*G2887</f>
        <v/>
      </c>
      <c r="I2887">
        <f>_xlfn.XLOOKUP(A2887,MktTitle,MktCat,"n/a")</f>
        <v/>
      </c>
      <c r="J2887" s="3">
        <f>_xlfn.XLOOKUP(A2887,MktTitle,MktTotVol,0)</f>
        <v/>
      </c>
      <c r="K2887">
        <f>IF(H2887&gt;WhaleThreshold,"WHALE","")</f>
        <v/>
      </c>
    </row>
    <row r="2888">
      <c r="A2888" t="inlineStr">
        <is>
          <t>Will Portugal win the 2026 FIFA World Cup?</t>
        </is>
      </c>
      <c r="B2888" s="4" t="n">
        <v>46206</v>
      </c>
      <c r="C2888" s="5" t="n">
        <v>46206.05918981481</v>
      </c>
      <c r="D2888" t="inlineStr">
        <is>
          <t>BUY</t>
        </is>
      </c>
      <c r="E2888" t="inlineStr">
        <is>
          <t>Yes</t>
        </is>
      </c>
      <c r="F2888" s="2" t="n">
        <v>0.07099999999999999</v>
      </c>
      <c r="G2888" s="6" t="n">
        <v>17.71</v>
      </c>
      <c r="H2888" s="6">
        <f>F2888*G2888</f>
        <v/>
      </c>
      <c r="I2888">
        <f>_xlfn.XLOOKUP(A2888,MktTitle,MktCat,"n/a")</f>
        <v/>
      </c>
      <c r="J2888" s="3">
        <f>_xlfn.XLOOKUP(A2888,MktTitle,MktTotVol,0)</f>
        <v/>
      </c>
      <c r="K2888">
        <f>IF(H2888&gt;WhaleThreshold,"WHALE","")</f>
        <v/>
      </c>
    </row>
    <row r="2889">
      <c r="A2889" t="inlineStr">
        <is>
          <t>Will Portugal win the 2026 FIFA World Cup?</t>
        </is>
      </c>
      <c r="B2889" s="4" t="n">
        <v>46206</v>
      </c>
      <c r="C2889" s="5" t="n">
        <v>46206.05915509259</v>
      </c>
      <c r="D2889" t="inlineStr">
        <is>
          <t>BUY</t>
        </is>
      </c>
      <c r="E2889" t="inlineStr">
        <is>
          <t>Yes</t>
        </is>
      </c>
      <c r="F2889" s="2" t="n">
        <v>0.0703</v>
      </c>
      <c r="G2889" s="6" t="n">
        <v>12304.8938</v>
      </c>
      <c r="H2889" s="6">
        <f>F2889*G2889</f>
        <v/>
      </c>
      <c r="I2889">
        <f>_xlfn.XLOOKUP(A2889,MktTitle,MktCat,"n/a")</f>
        <v/>
      </c>
      <c r="J2889" s="3">
        <f>_xlfn.XLOOKUP(A2889,MktTitle,MktTotVol,0)</f>
        <v/>
      </c>
      <c r="K2889">
        <f>IF(H2889&gt;WhaleThreshold,"WHALE","")</f>
        <v/>
      </c>
    </row>
    <row r="2890">
      <c r="A2890" t="inlineStr">
        <is>
          <t>Will Portugal win the 2026 FIFA World Cup?</t>
        </is>
      </c>
      <c r="B2890" s="4" t="n">
        <v>46206</v>
      </c>
      <c r="C2890" s="5" t="n">
        <v>46206.0591087963</v>
      </c>
      <c r="D2890" t="inlineStr">
        <is>
          <t>BUY</t>
        </is>
      </c>
      <c r="E2890" t="inlineStr">
        <is>
          <t>Yes</t>
        </is>
      </c>
      <c r="F2890" s="2" t="n">
        <v>0.07000000000000001</v>
      </c>
      <c r="G2890" s="6" t="n">
        <v>42.8571</v>
      </c>
      <c r="H2890" s="6">
        <f>F2890*G2890</f>
        <v/>
      </c>
      <c r="I2890">
        <f>_xlfn.XLOOKUP(A2890,MktTitle,MktCat,"n/a")</f>
        <v/>
      </c>
      <c r="J2890" s="3">
        <f>_xlfn.XLOOKUP(A2890,MktTitle,MktTotVol,0)</f>
        <v/>
      </c>
      <c r="K2890">
        <f>IF(H2890&gt;WhaleThreshold,"WHALE","")</f>
        <v/>
      </c>
    </row>
    <row r="2891">
      <c r="A2891" t="inlineStr">
        <is>
          <t>Will Portugal win the 2026 FIFA World Cup?</t>
        </is>
      </c>
      <c r="B2891" s="4" t="n">
        <v>46206</v>
      </c>
      <c r="C2891" s="5" t="n">
        <v>46206.05893518519</v>
      </c>
      <c r="D2891" t="inlineStr">
        <is>
          <t>SELL</t>
        </is>
      </c>
      <c r="E2891" t="inlineStr">
        <is>
          <t>Yes</t>
        </is>
      </c>
      <c r="F2891" s="2" t="n">
        <v>0.06900000000000001</v>
      </c>
      <c r="G2891" s="6" t="n">
        <v>46.01</v>
      </c>
      <c r="H2891" s="6">
        <f>F2891*G2891</f>
        <v/>
      </c>
      <c r="I2891">
        <f>_xlfn.XLOOKUP(A2891,MktTitle,MktCat,"n/a")</f>
        <v/>
      </c>
      <c r="J2891" s="3">
        <f>_xlfn.XLOOKUP(A2891,MktTitle,MktTotVol,0)</f>
        <v/>
      </c>
      <c r="K2891">
        <f>IF(H2891&gt;WhaleThreshold,"WHALE","")</f>
        <v/>
      </c>
    </row>
    <row r="2892">
      <c r="A2892" t="inlineStr">
        <is>
          <t>Will Portugal win the 2026 FIFA World Cup?</t>
        </is>
      </c>
      <c r="B2892" s="4" t="n">
        <v>46206</v>
      </c>
      <c r="C2892" s="5" t="n">
        <v>46206.05890046297</v>
      </c>
      <c r="D2892" t="inlineStr">
        <is>
          <t>BUY</t>
        </is>
      </c>
      <c r="E2892" t="inlineStr">
        <is>
          <t>Yes</t>
        </is>
      </c>
      <c r="F2892" s="2" t="n">
        <v>0.07000000000000001</v>
      </c>
      <c r="G2892" s="6" t="n">
        <v>13.64</v>
      </c>
      <c r="H2892" s="6">
        <f>F2892*G2892</f>
        <v/>
      </c>
      <c r="I2892">
        <f>_xlfn.XLOOKUP(A2892,MktTitle,MktCat,"n/a")</f>
        <v/>
      </c>
      <c r="J2892" s="3">
        <f>_xlfn.XLOOKUP(A2892,MktTitle,MktTotVol,0)</f>
        <v/>
      </c>
      <c r="K2892">
        <f>IF(H2892&gt;WhaleThreshold,"WHALE","")</f>
        <v/>
      </c>
    </row>
    <row r="2893">
      <c r="A2893" t="inlineStr">
        <is>
          <t>Will Portugal win the 2026 FIFA World Cup?</t>
        </is>
      </c>
      <c r="B2893" s="4" t="n">
        <v>46206</v>
      </c>
      <c r="C2893" s="5" t="n">
        <v>46206.05890046297</v>
      </c>
      <c r="D2893" t="inlineStr">
        <is>
          <t>SELL</t>
        </is>
      </c>
      <c r="E2893" t="inlineStr">
        <is>
          <t>Yes</t>
        </is>
      </c>
      <c r="F2893" s="2" t="n">
        <v>0.06900000000000001</v>
      </c>
      <c r="G2893" s="6" t="n">
        <v>312.5</v>
      </c>
      <c r="H2893" s="6">
        <f>F2893*G2893</f>
        <v/>
      </c>
      <c r="I2893">
        <f>_xlfn.XLOOKUP(A2893,MktTitle,MktCat,"n/a")</f>
        <v/>
      </c>
      <c r="J2893" s="3">
        <f>_xlfn.XLOOKUP(A2893,MktTitle,MktTotVol,0)</f>
        <v/>
      </c>
      <c r="K2893">
        <f>IF(H2893&gt;WhaleThreshold,"WHALE","")</f>
        <v/>
      </c>
    </row>
    <row r="2894">
      <c r="A2894" t="inlineStr">
        <is>
          <t>Will Portugal win the 2026 FIFA World Cup?</t>
        </is>
      </c>
      <c r="B2894" s="4" t="n">
        <v>46206</v>
      </c>
      <c r="C2894" s="5" t="n">
        <v>46206.05886574074</v>
      </c>
      <c r="D2894" t="inlineStr">
        <is>
          <t>BUY</t>
        </is>
      </c>
      <c r="E2894" t="inlineStr">
        <is>
          <t>Yes</t>
        </is>
      </c>
      <c r="F2894" s="2" t="n">
        <v>0.07000000000000001</v>
      </c>
      <c r="G2894" s="6" t="n">
        <v>30</v>
      </c>
      <c r="H2894" s="6">
        <f>F2894*G2894</f>
        <v/>
      </c>
      <c r="I2894">
        <f>_xlfn.XLOOKUP(A2894,MktTitle,MktCat,"n/a")</f>
        <v/>
      </c>
      <c r="J2894" s="3">
        <f>_xlfn.XLOOKUP(A2894,MktTitle,MktTotVol,0)</f>
        <v/>
      </c>
      <c r="K2894">
        <f>IF(H2894&gt;WhaleThreshold,"WHALE","")</f>
        <v/>
      </c>
    </row>
    <row r="2895">
      <c r="A2895" t="inlineStr">
        <is>
          <t>Will Portugal win the 2026 FIFA World Cup?</t>
        </is>
      </c>
      <c r="B2895" s="4" t="n">
        <v>46206</v>
      </c>
      <c r="C2895" s="5" t="n">
        <v>46206.05886574074</v>
      </c>
      <c r="D2895" t="inlineStr">
        <is>
          <t>BUY</t>
        </is>
      </c>
      <c r="E2895" t="inlineStr">
        <is>
          <t>Yes</t>
        </is>
      </c>
      <c r="F2895" s="2" t="n">
        <v>0.07000000000000001</v>
      </c>
      <c r="G2895" s="6" t="n">
        <v>66.37</v>
      </c>
      <c r="H2895" s="6">
        <f>F2895*G2895</f>
        <v/>
      </c>
      <c r="I2895">
        <f>_xlfn.XLOOKUP(A2895,MktTitle,MktCat,"n/a")</f>
        <v/>
      </c>
      <c r="J2895" s="3">
        <f>_xlfn.XLOOKUP(A2895,MktTitle,MktTotVol,0)</f>
        <v/>
      </c>
      <c r="K2895">
        <f>IF(H2895&gt;WhaleThreshold,"WHALE","")</f>
        <v/>
      </c>
    </row>
    <row r="2896">
      <c r="A2896" t="inlineStr">
        <is>
          <t>Will Portugal win the 2026 FIFA World Cup?</t>
        </is>
      </c>
      <c r="B2896" s="4" t="n">
        <v>46206</v>
      </c>
      <c r="C2896" s="5" t="n">
        <v>46206.05886574074</v>
      </c>
      <c r="D2896" t="inlineStr">
        <is>
          <t>BUY</t>
        </is>
      </c>
      <c r="E2896" t="inlineStr">
        <is>
          <t>No</t>
        </is>
      </c>
      <c r="F2896" s="2" t="n">
        <v>0.931</v>
      </c>
      <c r="G2896" s="6" t="n">
        <v>1520</v>
      </c>
      <c r="H2896" s="6">
        <f>F2896*G2896</f>
        <v/>
      </c>
      <c r="I2896">
        <f>_xlfn.XLOOKUP(A2896,MktTitle,MktCat,"n/a")</f>
        <v/>
      </c>
      <c r="J2896" s="3">
        <f>_xlfn.XLOOKUP(A2896,MktTitle,MktTotVol,0)</f>
        <v/>
      </c>
      <c r="K2896">
        <f>IF(H2896&gt;WhaleThreshold,"WHALE","")</f>
        <v/>
      </c>
    </row>
    <row r="2897">
      <c r="A2897" t="inlineStr">
        <is>
          <t>Will Portugal win the 2026 FIFA World Cup?</t>
        </is>
      </c>
      <c r="B2897" s="4" t="n">
        <v>46206</v>
      </c>
      <c r="C2897" s="5" t="n">
        <v>46206.0588425926</v>
      </c>
      <c r="D2897" t="inlineStr">
        <is>
          <t>BUY</t>
        </is>
      </c>
      <c r="E2897" t="inlineStr">
        <is>
          <t>Yes</t>
        </is>
      </c>
      <c r="F2897" s="2" t="n">
        <v>0.07000000000000001</v>
      </c>
      <c r="G2897" s="6" t="n">
        <v>285.6</v>
      </c>
      <c r="H2897" s="6">
        <f>F2897*G2897</f>
        <v/>
      </c>
      <c r="I2897">
        <f>_xlfn.XLOOKUP(A2897,MktTitle,MktCat,"n/a")</f>
        <v/>
      </c>
      <c r="J2897" s="3">
        <f>_xlfn.XLOOKUP(A2897,MktTitle,MktTotVol,0)</f>
        <v/>
      </c>
      <c r="K2897">
        <f>IF(H2897&gt;WhaleThreshold,"WHALE","")</f>
        <v/>
      </c>
    </row>
    <row r="2898">
      <c r="A2898" t="inlineStr">
        <is>
          <t>Will Portugal win the 2026 FIFA World Cup?</t>
        </is>
      </c>
      <c r="B2898" s="4" t="n">
        <v>46206</v>
      </c>
      <c r="C2898" s="5" t="n">
        <v>46206.0588425926</v>
      </c>
      <c r="D2898" t="inlineStr">
        <is>
          <t>SELL</t>
        </is>
      </c>
      <c r="E2898" t="inlineStr">
        <is>
          <t>Yes</t>
        </is>
      </c>
      <c r="F2898" s="2" t="n">
        <v>0.06900000000000001</v>
      </c>
      <c r="G2898" s="6" t="n">
        <v>6688.23</v>
      </c>
      <c r="H2898" s="6">
        <f>F2898*G2898</f>
        <v/>
      </c>
      <c r="I2898">
        <f>_xlfn.XLOOKUP(A2898,MktTitle,MktCat,"n/a")</f>
        <v/>
      </c>
      <c r="J2898" s="3">
        <f>_xlfn.XLOOKUP(A2898,MktTitle,MktTotVol,0)</f>
        <v/>
      </c>
      <c r="K2898">
        <f>IF(H2898&gt;WhaleThreshold,"WHALE","")</f>
        <v/>
      </c>
    </row>
    <row r="2899">
      <c r="A2899" t="inlineStr">
        <is>
          <t>Will Portugal win the 2026 FIFA World Cup?</t>
        </is>
      </c>
      <c r="B2899" s="4" t="n">
        <v>46206</v>
      </c>
      <c r="C2899" s="5" t="n">
        <v>46206.05880787037</v>
      </c>
      <c r="D2899" t="inlineStr">
        <is>
          <t>BUY</t>
        </is>
      </c>
      <c r="E2899" t="inlineStr">
        <is>
          <t>Yes</t>
        </is>
      </c>
      <c r="F2899" s="2" t="n">
        <v>0.07000000000000001</v>
      </c>
      <c r="G2899" s="6" t="n">
        <v>3085.05</v>
      </c>
      <c r="H2899" s="6">
        <f>F2899*G2899</f>
        <v/>
      </c>
      <c r="I2899">
        <f>_xlfn.XLOOKUP(A2899,MktTitle,MktCat,"n/a")</f>
        <v/>
      </c>
      <c r="J2899" s="3">
        <f>_xlfn.XLOOKUP(A2899,MktTitle,MktTotVol,0)</f>
        <v/>
      </c>
      <c r="K2899">
        <f>IF(H2899&gt;WhaleThreshold,"WHALE","")</f>
        <v/>
      </c>
    </row>
    <row r="2900">
      <c r="A2900" t="inlineStr">
        <is>
          <t>Will Portugal win the 2026 FIFA World Cup?</t>
        </is>
      </c>
      <c r="B2900" s="4" t="n">
        <v>46206</v>
      </c>
      <c r="C2900" s="5" t="n">
        <v>46206.05869212963</v>
      </c>
      <c r="D2900" t="inlineStr">
        <is>
          <t>BUY</t>
        </is>
      </c>
      <c r="E2900" t="inlineStr">
        <is>
          <t>Yes</t>
        </is>
      </c>
      <c r="F2900" s="2" t="n">
        <v>0.07000000000000001</v>
      </c>
      <c r="G2900" s="6" t="n">
        <v>57.1429</v>
      </c>
      <c r="H2900" s="6">
        <f>F2900*G2900</f>
        <v/>
      </c>
      <c r="I2900">
        <f>_xlfn.XLOOKUP(A2900,MktTitle,MktCat,"n/a")</f>
        <v/>
      </c>
      <c r="J2900" s="3">
        <f>_xlfn.XLOOKUP(A2900,MktTitle,MktTotVol,0)</f>
        <v/>
      </c>
      <c r="K2900">
        <f>IF(H2900&gt;WhaleThreshold,"WHALE","")</f>
        <v/>
      </c>
    </row>
    <row r="2901">
      <c r="A2901" t="inlineStr">
        <is>
          <t>Will Portugal win the 2026 FIFA World Cup?</t>
        </is>
      </c>
      <c r="B2901" s="4" t="n">
        <v>46206</v>
      </c>
      <c r="C2901" s="5" t="n">
        <v>46206.0586574074</v>
      </c>
      <c r="D2901" t="inlineStr">
        <is>
          <t>BUY</t>
        </is>
      </c>
      <c r="E2901" t="inlineStr">
        <is>
          <t>Yes</t>
        </is>
      </c>
      <c r="F2901" s="2" t="n">
        <v>0.07000000000000001</v>
      </c>
      <c r="G2901" s="6" t="n">
        <v>79.94</v>
      </c>
      <c r="H2901" s="6">
        <f>F2901*G2901</f>
        <v/>
      </c>
      <c r="I2901">
        <f>_xlfn.XLOOKUP(A2901,MktTitle,MktCat,"n/a")</f>
        <v/>
      </c>
      <c r="J2901" s="3">
        <f>_xlfn.XLOOKUP(A2901,MktTitle,MktTotVol,0)</f>
        <v/>
      </c>
      <c r="K2901">
        <f>IF(H2901&gt;WhaleThreshold,"WHALE","")</f>
        <v/>
      </c>
    </row>
    <row r="2902">
      <c r="A2902" t="inlineStr">
        <is>
          <t>Will Portugal win the 2026 FIFA World Cup?</t>
        </is>
      </c>
      <c r="B2902" s="4" t="n">
        <v>46206</v>
      </c>
      <c r="C2902" s="5" t="n">
        <v>46206.0586574074</v>
      </c>
      <c r="D2902" t="inlineStr">
        <is>
          <t>SELL</t>
        </is>
      </c>
      <c r="E2902" t="inlineStr">
        <is>
          <t>Yes</t>
        </is>
      </c>
      <c r="F2902" s="2" t="n">
        <v>0.06900000000000001</v>
      </c>
      <c r="G2902" s="6" t="n">
        <v>98.36</v>
      </c>
      <c r="H2902" s="6">
        <f>F2902*G2902</f>
        <v/>
      </c>
      <c r="I2902">
        <f>_xlfn.XLOOKUP(A2902,MktTitle,MktCat,"n/a")</f>
        <v/>
      </c>
      <c r="J2902" s="3">
        <f>_xlfn.XLOOKUP(A2902,MktTitle,MktTotVol,0)</f>
        <v/>
      </c>
      <c r="K2902">
        <f>IF(H2902&gt;WhaleThreshold,"WHALE","")</f>
        <v/>
      </c>
    </row>
    <row r="2903">
      <c r="A2903" t="inlineStr">
        <is>
          <t>Will Portugal win the 2026 FIFA World Cup?</t>
        </is>
      </c>
      <c r="B2903" s="4" t="n">
        <v>46206</v>
      </c>
      <c r="C2903" s="5" t="n">
        <v>46206.05855324074</v>
      </c>
      <c r="D2903" t="inlineStr">
        <is>
          <t>BUY</t>
        </is>
      </c>
      <c r="E2903" t="inlineStr">
        <is>
          <t>Yes</t>
        </is>
      </c>
      <c r="F2903" s="2" t="n">
        <v>0.07000000000000001</v>
      </c>
      <c r="G2903" s="6" t="n">
        <v>540.1</v>
      </c>
      <c r="H2903" s="6">
        <f>F2903*G2903</f>
        <v/>
      </c>
      <c r="I2903">
        <f>_xlfn.XLOOKUP(A2903,MktTitle,MktCat,"n/a")</f>
        <v/>
      </c>
      <c r="J2903" s="3">
        <f>_xlfn.XLOOKUP(A2903,MktTitle,MktTotVol,0)</f>
        <v/>
      </c>
      <c r="K2903">
        <f>IF(H2903&gt;WhaleThreshold,"WHALE","")</f>
        <v/>
      </c>
    </row>
    <row r="2904">
      <c r="A2904" t="inlineStr">
        <is>
          <t>Will Portugal win the 2026 FIFA World Cup?</t>
        </is>
      </c>
      <c r="B2904" s="4" t="n">
        <v>46206</v>
      </c>
      <c r="C2904" s="5" t="n">
        <v>46206.05851851852</v>
      </c>
      <c r="D2904" t="inlineStr">
        <is>
          <t>BUY</t>
        </is>
      </c>
      <c r="E2904" t="inlineStr">
        <is>
          <t>Yes</t>
        </is>
      </c>
      <c r="F2904" s="2" t="n">
        <v>0.07000000000000001</v>
      </c>
      <c r="G2904" s="6" t="n">
        <v>264.58</v>
      </c>
      <c r="H2904" s="6">
        <f>F2904*G2904</f>
        <v/>
      </c>
      <c r="I2904">
        <f>_xlfn.XLOOKUP(A2904,MktTitle,MktCat,"n/a")</f>
        <v/>
      </c>
      <c r="J2904" s="3">
        <f>_xlfn.XLOOKUP(A2904,MktTitle,MktTotVol,0)</f>
        <v/>
      </c>
      <c r="K2904">
        <f>IF(H2904&gt;WhaleThreshold,"WHALE","")</f>
        <v/>
      </c>
    </row>
    <row r="2905">
      <c r="A2905" t="inlineStr">
        <is>
          <t>Will Portugal win the 2026 FIFA World Cup?</t>
        </is>
      </c>
      <c r="B2905" s="4" t="n">
        <v>46206</v>
      </c>
      <c r="C2905" s="5" t="n">
        <v>46206.05849537037</v>
      </c>
      <c r="D2905" t="inlineStr">
        <is>
          <t>BUY</t>
        </is>
      </c>
      <c r="E2905" t="inlineStr">
        <is>
          <t>Yes</t>
        </is>
      </c>
      <c r="F2905" s="2" t="n">
        <v>0.07000000000000001</v>
      </c>
      <c r="G2905" s="6" t="n">
        <v>215.96</v>
      </c>
      <c r="H2905" s="6">
        <f>F2905*G2905</f>
        <v/>
      </c>
      <c r="I2905">
        <f>_xlfn.XLOOKUP(A2905,MktTitle,MktCat,"n/a")</f>
        <v/>
      </c>
      <c r="J2905" s="3">
        <f>_xlfn.XLOOKUP(A2905,MktTitle,MktTotVol,0)</f>
        <v/>
      </c>
      <c r="K2905">
        <f>IF(H2905&gt;WhaleThreshold,"WHALE","")</f>
        <v/>
      </c>
    </row>
    <row r="2906">
      <c r="A2906" t="inlineStr">
        <is>
          <t>Will Portugal win the 2026 FIFA World Cup?</t>
        </is>
      </c>
      <c r="B2906" s="4" t="n">
        <v>46206</v>
      </c>
      <c r="C2906" s="5" t="n">
        <v>46206.0584837963</v>
      </c>
      <c r="D2906" t="inlineStr">
        <is>
          <t>SELL</t>
        </is>
      </c>
      <c r="E2906" t="inlineStr">
        <is>
          <t>Yes</t>
        </is>
      </c>
      <c r="F2906" s="2" t="n">
        <v>0.06900000000000001</v>
      </c>
      <c r="G2906" s="6" t="n">
        <v>31.38</v>
      </c>
      <c r="H2906" s="6">
        <f>F2906*G2906</f>
        <v/>
      </c>
      <c r="I2906">
        <f>_xlfn.XLOOKUP(A2906,MktTitle,MktCat,"n/a")</f>
        <v/>
      </c>
      <c r="J2906" s="3">
        <f>_xlfn.XLOOKUP(A2906,MktTitle,MktTotVol,0)</f>
        <v/>
      </c>
      <c r="K2906">
        <f>IF(H2906&gt;WhaleThreshold,"WHALE","")</f>
        <v/>
      </c>
    </row>
    <row r="2907">
      <c r="A2907" t="inlineStr">
        <is>
          <t>Will Portugal win the 2026 FIFA World Cup?</t>
        </is>
      </c>
      <c r="B2907" s="4" t="n">
        <v>46206</v>
      </c>
      <c r="C2907" s="5" t="n">
        <v>46206.05846064815</v>
      </c>
      <c r="D2907" t="inlineStr">
        <is>
          <t>BUY</t>
        </is>
      </c>
      <c r="E2907" t="inlineStr">
        <is>
          <t>Yes</t>
        </is>
      </c>
      <c r="F2907" s="2" t="n">
        <v>0.07000000000000001</v>
      </c>
      <c r="G2907" s="6" t="n">
        <v>53.91</v>
      </c>
      <c r="H2907" s="6">
        <f>F2907*G2907</f>
        <v/>
      </c>
      <c r="I2907">
        <f>_xlfn.XLOOKUP(A2907,MktTitle,MktCat,"n/a")</f>
        <v/>
      </c>
      <c r="J2907" s="3">
        <f>_xlfn.XLOOKUP(A2907,MktTitle,MktTotVol,0)</f>
        <v/>
      </c>
      <c r="K2907">
        <f>IF(H2907&gt;WhaleThreshold,"WHALE","")</f>
        <v/>
      </c>
    </row>
    <row r="2908">
      <c r="A2908" t="inlineStr">
        <is>
          <t>Will Portugal win the 2026 FIFA World Cup?</t>
        </is>
      </c>
      <c r="B2908" s="4" t="n">
        <v>46206</v>
      </c>
      <c r="C2908" s="5" t="n">
        <v>46206.05844907407</v>
      </c>
      <c r="D2908" t="inlineStr">
        <is>
          <t>BUY</t>
        </is>
      </c>
      <c r="E2908" t="inlineStr">
        <is>
          <t>Yes</t>
        </is>
      </c>
      <c r="F2908" s="2" t="n">
        <v>0.07000000000000001</v>
      </c>
      <c r="G2908" s="6" t="n">
        <v>53.91</v>
      </c>
      <c r="H2908" s="6">
        <f>F2908*G2908</f>
        <v/>
      </c>
      <c r="I2908">
        <f>_xlfn.XLOOKUP(A2908,MktTitle,MktCat,"n/a")</f>
        <v/>
      </c>
      <c r="J2908" s="3">
        <f>_xlfn.XLOOKUP(A2908,MktTitle,MktTotVol,0)</f>
        <v/>
      </c>
      <c r="K2908">
        <f>IF(H2908&gt;WhaleThreshold,"WHALE","")</f>
        <v/>
      </c>
    </row>
    <row r="2909">
      <c r="A2909" t="inlineStr">
        <is>
          <t>Will Portugal win the 2026 FIFA World Cup?</t>
        </is>
      </c>
      <c r="B2909" s="4" t="n">
        <v>46206</v>
      </c>
      <c r="C2909" s="5" t="n">
        <v>46206.05841435185</v>
      </c>
      <c r="D2909" t="inlineStr">
        <is>
          <t>BUY</t>
        </is>
      </c>
      <c r="E2909" t="inlineStr">
        <is>
          <t>Yes</t>
        </is>
      </c>
      <c r="F2909" s="2" t="n">
        <v>0.07000000000000001</v>
      </c>
      <c r="G2909" s="6" t="n">
        <v>73.62</v>
      </c>
      <c r="H2909" s="6">
        <f>F2909*G2909</f>
        <v/>
      </c>
      <c r="I2909">
        <f>_xlfn.XLOOKUP(A2909,MktTitle,MktCat,"n/a")</f>
        <v/>
      </c>
      <c r="J2909" s="3">
        <f>_xlfn.XLOOKUP(A2909,MktTitle,MktTotVol,0)</f>
        <v/>
      </c>
      <c r="K2909">
        <f>IF(H2909&gt;WhaleThreshold,"WHALE","")</f>
        <v/>
      </c>
    </row>
    <row r="2910">
      <c r="A2910" t="inlineStr">
        <is>
          <t>Will Portugal win the 2026 FIFA World Cup?</t>
        </is>
      </c>
      <c r="B2910" s="4" t="n">
        <v>46206</v>
      </c>
      <c r="C2910" s="5" t="n">
        <v>46206.05831018519</v>
      </c>
      <c r="D2910" t="inlineStr">
        <is>
          <t>SELL</t>
        </is>
      </c>
      <c r="E2910" t="inlineStr">
        <is>
          <t>Yes</t>
        </is>
      </c>
      <c r="F2910" s="2" t="n">
        <v>0.06900000000000001</v>
      </c>
      <c r="G2910" s="6" t="n">
        <v>617.1799999999999</v>
      </c>
      <c r="H2910" s="6">
        <f>F2910*G2910</f>
        <v/>
      </c>
      <c r="I2910">
        <f>_xlfn.XLOOKUP(A2910,MktTitle,MktCat,"n/a")</f>
        <v/>
      </c>
      <c r="J2910" s="3">
        <f>_xlfn.XLOOKUP(A2910,MktTitle,MktTotVol,0)</f>
        <v/>
      </c>
      <c r="K2910">
        <f>IF(H2910&gt;WhaleThreshold,"WHALE","")</f>
        <v/>
      </c>
    </row>
    <row r="2911">
      <c r="A2911" t="inlineStr">
        <is>
          <t>Will Portugal win the 2026 FIFA World Cup?</t>
        </is>
      </c>
      <c r="B2911" s="4" t="n">
        <v>46206</v>
      </c>
      <c r="C2911" s="5" t="n">
        <v>46206.05800925926</v>
      </c>
      <c r="D2911" t="inlineStr">
        <is>
          <t>BUY</t>
        </is>
      </c>
      <c r="E2911" t="inlineStr">
        <is>
          <t>Yes</t>
        </is>
      </c>
      <c r="F2911" s="2" t="n">
        <v>0.07099999999999999</v>
      </c>
      <c r="G2911" s="6" t="n">
        <v>2112.6761</v>
      </c>
      <c r="H2911" s="6">
        <f>F2911*G2911</f>
        <v/>
      </c>
      <c r="I2911">
        <f>_xlfn.XLOOKUP(A2911,MktTitle,MktCat,"n/a")</f>
        <v/>
      </c>
      <c r="J2911" s="3">
        <f>_xlfn.XLOOKUP(A2911,MktTitle,MktTotVol,0)</f>
        <v/>
      </c>
      <c r="K2911">
        <f>IF(H2911&gt;WhaleThreshold,"WHALE","")</f>
        <v/>
      </c>
    </row>
    <row r="2912">
      <c r="A2912" t="inlineStr">
        <is>
          <t>Will Portugal win the 2026 FIFA World Cup?</t>
        </is>
      </c>
      <c r="B2912" s="4" t="n">
        <v>46206</v>
      </c>
      <c r="C2912" s="5" t="n">
        <v>46206.05800925926</v>
      </c>
      <c r="D2912" t="inlineStr">
        <is>
          <t>BUY</t>
        </is>
      </c>
      <c r="E2912" t="inlineStr">
        <is>
          <t>Yes</t>
        </is>
      </c>
      <c r="F2912" s="2" t="n">
        <v>0.07099999999999999</v>
      </c>
      <c r="G2912" s="6" t="n">
        <v>704.371</v>
      </c>
      <c r="H2912" s="6">
        <f>F2912*G2912</f>
        <v/>
      </c>
      <c r="I2912">
        <f>_xlfn.XLOOKUP(A2912,MktTitle,MktCat,"n/a")</f>
        <v/>
      </c>
      <c r="J2912" s="3">
        <f>_xlfn.XLOOKUP(A2912,MktTitle,MktTotVol,0)</f>
        <v/>
      </c>
      <c r="K2912">
        <f>IF(H2912&gt;WhaleThreshold,"WHALE","")</f>
        <v/>
      </c>
    </row>
    <row r="2913">
      <c r="A2913" t="inlineStr">
        <is>
          <t>Will Portugal win the 2026 FIFA World Cup?</t>
        </is>
      </c>
      <c r="B2913" s="4" t="n">
        <v>46206</v>
      </c>
      <c r="C2913" s="5" t="n">
        <v>46206.05751157407</v>
      </c>
      <c r="D2913" t="inlineStr">
        <is>
          <t>BUY</t>
        </is>
      </c>
      <c r="E2913" t="inlineStr">
        <is>
          <t>Yes</t>
        </is>
      </c>
      <c r="F2913" s="2" t="n">
        <v>0.07000000000000001</v>
      </c>
      <c r="G2913" s="6" t="n">
        <v>50</v>
      </c>
      <c r="H2913" s="6">
        <f>F2913*G2913</f>
        <v/>
      </c>
      <c r="I2913">
        <f>_xlfn.XLOOKUP(A2913,MktTitle,MktCat,"n/a")</f>
        <v/>
      </c>
      <c r="J2913" s="3">
        <f>_xlfn.XLOOKUP(A2913,MktTitle,MktTotVol,0)</f>
        <v/>
      </c>
      <c r="K2913">
        <f>IF(H2913&gt;WhaleThreshold,"WHALE","")</f>
        <v/>
      </c>
    </row>
    <row r="2914">
      <c r="A2914" t="inlineStr">
        <is>
          <t>Will Portugal win the 2026 FIFA World Cup?</t>
        </is>
      </c>
      <c r="B2914" s="4" t="n">
        <v>46206</v>
      </c>
      <c r="C2914" s="5" t="n">
        <v>46206.05738425926</v>
      </c>
      <c r="D2914" t="inlineStr">
        <is>
          <t>BUY</t>
        </is>
      </c>
      <c r="E2914" t="inlineStr">
        <is>
          <t>Yes</t>
        </is>
      </c>
      <c r="F2914" s="2" t="n">
        <v>0.07000000000000001</v>
      </c>
      <c r="G2914" s="6" t="n">
        <v>462.2857</v>
      </c>
      <c r="H2914" s="6">
        <f>F2914*G2914</f>
        <v/>
      </c>
      <c r="I2914">
        <f>_xlfn.XLOOKUP(A2914,MktTitle,MktCat,"n/a")</f>
        <v/>
      </c>
      <c r="J2914" s="3">
        <f>_xlfn.XLOOKUP(A2914,MktTitle,MktTotVol,0)</f>
        <v/>
      </c>
      <c r="K2914">
        <f>IF(H2914&gt;WhaleThreshold,"WHALE","")</f>
        <v/>
      </c>
    </row>
    <row r="2915">
      <c r="A2915" t="inlineStr">
        <is>
          <t>Will Portugal win the 2026 FIFA World Cup?</t>
        </is>
      </c>
      <c r="B2915" s="4" t="n">
        <v>46206</v>
      </c>
      <c r="C2915" s="5" t="n">
        <v>46206.05738425926</v>
      </c>
      <c r="D2915" t="inlineStr">
        <is>
          <t>SELL</t>
        </is>
      </c>
      <c r="E2915" t="inlineStr">
        <is>
          <t>No</t>
        </is>
      </c>
      <c r="F2915" s="2" t="n">
        <v>0.93</v>
      </c>
      <c r="G2915" s="6" t="n">
        <v>55</v>
      </c>
      <c r="H2915" s="6">
        <f>F2915*G2915</f>
        <v/>
      </c>
      <c r="I2915">
        <f>_xlfn.XLOOKUP(A2915,MktTitle,MktCat,"n/a")</f>
        <v/>
      </c>
      <c r="J2915" s="3">
        <f>_xlfn.XLOOKUP(A2915,MktTitle,MktTotVol,0)</f>
        <v/>
      </c>
      <c r="K2915">
        <f>IF(H2915&gt;WhaleThreshold,"WHALE","")</f>
        <v/>
      </c>
    </row>
    <row r="2916">
      <c r="A2916" t="inlineStr">
        <is>
          <t>Will Portugal win the 2026 FIFA World Cup?</t>
        </is>
      </c>
      <c r="B2916" s="4" t="n">
        <v>46206</v>
      </c>
      <c r="C2916" s="5" t="n">
        <v>46206.0571412037</v>
      </c>
      <c r="D2916" t="inlineStr">
        <is>
          <t>BUY</t>
        </is>
      </c>
      <c r="E2916" t="inlineStr">
        <is>
          <t>Yes</t>
        </is>
      </c>
      <c r="F2916" s="2" t="n">
        <v>0.0707</v>
      </c>
      <c r="G2916" s="6" t="n">
        <v>240.5634</v>
      </c>
      <c r="H2916" s="6">
        <f>F2916*G2916</f>
        <v/>
      </c>
      <c r="I2916">
        <f>_xlfn.XLOOKUP(A2916,MktTitle,MktCat,"n/a")</f>
        <v/>
      </c>
      <c r="J2916" s="3">
        <f>_xlfn.XLOOKUP(A2916,MktTitle,MktTotVol,0)</f>
        <v/>
      </c>
      <c r="K2916">
        <f>IF(H2916&gt;WhaleThreshold,"WHALE","")</f>
        <v/>
      </c>
    </row>
    <row r="2917">
      <c r="A2917" t="inlineStr">
        <is>
          <t>Will Portugal win the 2026 FIFA World Cup?</t>
        </is>
      </c>
      <c r="B2917" s="4" t="n">
        <v>46206</v>
      </c>
      <c r="C2917" s="5" t="n">
        <v>46206.05710648148</v>
      </c>
      <c r="D2917" t="inlineStr">
        <is>
          <t>BUY</t>
        </is>
      </c>
      <c r="E2917" t="inlineStr">
        <is>
          <t>Yes</t>
        </is>
      </c>
      <c r="F2917" s="2" t="n">
        <v>0.07099999999999999</v>
      </c>
      <c r="G2917" s="6" t="n">
        <v>76.61969999999999</v>
      </c>
      <c r="H2917" s="6">
        <f>F2917*G2917</f>
        <v/>
      </c>
      <c r="I2917">
        <f>_xlfn.XLOOKUP(A2917,MktTitle,MktCat,"n/a")</f>
        <v/>
      </c>
      <c r="J2917" s="3">
        <f>_xlfn.XLOOKUP(A2917,MktTitle,MktTotVol,0)</f>
        <v/>
      </c>
      <c r="K2917">
        <f>IF(H2917&gt;WhaleThreshold,"WHALE","")</f>
        <v/>
      </c>
    </row>
    <row r="2918">
      <c r="A2918" t="inlineStr">
        <is>
          <t>Will Portugal win the 2026 FIFA World Cup?</t>
        </is>
      </c>
      <c r="B2918" s="4" t="n">
        <v>46206</v>
      </c>
      <c r="C2918" s="5" t="n">
        <v>46206.05707175926</v>
      </c>
      <c r="D2918" t="inlineStr">
        <is>
          <t>BUY</t>
        </is>
      </c>
      <c r="E2918" t="inlineStr">
        <is>
          <t>Yes</t>
        </is>
      </c>
      <c r="F2918" s="2" t="n">
        <v>0.0702</v>
      </c>
      <c r="G2918" s="6" t="n">
        <v>521.6308</v>
      </c>
      <c r="H2918" s="6">
        <f>F2918*G2918</f>
        <v/>
      </c>
      <c r="I2918">
        <f>_xlfn.XLOOKUP(A2918,MktTitle,MktCat,"n/a")</f>
        <v/>
      </c>
      <c r="J2918" s="3">
        <f>_xlfn.XLOOKUP(A2918,MktTitle,MktTotVol,0)</f>
        <v/>
      </c>
      <c r="K2918">
        <f>IF(H2918&gt;WhaleThreshold,"WHALE","")</f>
        <v/>
      </c>
    </row>
    <row r="2919">
      <c r="A2919" t="inlineStr">
        <is>
          <t>Will Portugal win the 2026 FIFA World Cup?</t>
        </is>
      </c>
      <c r="B2919" s="4" t="n">
        <v>46206</v>
      </c>
      <c r="C2919" s="5" t="n">
        <v>46206.05688657407</v>
      </c>
      <c r="D2919" t="inlineStr">
        <is>
          <t>SELL</t>
        </is>
      </c>
      <c r="E2919" t="inlineStr">
        <is>
          <t>Yes</t>
        </is>
      </c>
      <c r="F2919" s="2" t="n">
        <v>0.0694</v>
      </c>
      <c r="G2919" s="6" t="n">
        <v>743.7</v>
      </c>
      <c r="H2919" s="6">
        <f>F2919*G2919</f>
        <v/>
      </c>
      <c r="I2919">
        <f>_xlfn.XLOOKUP(A2919,MktTitle,MktCat,"n/a")</f>
        <v/>
      </c>
      <c r="J2919" s="3">
        <f>_xlfn.XLOOKUP(A2919,MktTitle,MktTotVol,0)</f>
        <v/>
      </c>
      <c r="K2919">
        <f>IF(H2919&gt;WhaleThreshold,"WHALE","")</f>
        <v/>
      </c>
    </row>
    <row r="2920">
      <c r="A2920" t="inlineStr">
        <is>
          <t>Will Portugal win the 2026 FIFA World Cup?</t>
        </is>
      </c>
      <c r="B2920" s="4" t="n">
        <v>46206</v>
      </c>
      <c r="C2920" s="5" t="n">
        <v>46206.05679398148</v>
      </c>
      <c r="D2920" t="inlineStr">
        <is>
          <t>SELL</t>
        </is>
      </c>
      <c r="E2920" t="inlineStr">
        <is>
          <t>Yes</t>
        </is>
      </c>
      <c r="F2920" s="2" t="n">
        <v>0.07000000000000001</v>
      </c>
      <c r="G2920" s="6" t="n">
        <v>385.32</v>
      </c>
      <c r="H2920" s="6">
        <f>F2920*G2920</f>
        <v/>
      </c>
      <c r="I2920">
        <f>_xlfn.XLOOKUP(A2920,MktTitle,MktCat,"n/a")</f>
        <v/>
      </c>
      <c r="J2920" s="3">
        <f>_xlfn.XLOOKUP(A2920,MktTitle,MktTotVol,0)</f>
        <v/>
      </c>
      <c r="K2920">
        <f>IF(H2920&gt;WhaleThreshold,"WHALE","")</f>
        <v/>
      </c>
    </row>
    <row r="2921">
      <c r="A2921" t="inlineStr">
        <is>
          <t>Will Portugal win the 2026 FIFA World Cup?</t>
        </is>
      </c>
      <c r="B2921" s="4" t="n">
        <v>46206</v>
      </c>
      <c r="C2921" s="5" t="n">
        <v>46206.05674768519</v>
      </c>
      <c r="D2921" t="inlineStr">
        <is>
          <t>BUY</t>
        </is>
      </c>
      <c r="E2921" t="inlineStr">
        <is>
          <t>Yes</t>
        </is>
      </c>
      <c r="F2921" s="2" t="n">
        <v>0.07099999999999999</v>
      </c>
      <c r="G2921" s="6" t="n">
        <v>1408.4507</v>
      </c>
      <c r="H2921" s="6">
        <f>F2921*G2921</f>
        <v/>
      </c>
      <c r="I2921">
        <f>_xlfn.XLOOKUP(A2921,MktTitle,MktCat,"n/a")</f>
        <v/>
      </c>
      <c r="J2921" s="3">
        <f>_xlfn.XLOOKUP(A2921,MktTitle,MktTotVol,0)</f>
        <v/>
      </c>
      <c r="K2921">
        <f>IF(H2921&gt;WhaleThreshold,"WHALE","")</f>
        <v/>
      </c>
    </row>
    <row r="2922">
      <c r="A2922" t="inlineStr">
        <is>
          <t>Will Portugal win the 2026 FIFA World Cup?</t>
        </is>
      </c>
      <c r="B2922" s="4" t="n">
        <v>46206</v>
      </c>
      <c r="C2922" s="5" t="n">
        <v>46206.05644675926</v>
      </c>
      <c r="D2922" t="inlineStr">
        <is>
          <t>SELL</t>
        </is>
      </c>
      <c r="E2922" t="inlineStr">
        <is>
          <t>Yes</t>
        </is>
      </c>
      <c r="F2922" s="2" t="n">
        <v>0.07000000000000001</v>
      </c>
      <c r="G2922" s="6" t="n">
        <v>100.12</v>
      </c>
      <c r="H2922" s="6">
        <f>F2922*G2922</f>
        <v/>
      </c>
      <c r="I2922">
        <f>_xlfn.XLOOKUP(A2922,MktTitle,MktCat,"n/a")</f>
        <v/>
      </c>
      <c r="J2922" s="3">
        <f>_xlfn.XLOOKUP(A2922,MktTitle,MktTotVol,0)</f>
        <v/>
      </c>
      <c r="K2922">
        <f>IF(H2922&gt;WhaleThreshold,"WHALE","")</f>
        <v/>
      </c>
    </row>
    <row r="2923">
      <c r="A2923" t="inlineStr">
        <is>
          <t>Will Portugal win the 2026 FIFA World Cup?</t>
        </is>
      </c>
      <c r="B2923" s="4" t="n">
        <v>46206</v>
      </c>
      <c r="C2923" s="5" t="n">
        <v>46206.05626157407</v>
      </c>
      <c r="D2923" t="inlineStr">
        <is>
          <t>SELL</t>
        </is>
      </c>
      <c r="E2923" t="inlineStr">
        <is>
          <t>No</t>
        </is>
      </c>
      <c r="F2923" s="2" t="n">
        <v>0.929</v>
      </c>
      <c r="G2923" s="6" t="n">
        <v>88</v>
      </c>
      <c r="H2923" s="6">
        <f>F2923*G2923</f>
        <v/>
      </c>
      <c r="I2923">
        <f>_xlfn.XLOOKUP(A2923,MktTitle,MktCat,"n/a")</f>
        <v/>
      </c>
      <c r="J2923" s="3">
        <f>_xlfn.XLOOKUP(A2923,MktTitle,MktTotVol,0)</f>
        <v/>
      </c>
      <c r="K2923">
        <f>IF(H2923&gt;WhaleThreshold,"WHALE","")</f>
        <v/>
      </c>
    </row>
    <row r="2924">
      <c r="A2924" t="inlineStr">
        <is>
          <t>Will Portugal win the 2026 FIFA World Cup?</t>
        </is>
      </c>
      <c r="B2924" s="4" t="n">
        <v>46206</v>
      </c>
      <c r="C2924" s="5" t="n">
        <v>46206.0562037037</v>
      </c>
      <c r="D2924" t="inlineStr">
        <is>
          <t>BUY</t>
        </is>
      </c>
      <c r="E2924" t="inlineStr">
        <is>
          <t>Yes</t>
        </is>
      </c>
      <c r="F2924" s="2" t="n">
        <v>0.07000000000000001</v>
      </c>
      <c r="G2924" s="6" t="n">
        <v>14.2857</v>
      </c>
      <c r="H2924" s="6">
        <f>F2924*G2924</f>
        <v/>
      </c>
      <c r="I2924">
        <f>_xlfn.XLOOKUP(A2924,MktTitle,MktCat,"n/a")</f>
        <v/>
      </c>
      <c r="J2924" s="3">
        <f>_xlfn.XLOOKUP(A2924,MktTitle,MktTotVol,0)</f>
        <v/>
      </c>
      <c r="K2924">
        <f>IF(H2924&gt;WhaleThreshold,"WHALE","")</f>
        <v/>
      </c>
    </row>
    <row r="2925">
      <c r="A2925" t="inlineStr">
        <is>
          <t>Will Portugal win the 2026 FIFA World Cup?</t>
        </is>
      </c>
      <c r="B2925" s="4" t="n">
        <v>46206</v>
      </c>
      <c r="C2925" s="5" t="n">
        <v>46206.05608796296</v>
      </c>
      <c r="D2925" t="inlineStr">
        <is>
          <t>SELL</t>
        </is>
      </c>
      <c r="E2925" t="inlineStr">
        <is>
          <t>Yes</t>
        </is>
      </c>
      <c r="F2925" s="2" t="n">
        <v>0.06900000000000001</v>
      </c>
      <c r="G2925" s="6" t="n">
        <v>13.33</v>
      </c>
      <c r="H2925" s="6">
        <f>F2925*G2925</f>
        <v/>
      </c>
      <c r="I2925">
        <f>_xlfn.XLOOKUP(A2925,MktTitle,MktCat,"n/a")</f>
        <v/>
      </c>
      <c r="J2925" s="3">
        <f>_xlfn.XLOOKUP(A2925,MktTitle,MktTotVol,0)</f>
        <v/>
      </c>
      <c r="K2925">
        <f>IF(H2925&gt;WhaleThreshold,"WHALE","")</f>
        <v/>
      </c>
    </row>
    <row r="2926">
      <c r="A2926" t="inlineStr">
        <is>
          <t>Will Portugal win the 2026 FIFA World Cup?</t>
        </is>
      </c>
      <c r="B2926" s="4" t="n">
        <v>46206</v>
      </c>
      <c r="C2926" s="5" t="n">
        <v>46206.05606481482</v>
      </c>
      <c r="D2926" t="inlineStr">
        <is>
          <t>BUY</t>
        </is>
      </c>
      <c r="E2926" t="inlineStr">
        <is>
          <t>Yes</t>
        </is>
      </c>
      <c r="F2926" s="2" t="n">
        <v>0.0701</v>
      </c>
      <c r="G2926" s="6" t="n">
        <v>241.95</v>
      </c>
      <c r="H2926" s="6">
        <f>F2926*G2926</f>
        <v/>
      </c>
      <c r="I2926">
        <f>_xlfn.XLOOKUP(A2926,MktTitle,MktCat,"n/a")</f>
        <v/>
      </c>
      <c r="J2926" s="3">
        <f>_xlfn.XLOOKUP(A2926,MktTitle,MktTotVol,0)</f>
        <v/>
      </c>
      <c r="K2926">
        <f>IF(H2926&gt;WhaleThreshold,"WHALE","")</f>
        <v/>
      </c>
    </row>
    <row r="2927">
      <c r="A2927" t="inlineStr">
        <is>
          <t>Will Portugal win the 2026 FIFA World Cup?</t>
        </is>
      </c>
      <c r="B2927" s="4" t="n">
        <v>46206</v>
      </c>
      <c r="C2927" s="5" t="n">
        <v>46206.05605324074</v>
      </c>
      <c r="D2927" t="inlineStr">
        <is>
          <t>BUY</t>
        </is>
      </c>
      <c r="E2927" t="inlineStr">
        <is>
          <t>Yes</t>
        </is>
      </c>
      <c r="F2927" s="2" t="n">
        <v>0.07000000000000001</v>
      </c>
      <c r="G2927" s="6" t="n">
        <v>76.39</v>
      </c>
      <c r="H2927" s="6">
        <f>F2927*G2927</f>
        <v/>
      </c>
      <c r="I2927">
        <f>_xlfn.XLOOKUP(A2927,MktTitle,MktCat,"n/a")</f>
        <v/>
      </c>
      <c r="J2927" s="3">
        <f>_xlfn.XLOOKUP(A2927,MktTitle,MktTotVol,0)</f>
        <v/>
      </c>
      <c r="K2927">
        <f>IF(H2927&gt;WhaleThreshold,"WHALE","")</f>
        <v/>
      </c>
    </row>
    <row r="2928">
      <c r="A2928" t="inlineStr">
        <is>
          <t>Will Portugal win the 2026 FIFA World Cup?</t>
        </is>
      </c>
      <c r="B2928" s="4" t="n">
        <v>46206</v>
      </c>
      <c r="C2928" s="5" t="n">
        <v>46206.05598379629</v>
      </c>
      <c r="D2928" t="inlineStr">
        <is>
          <t>SELL</t>
        </is>
      </c>
      <c r="E2928" t="inlineStr">
        <is>
          <t>Yes</t>
        </is>
      </c>
      <c r="F2928" s="2" t="n">
        <v>0.06900000000000001</v>
      </c>
      <c r="G2928" s="6" t="n">
        <v>250</v>
      </c>
      <c r="H2928" s="6">
        <f>F2928*G2928</f>
        <v/>
      </c>
      <c r="I2928">
        <f>_xlfn.XLOOKUP(A2928,MktTitle,MktCat,"n/a")</f>
        <v/>
      </c>
      <c r="J2928" s="3">
        <f>_xlfn.XLOOKUP(A2928,MktTitle,MktTotVol,0)</f>
        <v/>
      </c>
      <c r="K2928">
        <f>IF(H2928&gt;WhaleThreshold,"WHALE","")</f>
        <v/>
      </c>
    </row>
    <row r="2929">
      <c r="A2929" t="inlineStr">
        <is>
          <t>Will Portugal win the 2026 FIFA World Cup?</t>
        </is>
      </c>
      <c r="B2929" s="4" t="n">
        <v>46206</v>
      </c>
      <c r="C2929" s="5" t="n">
        <v>46206.05594907407</v>
      </c>
      <c r="D2929" t="inlineStr">
        <is>
          <t>BUY</t>
        </is>
      </c>
      <c r="E2929" t="inlineStr">
        <is>
          <t>Yes</t>
        </is>
      </c>
      <c r="F2929" s="2" t="n">
        <v>0.07000000000000001</v>
      </c>
      <c r="G2929" s="6" t="n">
        <v>28.5714</v>
      </c>
      <c r="H2929" s="6">
        <f>F2929*G2929</f>
        <v/>
      </c>
      <c r="I2929">
        <f>_xlfn.XLOOKUP(A2929,MktTitle,MktCat,"n/a")</f>
        <v/>
      </c>
      <c r="J2929" s="3">
        <f>_xlfn.XLOOKUP(A2929,MktTitle,MktTotVol,0)</f>
        <v/>
      </c>
      <c r="K2929">
        <f>IF(H2929&gt;WhaleThreshold,"WHALE","")</f>
        <v/>
      </c>
    </row>
    <row r="2930">
      <c r="A2930" t="inlineStr">
        <is>
          <t>Will Portugal win the 2026 FIFA World Cup?</t>
        </is>
      </c>
      <c r="B2930" s="4" t="n">
        <v>46206</v>
      </c>
      <c r="C2930" s="5" t="n">
        <v>46206.0558912037</v>
      </c>
      <c r="D2930" t="inlineStr">
        <is>
          <t>BUY</t>
        </is>
      </c>
      <c r="E2930" t="inlineStr">
        <is>
          <t>Yes</t>
        </is>
      </c>
      <c r="F2930" s="2" t="n">
        <v>0.07000000000000001</v>
      </c>
      <c r="G2930" s="6" t="n">
        <v>100</v>
      </c>
      <c r="H2930" s="6">
        <f>F2930*G2930</f>
        <v/>
      </c>
      <c r="I2930">
        <f>_xlfn.XLOOKUP(A2930,MktTitle,MktCat,"n/a")</f>
        <v/>
      </c>
      <c r="J2930" s="3">
        <f>_xlfn.XLOOKUP(A2930,MktTitle,MktTotVol,0)</f>
        <v/>
      </c>
      <c r="K2930">
        <f>IF(H2930&gt;WhaleThreshold,"WHALE","")</f>
        <v/>
      </c>
    </row>
    <row r="2931">
      <c r="A2931" t="inlineStr">
        <is>
          <t>Will Portugal win the 2026 FIFA World Cup?</t>
        </is>
      </c>
      <c r="B2931" s="4" t="n">
        <v>46206</v>
      </c>
      <c r="C2931" s="5" t="n">
        <v>46206.05585648148</v>
      </c>
      <c r="D2931" t="inlineStr">
        <is>
          <t>BUY</t>
        </is>
      </c>
      <c r="E2931" t="inlineStr">
        <is>
          <t>Yes</t>
        </is>
      </c>
      <c r="F2931" s="2" t="n">
        <v>0.07000000000000001</v>
      </c>
      <c r="G2931" s="6" t="n">
        <v>655.8200000000001</v>
      </c>
      <c r="H2931" s="6">
        <f>F2931*G2931</f>
        <v/>
      </c>
      <c r="I2931">
        <f>_xlfn.XLOOKUP(A2931,MktTitle,MktCat,"n/a")</f>
        <v/>
      </c>
      <c r="J2931" s="3">
        <f>_xlfn.XLOOKUP(A2931,MktTitle,MktTotVol,0)</f>
        <v/>
      </c>
      <c r="K2931">
        <f>IF(H2931&gt;WhaleThreshold,"WHALE","")</f>
        <v/>
      </c>
    </row>
    <row r="2932">
      <c r="A2932" t="inlineStr">
        <is>
          <t>Will Portugal win the 2026 FIFA World Cup?</t>
        </is>
      </c>
      <c r="B2932" s="4" t="n">
        <v>46206</v>
      </c>
      <c r="C2932" s="5" t="n">
        <v>46206.05584490741</v>
      </c>
      <c r="D2932" t="inlineStr">
        <is>
          <t>BUY</t>
        </is>
      </c>
      <c r="E2932" t="inlineStr">
        <is>
          <t>Yes</t>
        </is>
      </c>
      <c r="F2932" s="2" t="n">
        <v>0.07000000000000001</v>
      </c>
      <c r="G2932" s="6" t="n">
        <v>53.91</v>
      </c>
      <c r="H2932" s="6">
        <f>F2932*G2932</f>
        <v/>
      </c>
      <c r="I2932">
        <f>_xlfn.XLOOKUP(A2932,MktTitle,MktCat,"n/a")</f>
        <v/>
      </c>
      <c r="J2932" s="3">
        <f>_xlfn.XLOOKUP(A2932,MktTitle,MktTotVol,0)</f>
        <v/>
      </c>
      <c r="K2932">
        <f>IF(H2932&gt;WhaleThreshold,"WHALE","")</f>
        <v/>
      </c>
    </row>
    <row r="2933">
      <c r="A2933" t="inlineStr">
        <is>
          <t>Will Portugal win the 2026 FIFA World Cup?</t>
        </is>
      </c>
      <c r="B2933" s="4" t="n">
        <v>46206</v>
      </c>
      <c r="C2933" s="5" t="n">
        <v>46206.05582175926</v>
      </c>
      <c r="D2933" t="inlineStr">
        <is>
          <t>BUY</t>
        </is>
      </c>
      <c r="E2933" t="inlineStr">
        <is>
          <t>Yes</t>
        </is>
      </c>
      <c r="F2933" s="2" t="n">
        <v>0.07000000000000001</v>
      </c>
      <c r="G2933" s="6" t="n">
        <v>107.92</v>
      </c>
      <c r="H2933" s="6">
        <f>F2933*G2933</f>
        <v/>
      </c>
      <c r="I2933">
        <f>_xlfn.XLOOKUP(A2933,MktTitle,MktCat,"n/a")</f>
        <v/>
      </c>
      <c r="J2933" s="3">
        <f>_xlfn.XLOOKUP(A2933,MktTitle,MktTotVol,0)</f>
        <v/>
      </c>
      <c r="K2933">
        <f>IF(H2933&gt;WhaleThreshold,"WHALE","")</f>
        <v/>
      </c>
    </row>
    <row r="2934">
      <c r="A2934" t="inlineStr">
        <is>
          <t>Will Portugal win the 2026 FIFA World Cup?</t>
        </is>
      </c>
      <c r="B2934" s="4" t="n">
        <v>46206</v>
      </c>
      <c r="C2934" s="5" t="n">
        <v>46206.05582175926</v>
      </c>
      <c r="D2934" t="inlineStr">
        <is>
          <t>BUY</t>
        </is>
      </c>
      <c r="E2934" t="inlineStr">
        <is>
          <t>Yes</t>
        </is>
      </c>
      <c r="F2934" s="2" t="n">
        <v>0.07000000000000001</v>
      </c>
      <c r="G2934" s="6" t="n">
        <v>32.35</v>
      </c>
      <c r="H2934" s="6">
        <f>F2934*G2934</f>
        <v/>
      </c>
      <c r="I2934">
        <f>_xlfn.XLOOKUP(A2934,MktTitle,MktCat,"n/a")</f>
        <v/>
      </c>
      <c r="J2934" s="3">
        <f>_xlfn.XLOOKUP(A2934,MktTitle,MktTotVol,0)</f>
        <v/>
      </c>
      <c r="K2934">
        <f>IF(H2934&gt;WhaleThreshold,"WHALE","")</f>
        <v/>
      </c>
    </row>
    <row r="2935">
      <c r="A2935" t="inlineStr">
        <is>
          <t>Will Portugal win the 2026 FIFA World Cup?</t>
        </is>
      </c>
      <c r="B2935" s="4" t="n">
        <v>46206</v>
      </c>
      <c r="C2935" s="5" t="n">
        <v>46206.05564814815</v>
      </c>
      <c r="D2935" t="inlineStr">
        <is>
          <t>BUY</t>
        </is>
      </c>
      <c r="E2935" t="inlineStr">
        <is>
          <t>Yes</t>
        </is>
      </c>
      <c r="F2935" s="2" t="n">
        <v>0.07099999999999999</v>
      </c>
      <c r="G2935" s="6" t="n">
        <v>73.34999999999999</v>
      </c>
      <c r="H2935" s="6">
        <f>F2935*G2935</f>
        <v/>
      </c>
      <c r="I2935">
        <f>_xlfn.XLOOKUP(A2935,MktTitle,MktCat,"n/a")</f>
        <v/>
      </c>
      <c r="J2935" s="3">
        <f>_xlfn.XLOOKUP(A2935,MktTitle,MktTotVol,0)</f>
        <v/>
      </c>
      <c r="K2935">
        <f>IF(H2935&gt;WhaleThreshold,"WHALE","")</f>
        <v/>
      </c>
    </row>
    <row r="2936">
      <c r="A2936" t="inlineStr">
        <is>
          <t>Will Portugal win the 2026 FIFA World Cup?</t>
        </is>
      </c>
      <c r="B2936" s="4" t="n">
        <v>46206</v>
      </c>
      <c r="C2936" s="5" t="n">
        <v>46206.05563657408</v>
      </c>
      <c r="D2936" t="inlineStr">
        <is>
          <t>SELL</t>
        </is>
      </c>
      <c r="E2936" t="inlineStr">
        <is>
          <t>Yes</t>
        </is>
      </c>
      <c r="F2936" s="2" t="n">
        <v>0.06950000000000001</v>
      </c>
      <c r="G2936" s="6" t="n">
        <v>26045.71</v>
      </c>
      <c r="H2936" s="6">
        <f>F2936*G2936</f>
        <v/>
      </c>
      <c r="I2936">
        <f>_xlfn.XLOOKUP(A2936,MktTitle,MktCat,"n/a")</f>
        <v/>
      </c>
      <c r="J2936" s="3">
        <f>_xlfn.XLOOKUP(A2936,MktTitle,MktTotVol,0)</f>
        <v/>
      </c>
      <c r="K2936">
        <f>IF(H2936&gt;WhaleThreshold,"WHALE","")</f>
        <v/>
      </c>
    </row>
    <row r="2937">
      <c r="A2937" t="inlineStr">
        <is>
          <t>Will Portugal win the 2026 FIFA World Cup?</t>
        </is>
      </c>
      <c r="B2937" s="4" t="n">
        <v>46206</v>
      </c>
      <c r="C2937" s="5" t="n">
        <v>46206.05563657408</v>
      </c>
      <c r="D2937" t="inlineStr">
        <is>
          <t>SELL</t>
        </is>
      </c>
      <c r="E2937" t="inlineStr">
        <is>
          <t>Yes</t>
        </is>
      </c>
      <c r="F2937" s="2" t="n">
        <v>0.07099999999999999</v>
      </c>
      <c r="G2937" s="6" t="n">
        <v>235.84</v>
      </c>
      <c r="H2937" s="6">
        <f>F2937*G2937</f>
        <v/>
      </c>
      <c r="I2937">
        <f>_xlfn.XLOOKUP(A2937,MktTitle,MktCat,"n/a")</f>
        <v/>
      </c>
      <c r="J2937" s="3">
        <f>_xlfn.XLOOKUP(A2937,MktTitle,MktTotVol,0)</f>
        <v/>
      </c>
      <c r="K2937">
        <f>IF(H2937&gt;WhaleThreshold,"WHALE","")</f>
        <v/>
      </c>
    </row>
    <row r="2938">
      <c r="A2938" t="inlineStr">
        <is>
          <t>Will Portugal win the 2026 FIFA World Cup?</t>
        </is>
      </c>
      <c r="B2938" s="4" t="n">
        <v>46206</v>
      </c>
      <c r="C2938" s="5" t="n">
        <v>46206.05547453704</v>
      </c>
      <c r="D2938" t="inlineStr">
        <is>
          <t>BUY</t>
        </is>
      </c>
      <c r="E2938" t="inlineStr">
        <is>
          <t>Yes</t>
        </is>
      </c>
      <c r="F2938" s="2" t="n">
        <v>0.07199999999999999</v>
      </c>
      <c r="G2938" s="6" t="n">
        <v>83.33329999999999</v>
      </c>
      <c r="H2938" s="6">
        <f>F2938*G2938</f>
        <v/>
      </c>
      <c r="I2938">
        <f>_xlfn.XLOOKUP(A2938,MktTitle,MktCat,"n/a")</f>
        <v/>
      </c>
      <c r="J2938" s="3">
        <f>_xlfn.XLOOKUP(A2938,MktTitle,MktTotVol,0)</f>
        <v/>
      </c>
      <c r="K2938">
        <f>IF(H2938&gt;WhaleThreshold,"WHALE","")</f>
        <v/>
      </c>
    </row>
    <row r="2939">
      <c r="A2939" t="inlineStr">
        <is>
          <t>Will Portugal win the 2026 FIFA World Cup?</t>
        </is>
      </c>
      <c r="B2939" s="4" t="n">
        <v>46206</v>
      </c>
      <c r="C2939" s="5" t="n">
        <v>46206.05542824074</v>
      </c>
      <c r="D2939" t="inlineStr">
        <is>
          <t>SELL</t>
        </is>
      </c>
      <c r="E2939" t="inlineStr">
        <is>
          <t>Yes</t>
        </is>
      </c>
      <c r="F2939" s="2" t="n">
        <v>0.07099999999999999</v>
      </c>
      <c r="G2939" s="6" t="n">
        <v>75</v>
      </c>
      <c r="H2939" s="6">
        <f>F2939*G2939</f>
        <v/>
      </c>
      <c r="I2939">
        <f>_xlfn.XLOOKUP(A2939,MktTitle,MktCat,"n/a")</f>
        <v/>
      </c>
      <c r="J2939" s="3">
        <f>_xlfn.XLOOKUP(A2939,MktTitle,MktTotVol,0)</f>
        <v/>
      </c>
      <c r="K2939">
        <f>IF(H2939&gt;WhaleThreshold,"WHALE","")</f>
        <v/>
      </c>
    </row>
    <row r="2940">
      <c r="A2940" t="inlineStr">
        <is>
          <t>Will Portugal win the 2026 FIFA World Cup?</t>
        </is>
      </c>
      <c r="B2940" s="4" t="n">
        <v>46206</v>
      </c>
      <c r="C2940" s="5" t="n">
        <v>46206.05537037037</v>
      </c>
      <c r="D2940" t="inlineStr">
        <is>
          <t>BUY</t>
        </is>
      </c>
      <c r="E2940" t="inlineStr">
        <is>
          <t>Yes</t>
        </is>
      </c>
      <c r="F2940" s="2" t="n">
        <v>0.07199999999999999</v>
      </c>
      <c r="G2940" s="6" t="n">
        <v>128.1944</v>
      </c>
      <c r="H2940" s="6">
        <f>F2940*G2940</f>
        <v/>
      </c>
      <c r="I2940">
        <f>_xlfn.XLOOKUP(A2940,MktTitle,MktCat,"n/a")</f>
        <v/>
      </c>
      <c r="J2940" s="3">
        <f>_xlfn.XLOOKUP(A2940,MktTitle,MktTotVol,0)</f>
        <v/>
      </c>
      <c r="K2940">
        <f>IF(H2940&gt;WhaleThreshold,"WHALE","")</f>
        <v/>
      </c>
    </row>
    <row r="2941">
      <c r="A2941" t="inlineStr">
        <is>
          <t>Will Portugal win the 2026 FIFA World Cup?</t>
        </is>
      </c>
      <c r="B2941" s="4" t="n">
        <v>46206</v>
      </c>
      <c r="C2941" s="5" t="n">
        <v>46206.05532407408</v>
      </c>
      <c r="D2941" t="inlineStr">
        <is>
          <t>BUY</t>
        </is>
      </c>
      <c r="E2941" t="inlineStr">
        <is>
          <t>Yes</t>
        </is>
      </c>
      <c r="F2941" s="2" t="n">
        <v>0.07199999999999999</v>
      </c>
      <c r="G2941" s="6" t="n">
        <v>2777.7778</v>
      </c>
      <c r="H2941" s="6">
        <f>F2941*G2941</f>
        <v/>
      </c>
      <c r="I2941">
        <f>_xlfn.XLOOKUP(A2941,MktTitle,MktCat,"n/a")</f>
        <v/>
      </c>
      <c r="J2941" s="3">
        <f>_xlfn.XLOOKUP(A2941,MktTitle,MktTotVol,0)</f>
        <v/>
      </c>
      <c r="K2941">
        <f>IF(H2941&gt;WhaleThreshold,"WHALE","")</f>
        <v/>
      </c>
    </row>
    <row r="2942">
      <c r="A2942" t="inlineStr">
        <is>
          <t>Will Portugal win the 2026 FIFA World Cup?</t>
        </is>
      </c>
      <c r="B2942" s="4" t="n">
        <v>46206</v>
      </c>
      <c r="C2942" s="5" t="n">
        <v>46206.05530092592</v>
      </c>
      <c r="D2942" t="inlineStr">
        <is>
          <t>BUY</t>
        </is>
      </c>
      <c r="E2942" t="inlineStr">
        <is>
          <t>Yes</t>
        </is>
      </c>
      <c r="F2942" s="2" t="n">
        <v>0.07199999999999999</v>
      </c>
      <c r="G2942" s="6" t="n">
        <v>100</v>
      </c>
      <c r="H2942" s="6">
        <f>F2942*G2942</f>
        <v/>
      </c>
      <c r="I2942">
        <f>_xlfn.XLOOKUP(A2942,MktTitle,MktCat,"n/a")</f>
        <v/>
      </c>
      <c r="J2942" s="3">
        <f>_xlfn.XLOOKUP(A2942,MktTitle,MktTotVol,0)</f>
        <v/>
      </c>
      <c r="K2942">
        <f>IF(H2942&gt;WhaleThreshold,"WHALE","")</f>
        <v/>
      </c>
    </row>
    <row r="2943">
      <c r="A2943" t="inlineStr">
        <is>
          <t>Will Portugal win the 2026 FIFA World Cup?</t>
        </is>
      </c>
      <c r="B2943" s="4" t="n">
        <v>46206</v>
      </c>
      <c r="C2943" s="5" t="n">
        <v>46206.05518518519</v>
      </c>
      <c r="D2943" t="inlineStr">
        <is>
          <t>BUY</t>
        </is>
      </c>
      <c r="E2943" t="inlineStr">
        <is>
          <t>Yes</t>
        </is>
      </c>
      <c r="F2943" s="2" t="n">
        <v>0.07199999999999999</v>
      </c>
      <c r="G2943" s="6" t="n">
        <v>13.8889</v>
      </c>
      <c r="H2943" s="6">
        <f>F2943*G2943</f>
        <v/>
      </c>
      <c r="I2943">
        <f>_xlfn.XLOOKUP(A2943,MktTitle,MktCat,"n/a")</f>
        <v/>
      </c>
      <c r="J2943" s="3">
        <f>_xlfn.XLOOKUP(A2943,MktTitle,MktTotVol,0)</f>
        <v/>
      </c>
      <c r="K2943">
        <f>IF(H2943&gt;WhaleThreshold,"WHALE","")</f>
        <v/>
      </c>
    </row>
    <row r="2944">
      <c r="A2944" t="inlineStr">
        <is>
          <t>Will Portugal win the 2026 FIFA World Cup?</t>
        </is>
      </c>
      <c r="B2944" s="4" t="n">
        <v>46206</v>
      </c>
      <c r="C2944" s="5" t="n">
        <v>46206.05505787037</v>
      </c>
      <c r="D2944" t="inlineStr">
        <is>
          <t>BUY</t>
        </is>
      </c>
      <c r="E2944" t="inlineStr">
        <is>
          <t>No</t>
        </is>
      </c>
      <c r="F2944" s="2" t="n">
        <v>0.929</v>
      </c>
      <c r="G2944" s="6" t="n">
        <v>22.6049</v>
      </c>
      <c r="H2944" s="6">
        <f>F2944*G2944</f>
        <v/>
      </c>
      <c r="I2944">
        <f>_xlfn.XLOOKUP(A2944,MktTitle,MktCat,"n/a")</f>
        <v/>
      </c>
      <c r="J2944" s="3">
        <f>_xlfn.XLOOKUP(A2944,MktTitle,MktTotVol,0)</f>
        <v/>
      </c>
      <c r="K2944">
        <f>IF(H2944&gt;WhaleThreshold,"WHALE","")</f>
        <v/>
      </c>
    </row>
    <row r="2945">
      <c r="A2945" t="inlineStr">
        <is>
          <t>Will Portugal win the 2026 FIFA World Cup?</t>
        </is>
      </c>
      <c r="B2945" s="4" t="n">
        <v>46206</v>
      </c>
      <c r="C2945" s="5" t="n">
        <v>46206.05504629629</v>
      </c>
      <c r="D2945" t="inlineStr">
        <is>
          <t>BUY</t>
        </is>
      </c>
      <c r="E2945" t="inlineStr">
        <is>
          <t>Yes</t>
        </is>
      </c>
      <c r="F2945" s="2" t="n">
        <v>0.07199999999999999</v>
      </c>
      <c r="G2945" s="6" t="n">
        <v>26.29</v>
      </c>
      <c r="H2945" s="6">
        <f>F2945*G2945</f>
        <v/>
      </c>
      <c r="I2945">
        <f>_xlfn.XLOOKUP(A2945,MktTitle,MktCat,"n/a")</f>
        <v/>
      </c>
      <c r="J2945" s="3">
        <f>_xlfn.XLOOKUP(A2945,MktTitle,MktTotVol,0)</f>
        <v/>
      </c>
      <c r="K2945">
        <f>IF(H2945&gt;WhaleThreshold,"WHALE","")</f>
        <v/>
      </c>
    </row>
    <row r="2946">
      <c r="A2946" t="inlineStr">
        <is>
          <t>Will Portugal win the 2026 FIFA World Cup?</t>
        </is>
      </c>
      <c r="B2946" s="4" t="n">
        <v>46206</v>
      </c>
      <c r="C2946" s="5" t="n">
        <v>46206.05504629629</v>
      </c>
      <c r="D2946" t="inlineStr">
        <is>
          <t>SELL</t>
        </is>
      </c>
      <c r="E2946" t="inlineStr">
        <is>
          <t>Yes</t>
        </is>
      </c>
      <c r="F2946" s="2" t="n">
        <v>0.07099999999999999</v>
      </c>
      <c r="G2946" s="6" t="n">
        <v>600</v>
      </c>
      <c r="H2946" s="6">
        <f>F2946*G2946</f>
        <v/>
      </c>
      <c r="I2946">
        <f>_xlfn.XLOOKUP(A2946,MktTitle,MktCat,"n/a")</f>
        <v/>
      </c>
      <c r="J2946" s="3">
        <f>_xlfn.XLOOKUP(A2946,MktTitle,MktTotVol,0)</f>
        <v/>
      </c>
      <c r="K2946">
        <f>IF(H2946&gt;WhaleThreshold,"WHALE","")</f>
        <v/>
      </c>
    </row>
    <row r="2947">
      <c r="A2947" t="inlineStr">
        <is>
          <t>Will Portugal win the 2026 FIFA World Cup?</t>
        </is>
      </c>
      <c r="B2947" s="4" t="n">
        <v>46206</v>
      </c>
      <c r="C2947" s="5" t="n">
        <v>46206.05501157408</v>
      </c>
      <c r="D2947" t="inlineStr">
        <is>
          <t>BUY</t>
        </is>
      </c>
      <c r="E2947" t="inlineStr">
        <is>
          <t>Yes</t>
        </is>
      </c>
      <c r="F2947" s="2" t="n">
        <v>0.07199999999999999</v>
      </c>
      <c r="G2947" s="6" t="n">
        <v>14.36</v>
      </c>
      <c r="H2947" s="6">
        <f>F2947*G2947</f>
        <v/>
      </c>
      <c r="I2947">
        <f>_xlfn.XLOOKUP(A2947,MktTitle,MktCat,"n/a")</f>
        <v/>
      </c>
      <c r="J2947" s="3">
        <f>_xlfn.XLOOKUP(A2947,MktTitle,MktTotVol,0)</f>
        <v/>
      </c>
      <c r="K2947">
        <f>IF(H2947&gt;WhaleThreshold,"WHALE","")</f>
        <v/>
      </c>
    </row>
    <row r="2948">
      <c r="A2948" t="inlineStr">
        <is>
          <t>Will Portugal win the 2026 FIFA World Cup?</t>
        </is>
      </c>
      <c r="B2948" s="4" t="n">
        <v>46206</v>
      </c>
      <c r="C2948" s="5" t="n">
        <v>46206.05498842592</v>
      </c>
      <c r="D2948" t="inlineStr">
        <is>
          <t>SELL</t>
        </is>
      </c>
      <c r="E2948" t="inlineStr">
        <is>
          <t>Yes</t>
        </is>
      </c>
      <c r="F2948" s="2" t="n">
        <v>0.07099999999999999</v>
      </c>
      <c r="G2948" s="6" t="n">
        <v>327.86</v>
      </c>
      <c r="H2948" s="6">
        <f>F2948*G2948</f>
        <v/>
      </c>
      <c r="I2948">
        <f>_xlfn.XLOOKUP(A2948,MktTitle,MktCat,"n/a")</f>
        <v/>
      </c>
      <c r="J2948" s="3">
        <f>_xlfn.XLOOKUP(A2948,MktTitle,MktTotVol,0)</f>
        <v/>
      </c>
      <c r="K2948">
        <f>IF(H2948&gt;WhaleThreshold,"WHALE","")</f>
        <v/>
      </c>
    </row>
    <row r="2949">
      <c r="A2949" t="inlineStr">
        <is>
          <t>Will Portugal win the 2026 FIFA World Cup?</t>
        </is>
      </c>
      <c r="B2949" s="4" t="n">
        <v>46206</v>
      </c>
      <c r="C2949" s="5" t="n">
        <v>46206.05494212963</v>
      </c>
      <c r="D2949" t="inlineStr">
        <is>
          <t>BUY</t>
        </is>
      </c>
      <c r="E2949" t="inlineStr">
        <is>
          <t>Yes</t>
        </is>
      </c>
      <c r="F2949" s="2" t="n">
        <v>0.07199999999999999</v>
      </c>
      <c r="G2949" s="6" t="n">
        <v>97.2222</v>
      </c>
      <c r="H2949" s="6">
        <f>F2949*G2949</f>
        <v/>
      </c>
      <c r="I2949">
        <f>_xlfn.XLOOKUP(A2949,MktTitle,MktCat,"n/a")</f>
        <v/>
      </c>
      <c r="J2949" s="3">
        <f>_xlfn.XLOOKUP(A2949,MktTitle,MktTotVol,0)</f>
        <v/>
      </c>
      <c r="K2949">
        <f>IF(H2949&gt;WhaleThreshold,"WHALE","")</f>
        <v/>
      </c>
    </row>
    <row r="2950">
      <c r="A2950" t="inlineStr">
        <is>
          <t>Will Portugal win the 2026 FIFA World Cup?</t>
        </is>
      </c>
      <c r="B2950" s="4" t="n">
        <v>46206</v>
      </c>
      <c r="C2950" s="5" t="n">
        <v>46206.05494212963</v>
      </c>
      <c r="D2950" t="inlineStr">
        <is>
          <t>BUY</t>
        </is>
      </c>
      <c r="E2950" t="inlineStr">
        <is>
          <t>Yes</t>
        </is>
      </c>
      <c r="F2950" s="2" t="n">
        <v>0.07199999999999999</v>
      </c>
      <c r="G2950" s="6" t="n">
        <v>13782.6389</v>
      </c>
      <c r="H2950" s="6">
        <f>F2950*G2950</f>
        <v/>
      </c>
      <c r="I2950">
        <f>_xlfn.XLOOKUP(A2950,MktTitle,MktCat,"n/a")</f>
        <v/>
      </c>
      <c r="J2950" s="3">
        <f>_xlfn.XLOOKUP(A2950,MktTitle,MktTotVol,0)</f>
        <v/>
      </c>
      <c r="K2950">
        <f>IF(H2950&gt;WhaleThreshold,"WHALE","")</f>
        <v/>
      </c>
    </row>
    <row r="2951">
      <c r="A2951" t="inlineStr">
        <is>
          <t>Will Portugal win the 2026 FIFA World Cup?</t>
        </is>
      </c>
      <c r="B2951" s="4" t="n">
        <v>46206</v>
      </c>
      <c r="C2951" s="5" t="n">
        <v>46206.05491898148</v>
      </c>
      <c r="D2951" t="inlineStr">
        <is>
          <t>BUY</t>
        </is>
      </c>
      <c r="E2951" t="inlineStr">
        <is>
          <t>Yes</t>
        </is>
      </c>
      <c r="F2951" s="2" t="n">
        <v>0.07199999999999999</v>
      </c>
      <c r="G2951" s="6" t="n">
        <v>62.25</v>
      </c>
      <c r="H2951" s="6">
        <f>F2951*G2951</f>
        <v/>
      </c>
      <c r="I2951">
        <f>_xlfn.XLOOKUP(A2951,MktTitle,MktCat,"n/a")</f>
        <v/>
      </c>
      <c r="J2951" s="3">
        <f>_xlfn.XLOOKUP(A2951,MktTitle,MktTotVol,0)</f>
        <v/>
      </c>
      <c r="K2951">
        <f>IF(H2951&gt;WhaleThreshold,"WHALE","")</f>
        <v/>
      </c>
    </row>
    <row r="2952">
      <c r="A2952" t="inlineStr">
        <is>
          <t>Will Portugal win the 2026 FIFA World Cup?</t>
        </is>
      </c>
      <c r="B2952" s="4" t="n">
        <v>46206</v>
      </c>
      <c r="C2952" s="5" t="n">
        <v>46206.05491898148</v>
      </c>
      <c r="D2952" t="inlineStr">
        <is>
          <t>SELL</t>
        </is>
      </c>
      <c r="E2952" t="inlineStr">
        <is>
          <t>Yes</t>
        </is>
      </c>
      <c r="F2952" s="2" t="n">
        <v>0.07099999999999999</v>
      </c>
      <c r="G2952" s="6" t="n">
        <v>1420.5</v>
      </c>
      <c r="H2952" s="6">
        <f>F2952*G2952</f>
        <v/>
      </c>
      <c r="I2952">
        <f>_xlfn.XLOOKUP(A2952,MktTitle,MktCat,"n/a")</f>
        <v/>
      </c>
      <c r="J2952" s="3">
        <f>_xlfn.XLOOKUP(A2952,MktTitle,MktTotVol,0)</f>
        <v/>
      </c>
      <c r="K2952">
        <f>IF(H2952&gt;WhaleThreshold,"WHALE","")</f>
        <v/>
      </c>
    </row>
    <row r="2953">
      <c r="A2953" t="inlineStr">
        <is>
          <t>Will Portugal win the 2026 FIFA World Cup?</t>
        </is>
      </c>
      <c r="B2953" s="4" t="n">
        <v>46206</v>
      </c>
      <c r="C2953" s="5" t="n">
        <v>46206.05488425926</v>
      </c>
      <c r="D2953" t="inlineStr">
        <is>
          <t>BUY</t>
        </is>
      </c>
      <c r="E2953" t="inlineStr">
        <is>
          <t>Yes</t>
        </is>
      </c>
      <c r="F2953" s="2" t="n">
        <v>0.07199999999999999</v>
      </c>
      <c r="G2953" s="6" t="n">
        <v>27.7778</v>
      </c>
      <c r="H2953" s="6">
        <f>F2953*G2953</f>
        <v/>
      </c>
      <c r="I2953">
        <f>_xlfn.XLOOKUP(A2953,MktTitle,MktCat,"n/a")</f>
        <v/>
      </c>
      <c r="J2953" s="3">
        <f>_xlfn.XLOOKUP(A2953,MktTitle,MktTotVol,0)</f>
        <v/>
      </c>
      <c r="K2953">
        <f>IF(H2953&gt;WhaleThreshold,"WHALE","")</f>
        <v/>
      </c>
    </row>
    <row r="2954">
      <c r="A2954" t="inlineStr">
        <is>
          <t>Will Portugal win the 2026 FIFA World Cup?</t>
        </is>
      </c>
      <c r="B2954" s="4" t="n">
        <v>46206</v>
      </c>
      <c r="C2954" s="5" t="n">
        <v>46206.05484953704</v>
      </c>
      <c r="D2954" t="inlineStr">
        <is>
          <t>BUY</t>
        </is>
      </c>
      <c r="E2954" t="inlineStr">
        <is>
          <t>Yes</t>
        </is>
      </c>
      <c r="F2954" s="2" t="n">
        <v>0.07199999999999999</v>
      </c>
      <c r="G2954" s="6" t="n">
        <v>22.2222</v>
      </c>
      <c r="H2954" s="6">
        <f>F2954*G2954</f>
        <v/>
      </c>
      <c r="I2954">
        <f>_xlfn.XLOOKUP(A2954,MktTitle,MktCat,"n/a")</f>
        <v/>
      </c>
      <c r="J2954" s="3">
        <f>_xlfn.XLOOKUP(A2954,MktTitle,MktTotVol,0)</f>
        <v/>
      </c>
      <c r="K2954">
        <f>IF(H2954&gt;WhaleThreshold,"WHALE","")</f>
        <v/>
      </c>
    </row>
    <row r="2955">
      <c r="A2955" t="inlineStr">
        <is>
          <t>Will Portugal win the 2026 FIFA World Cup?</t>
        </is>
      </c>
      <c r="B2955" s="4" t="n">
        <v>46206</v>
      </c>
      <c r="C2955" s="5" t="n">
        <v>46206.05478009259</v>
      </c>
      <c r="D2955" t="inlineStr">
        <is>
          <t>BUY</t>
        </is>
      </c>
      <c r="E2955" t="inlineStr">
        <is>
          <t>Yes</t>
        </is>
      </c>
      <c r="F2955" s="2" t="n">
        <v>0.07199999999999999</v>
      </c>
      <c r="G2955" s="6" t="n">
        <v>13.8889</v>
      </c>
      <c r="H2955" s="6">
        <f>F2955*G2955</f>
        <v/>
      </c>
      <c r="I2955">
        <f>_xlfn.XLOOKUP(A2955,MktTitle,MktCat,"n/a")</f>
        <v/>
      </c>
      <c r="J2955" s="3">
        <f>_xlfn.XLOOKUP(A2955,MktTitle,MktTotVol,0)</f>
        <v/>
      </c>
      <c r="K2955">
        <f>IF(H2955&gt;WhaleThreshold,"WHALE","")</f>
        <v/>
      </c>
    </row>
    <row r="2956">
      <c r="A2956" t="inlineStr">
        <is>
          <t>Will Portugal win the 2026 FIFA World Cup?</t>
        </is>
      </c>
      <c r="B2956" s="4" t="n">
        <v>46206</v>
      </c>
      <c r="C2956" s="5" t="n">
        <v>46206.05478009259</v>
      </c>
      <c r="D2956" t="inlineStr">
        <is>
          <t>BUY</t>
        </is>
      </c>
      <c r="E2956" t="inlineStr">
        <is>
          <t>Yes</t>
        </is>
      </c>
      <c r="F2956" s="2" t="n">
        <v>0.07199999999999999</v>
      </c>
      <c r="G2956" s="6" t="n">
        <v>247.38</v>
      </c>
      <c r="H2956" s="6">
        <f>F2956*G2956</f>
        <v/>
      </c>
      <c r="I2956">
        <f>_xlfn.XLOOKUP(A2956,MktTitle,MktCat,"n/a")</f>
        <v/>
      </c>
      <c r="J2956" s="3">
        <f>_xlfn.XLOOKUP(A2956,MktTitle,MktTotVol,0)</f>
        <v/>
      </c>
      <c r="K2956">
        <f>IF(H2956&gt;WhaleThreshold,"WHALE","")</f>
        <v/>
      </c>
    </row>
    <row r="2957">
      <c r="A2957" t="inlineStr">
        <is>
          <t>Will Portugal win the 2026 FIFA World Cup?</t>
        </is>
      </c>
      <c r="B2957" s="4" t="n">
        <v>46206</v>
      </c>
      <c r="C2957" s="5" t="n">
        <v>46206.05478009259</v>
      </c>
      <c r="D2957" t="inlineStr">
        <is>
          <t>SELL</t>
        </is>
      </c>
      <c r="E2957" t="inlineStr">
        <is>
          <t>Yes</t>
        </is>
      </c>
      <c r="F2957" s="2" t="n">
        <v>0.07099999999999999</v>
      </c>
      <c r="G2957" s="6" t="n">
        <v>7685.05</v>
      </c>
      <c r="H2957" s="6">
        <f>F2957*G2957</f>
        <v/>
      </c>
      <c r="I2957">
        <f>_xlfn.XLOOKUP(A2957,MktTitle,MktCat,"n/a")</f>
        <v/>
      </c>
      <c r="J2957" s="3">
        <f>_xlfn.XLOOKUP(A2957,MktTitle,MktTotVol,0)</f>
        <v/>
      </c>
      <c r="K2957">
        <f>IF(H2957&gt;WhaleThreshold,"WHALE","")</f>
        <v/>
      </c>
    </row>
    <row r="2958">
      <c r="A2958" t="inlineStr">
        <is>
          <t>Will Portugal win the 2026 FIFA World Cup?</t>
        </is>
      </c>
      <c r="B2958" s="4" t="n">
        <v>46206</v>
      </c>
      <c r="C2958" s="5" t="n">
        <v>46206.05474537037</v>
      </c>
      <c r="D2958" t="inlineStr">
        <is>
          <t>SELL</t>
        </is>
      </c>
      <c r="E2958" t="inlineStr">
        <is>
          <t>Yes</t>
        </is>
      </c>
      <c r="F2958" s="2" t="n">
        <v>0.07099999999999999</v>
      </c>
      <c r="G2958" s="6" t="n">
        <v>140.94</v>
      </c>
      <c r="H2958" s="6">
        <f>F2958*G2958</f>
        <v/>
      </c>
      <c r="I2958">
        <f>_xlfn.XLOOKUP(A2958,MktTitle,MktCat,"n/a")</f>
        <v/>
      </c>
      <c r="J2958" s="3">
        <f>_xlfn.XLOOKUP(A2958,MktTitle,MktTotVol,0)</f>
        <v/>
      </c>
      <c r="K2958">
        <f>IF(H2958&gt;WhaleThreshold,"WHALE","")</f>
        <v/>
      </c>
    </row>
    <row r="2959">
      <c r="A2959" t="inlineStr">
        <is>
          <t>Will Portugal win the 2026 FIFA World Cup?</t>
        </is>
      </c>
      <c r="B2959" s="4" t="n">
        <v>46206</v>
      </c>
      <c r="C2959" s="5" t="n">
        <v>46206.0547337963</v>
      </c>
      <c r="D2959" t="inlineStr">
        <is>
          <t>BUY</t>
        </is>
      </c>
      <c r="E2959" t="inlineStr">
        <is>
          <t>Yes</t>
        </is>
      </c>
      <c r="F2959" s="2" t="n">
        <v>0.07199999999999999</v>
      </c>
      <c r="G2959" s="6" t="n">
        <v>100</v>
      </c>
      <c r="H2959" s="6">
        <f>F2959*G2959</f>
        <v/>
      </c>
      <c r="I2959">
        <f>_xlfn.XLOOKUP(A2959,MktTitle,MktCat,"n/a")</f>
        <v/>
      </c>
      <c r="J2959" s="3">
        <f>_xlfn.XLOOKUP(A2959,MktTitle,MktTotVol,0)</f>
        <v/>
      </c>
      <c r="K2959">
        <f>IF(H2959&gt;WhaleThreshold,"WHALE","")</f>
        <v/>
      </c>
    </row>
    <row r="2960">
      <c r="A2960" t="inlineStr">
        <is>
          <t>Will Portugal win the 2026 FIFA World Cup?</t>
        </is>
      </c>
      <c r="B2960" s="4" t="n">
        <v>46206</v>
      </c>
      <c r="C2960" s="5" t="n">
        <v>46206.05469907408</v>
      </c>
      <c r="D2960" t="inlineStr">
        <is>
          <t>BUY</t>
        </is>
      </c>
      <c r="E2960" t="inlineStr">
        <is>
          <t>Yes</t>
        </is>
      </c>
      <c r="F2960" s="2" t="n">
        <v>0.07199999999999999</v>
      </c>
      <c r="G2960" s="6" t="n">
        <v>27.7778</v>
      </c>
      <c r="H2960" s="6">
        <f>F2960*G2960</f>
        <v/>
      </c>
      <c r="I2960">
        <f>_xlfn.XLOOKUP(A2960,MktTitle,MktCat,"n/a")</f>
        <v/>
      </c>
      <c r="J2960" s="3">
        <f>_xlfn.XLOOKUP(A2960,MktTitle,MktTotVol,0)</f>
        <v/>
      </c>
      <c r="K2960">
        <f>IF(H2960&gt;WhaleThreshold,"WHALE","")</f>
        <v/>
      </c>
    </row>
    <row r="2961">
      <c r="A2961" t="inlineStr">
        <is>
          <t>Will Portugal win the 2026 FIFA World Cup?</t>
        </is>
      </c>
      <c r="B2961" s="4" t="n">
        <v>46206</v>
      </c>
      <c r="C2961" s="5" t="n">
        <v>46206.05467592592</v>
      </c>
      <c r="D2961" t="inlineStr">
        <is>
          <t>SELL</t>
        </is>
      </c>
      <c r="E2961" t="inlineStr">
        <is>
          <t>No</t>
        </is>
      </c>
      <c r="F2961" s="2" t="n">
        <v>0.928</v>
      </c>
      <c r="G2961" s="6" t="n">
        <v>108</v>
      </c>
      <c r="H2961" s="6">
        <f>F2961*G2961</f>
        <v/>
      </c>
      <c r="I2961">
        <f>_xlfn.XLOOKUP(A2961,MktTitle,MktCat,"n/a")</f>
        <v/>
      </c>
      <c r="J2961" s="3">
        <f>_xlfn.XLOOKUP(A2961,MktTitle,MktTotVol,0)</f>
        <v/>
      </c>
      <c r="K2961">
        <f>IF(H2961&gt;WhaleThreshold,"WHALE","")</f>
        <v/>
      </c>
    </row>
    <row r="2962">
      <c r="A2962" t="inlineStr">
        <is>
          <t>Will Portugal win the 2026 FIFA World Cup?</t>
        </is>
      </c>
      <c r="B2962" s="4" t="n">
        <v>46206</v>
      </c>
      <c r="C2962" s="5" t="n">
        <v>46206.05466435185</v>
      </c>
      <c r="D2962" t="inlineStr">
        <is>
          <t>BUY</t>
        </is>
      </c>
      <c r="E2962" t="inlineStr">
        <is>
          <t>Yes</t>
        </is>
      </c>
      <c r="F2962" s="2" t="n">
        <v>0.07199999999999999</v>
      </c>
      <c r="G2962" s="6" t="n">
        <v>68.1944</v>
      </c>
      <c r="H2962" s="6">
        <f>F2962*G2962</f>
        <v/>
      </c>
      <c r="I2962">
        <f>_xlfn.XLOOKUP(A2962,MktTitle,MktCat,"n/a")</f>
        <v/>
      </c>
      <c r="J2962" s="3">
        <f>_xlfn.XLOOKUP(A2962,MktTitle,MktTotVol,0)</f>
        <v/>
      </c>
      <c r="K2962">
        <f>IF(H2962&gt;WhaleThreshold,"WHALE","")</f>
        <v/>
      </c>
    </row>
    <row r="2963">
      <c r="A2963" t="inlineStr">
        <is>
          <t>Will Portugal win the 2026 FIFA World Cup?</t>
        </is>
      </c>
      <c r="B2963" s="4" t="n">
        <v>46206</v>
      </c>
      <c r="C2963" s="5" t="n">
        <v>46206.05462962963</v>
      </c>
      <c r="D2963" t="inlineStr">
        <is>
          <t>SELL</t>
        </is>
      </c>
      <c r="E2963" t="inlineStr">
        <is>
          <t>Yes</t>
        </is>
      </c>
      <c r="F2963" s="2" t="n">
        <v>0.07099999999999999</v>
      </c>
      <c r="G2963" s="6" t="n">
        <v>553.21</v>
      </c>
      <c r="H2963" s="6">
        <f>F2963*G2963</f>
        <v/>
      </c>
      <c r="I2963">
        <f>_xlfn.XLOOKUP(A2963,MktTitle,MktCat,"n/a")</f>
        <v/>
      </c>
      <c r="J2963" s="3">
        <f>_xlfn.XLOOKUP(A2963,MktTitle,MktTotVol,0)</f>
        <v/>
      </c>
      <c r="K2963">
        <f>IF(H2963&gt;WhaleThreshold,"WHALE","")</f>
        <v/>
      </c>
    </row>
    <row r="2964">
      <c r="A2964" t="inlineStr">
        <is>
          <t>Will Portugal win the 2026 FIFA World Cup?</t>
        </is>
      </c>
      <c r="B2964" s="4" t="n">
        <v>46206</v>
      </c>
      <c r="C2964" s="5" t="n">
        <v>46206.05456018518</v>
      </c>
      <c r="D2964" t="inlineStr">
        <is>
          <t>SELL</t>
        </is>
      </c>
      <c r="E2964" t="inlineStr">
        <is>
          <t>Yes</t>
        </is>
      </c>
      <c r="F2964" s="2" t="n">
        <v>0.07099999999999999</v>
      </c>
      <c r="G2964" s="6" t="n">
        <v>275.22</v>
      </c>
      <c r="H2964" s="6">
        <f>F2964*G2964</f>
        <v/>
      </c>
      <c r="I2964">
        <f>_xlfn.XLOOKUP(A2964,MktTitle,MktCat,"n/a")</f>
        <v/>
      </c>
      <c r="J2964" s="3">
        <f>_xlfn.XLOOKUP(A2964,MktTitle,MktTotVol,0)</f>
        <v/>
      </c>
      <c r="K2964">
        <f>IF(H2964&gt;WhaleThreshold,"WHALE","")</f>
        <v/>
      </c>
    </row>
    <row r="2965">
      <c r="A2965" t="inlineStr">
        <is>
          <t>Will Portugal win the 2026 FIFA World Cup?</t>
        </is>
      </c>
      <c r="B2965" s="4" t="n">
        <v>46206</v>
      </c>
      <c r="C2965" s="5" t="n">
        <v>46206.05452546296</v>
      </c>
      <c r="D2965" t="inlineStr">
        <is>
          <t>BUY</t>
        </is>
      </c>
      <c r="E2965" t="inlineStr">
        <is>
          <t>Yes</t>
        </is>
      </c>
      <c r="F2965" s="2" t="n">
        <v>0.07199999999999999</v>
      </c>
      <c r="G2965" s="6" t="n">
        <v>138.8889</v>
      </c>
      <c r="H2965" s="6">
        <f>F2965*G2965</f>
        <v/>
      </c>
      <c r="I2965">
        <f>_xlfn.XLOOKUP(A2965,MktTitle,MktCat,"n/a")</f>
        <v/>
      </c>
      <c r="J2965" s="3">
        <f>_xlfn.XLOOKUP(A2965,MktTitle,MktTotVol,0)</f>
        <v/>
      </c>
      <c r="K2965">
        <f>IF(H2965&gt;WhaleThreshold,"WHALE","")</f>
        <v/>
      </c>
    </row>
    <row r="2966">
      <c r="A2966" t="inlineStr">
        <is>
          <t>Will Portugal win the 2026 FIFA World Cup?</t>
        </is>
      </c>
      <c r="B2966" s="4" t="n">
        <v>46206</v>
      </c>
      <c r="C2966" s="5" t="n">
        <v>46206.05435185185</v>
      </c>
      <c r="D2966" t="inlineStr">
        <is>
          <t>BUY</t>
        </is>
      </c>
      <c r="E2966" t="inlineStr">
        <is>
          <t>Yes</t>
        </is>
      </c>
      <c r="F2966" s="2" t="n">
        <v>0.07199999999999999</v>
      </c>
      <c r="G2966" s="6" t="n">
        <v>13.8889</v>
      </c>
      <c r="H2966" s="6">
        <f>F2966*G2966</f>
        <v/>
      </c>
      <c r="I2966">
        <f>_xlfn.XLOOKUP(A2966,MktTitle,MktCat,"n/a")</f>
        <v/>
      </c>
      <c r="J2966" s="3">
        <f>_xlfn.XLOOKUP(A2966,MktTitle,MktTotVol,0)</f>
        <v/>
      </c>
      <c r="K2966">
        <f>IF(H2966&gt;WhaleThreshold,"WHALE","")</f>
        <v/>
      </c>
    </row>
    <row r="2967">
      <c r="A2967" t="inlineStr">
        <is>
          <t>Will Portugal win the 2026 FIFA World Cup?</t>
        </is>
      </c>
      <c r="B2967" s="4" t="n">
        <v>46206</v>
      </c>
      <c r="C2967" s="5" t="n">
        <v>46206.05431712963</v>
      </c>
      <c r="D2967" t="inlineStr">
        <is>
          <t>SELL</t>
        </is>
      </c>
      <c r="E2967" t="inlineStr">
        <is>
          <t>Yes</t>
        </is>
      </c>
      <c r="F2967" s="2" t="n">
        <v>0.07099999999999999</v>
      </c>
      <c r="G2967" s="6" t="n">
        <v>990</v>
      </c>
      <c r="H2967" s="6">
        <f>F2967*G2967</f>
        <v/>
      </c>
      <c r="I2967">
        <f>_xlfn.XLOOKUP(A2967,MktTitle,MktCat,"n/a")</f>
        <v/>
      </c>
      <c r="J2967" s="3">
        <f>_xlfn.XLOOKUP(A2967,MktTitle,MktTotVol,0)</f>
        <v/>
      </c>
      <c r="K2967">
        <f>IF(H2967&gt;WhaleThreshold,"WHALE","")</f>
        <v/>
      </c>
    </row>
    <row r="2968">
      <c r="A2968" t="inlineStr">
        <is>
          <t>Will Portugal win the 2026 FIFA World Cup?</t>
        </is>
      </c>
      <c r="B2968" s="4" t="n">
        <v>46206</v>
      </c>
      <c r="C2968" s="5" t="n">
        <v>46206.05422453704</v>
      </c>
      <c r="D2968" t="inlineStr">
        <is>
          <t>SELL</t>
        </is>
      </c>
      <c r="E2968" t="inlineStr">
        <is>
          <t>Yes</t>
        </is>
      </c>
      <c r="F2968" s="2" t="n">
        <v>0.07000000000000001</v>
      </c>
      <c r="G2968" s="6" t="n">
        <v>47.44</v>
      </c>
      <c r="H2968" s="6">
        <f>F2968*G2968</f>
        <v/>
      </c>
      <c r="I2968">
        <f>_xlfn.XLOOKUP(A2968,MktTitle,MktCat,"n/a")</f>
        <v/>
      </c>
      <c r="J2968" s="3">
        <f>_xlfn.XLOOKUP(A2968,MktTitle,MktTotVol,0)</f>
        <v/>
      </c>
      <c r="K2968">
        <f>IF(H2968&gt;WhaleThreshold,"WHALE","")</f>
        <v/>
      </c>
    </row>
    <row r="2969">
      <c r="A2969" t="inlineStr">
        <is>
          <t>Will Portugal win the 2026 FIFA World Cup?</t>
        </is>
      </c>
      <c r="B2969" s="4" t="n">
        <v>46206</v>
      </c>
      <c r="C2969" s="5" t="n">
        <v>46206.05417824074</v>
      </c>
      <c r="D2969" t="inlineStr">
        <is>
          <t>SELL</t>
        </is>
      </c>
      <c r="E2969" t="inlineStr">
        <is>
          <t>No</t>
        </is>
      </c>
      <c r="F2969" s="2" t="n">
        <v>0.928</v>
      </c>
      <c r="G2969" s="6" t="n">
        <v>16.88</v>
      </c>
      <c r="H2969" s="6">
        <f>F2969*G2969</f>
        <v/>
      </c>
      <c r="I2969">
        <f>_xlfn.XLOOKUP(A2969,MktTitle,MktCat,"n/a")</f>
        <v/>
      </c>
      <c r="J2969" s="3">
        <f>_xlfn.XLOOKUP(A2969,MktTitle,MktTotVol,0)</f>
        <v/>
      </c>
      <c r="K2969">
        <f>IF(H2969&gt;WhaleThreshold,"WHALE","")</f>
        <v/>
      </c>
    </row>
    <row r="2970">
      <c r="A2970" t="inlineStr">
        <is>
          <t>Will Portugal win the 2026 FIFA World Cup?</t>
        </is>
      </c>
      <c r="B2970" s="4" t="n">
        <v>46206</v>
      </c>
      <c r="C2970" s="5" t="n">
        <v>46206.05414351852</v>
      </c>
      <c r="D2970" t="inlineStr">
        <is>
          <t>BUY</t>
        </is>
      </c>
      <c r="E2970" t="inlineStr">
        <is>
          <t>Yes</t>
        </is>
      </c>
      <c r="F2970" s="2" t="n">
        <v>0.07199999999999999</v>
      </c>
      <c r="G2970" s="6" t="n">
        <v>1770.6944</v>
      </c>
      <c r="H2970" s="6">
        <f>F2970*G2970</f>
        <v/>
      </c>
      <c r="I2970">
        <f>_xlfn.XLOOKUP(A2970,MktTitle,MktCat,"n/a")</f>
        <v/>
      </c>
      <c r="J2970" s="3">
        <f>_xlfn.XLOOKUP(A2970,MktTitle,MktTotVol,0)</f>
        <v/>
      </c>
      <c r="K2970">
        <f>IF(H2970&gt;WhaleThreshold,"WHALE","")</f>
        <v/>
      </c>
    </row>
    <row r="2971">
      <c r="A2971" t="inlineStr">
        <is>
          <t>Will Portugal win the 2026 FIFA World Cup?</t>
        </is>
      </c>
      <c r="B2971" s="4" t="n">
        <v>46206</v>
      </c>
      <c r="C2971" s="5" t="n">
        <v>46206.05407407408</v>
      </c>
      <c r="D2971" t="inlineStr">
        <is>
          <t>SELL</t>
        </is>
      </c>
      <c r="E2971" t="inlineStr">
        <is>
          <t>Yes</t>
        </is>
      </c>
      <c r="F2971" s="2" t="n">
        <v>0.0704</v>
      </c>
      <c r="G2971" s="6" t="n">
        <v>4500</v>
      </c>
      <c r="H2971" s="6">
        <f>F2971*G2971</f>
        <v/>
      </c>
      <c r="I2971">
        <f>_xlfn.XLOOKUP(A2971,MktTitle,MktCat,"n/a")</f>
        <v/>
      </c>
      <c r="J2971" s="3">
        <f>_xlfn.XLOOKUP(A2971,MktTitle,MktTotVol,0)</f>
        <v/>
      </c>
      <c r="K2971">
        <f>IF(H2971&gt;WhaleThreshold,"WHALE","")</f>
        <v/>
      </c>
    </row>
    <row r="2972">
      <c r="A2972" t="inlineStr">
        <is>
          <t>Will Portugal win the 2026 FIFA World Cup?</t>
        </is>
      </c>
      <c r="B2972" s="4" t="n">
        <v>46206</v>
      </c>
      <c r="C2972" s="5" t="n">
        <v>46206.05405092592</v>
      </c>
      <c r="D2972" t="inlineStr">
        <is>
          <t>SELL</t>
        </is>
      </c>
      <c r="E2972" t="inlineStr">
        <is>
          <t>Yes</t>
        </is>
      </c>
      <c r="F2972" s="2" t="n">
        <v>0.07099999999999999</v>
      </c>
      <c r="G2972" s="6" t="n">
        <v>6.09</v>
      </c>
      <c r="H2972" s="6">
        <f>F2972*G2972</f>
        <v/>
      </c>
      <c r="I2972">
        <f>_xlfn.XLOOKUP(A2972,MktTitle,MktCat,"n/a")</f>
        <v/>
      </c>
      <c r="J2972" s="3">
        <f>_xlfn.XLOOKUP(A2972,MktTitle,MktTotVol,0)</f>
        <v/>
      </c>
      <c r="K2972">
        <f>IF(H2972&gt;WhaleThreshold,"WHALE","")</f>
        <v/>
      </c>
    </row>
    <row r="2973">
      <c r="A2973" t="inlineStr">
        <is>
          <t>Will Portugal win the 2026 FIFA World Cup?</t>
        </is>
      </c>
      <c r="B2973" s="4" t="n">
        <v>46206</v>
      </c>
      <c r="C2973" s="5" t="n">
        <v>46206.05401620371</v>
      </c>
      <c r="D2973" t="inlineStr">
        <is>
          <t>BUY</t>
        </is>
      </c>
      <c r="E2973" t="inlineStr">
        <is>
          <t>Yes</t>
        </is>
      </c>
      <c r="F2973" s="2" t="n">
        <v>0.07099999999999999</v>
      </c>
      <c r="G2973" s="6" t="n">
        <v>5564.58</v>
      </c>
      <c r="H2973" s="6">
        <f>F2973*G2973</f>
        <v/>
      </c>
      <c r="I2973">
        <f>_xlfn.XLOOKUP(A2973,MktTitle,MktCat,"n/a")</f>
        <v/>
      </c>
      <c r="J2973" s="3">
        <f>_xlfn.XLOOKUP(A2973,MktTitle,MktTotVol,0)</f>
        <v/>
      </c>
      <c r="K2973">
        <f>IF(H2973&gt;WhaleThreshold,"WHALE","")</f>
        <v/>
      </c>
    </row>
    <row r="2974">
      <c r="A2974" t="inlineStr">
        <is>
          <t>Will Portugal win the 2026 FIFA World Cup?</t>
        </is>
      </c>
      <c r="B2974" s="4" t="n">
        <v>46206</v>
      </c>
      <c r="C2974" s="5" t="n">
        <v>46206.05401620371</v>
      </c>
      <c r="D2974" t="inlineStr">
        <is>
          <t>SELL</t>
        </is>
      </c>
      <c r="E2974" t="inlineStr">
        <is>
          <t>Yes</t>
        </is>
      </c>
      <c r="F2974" s="2" t="n">
        <v>0.07099999999999999</v>
      </c>
      <c r="G2974" s="6" t="n">
        <v>0.2</v>
      </c>
      <c r="H2974" s="6">
        <f>F2974*G2974</f>
        <v/>
      </c>
      <c r="I2974">
        <f>_xlfn.XLOOKUP(A2974,MktTitle,MktCat,"n/a")</f>
        <v/>
      </c>
      <c r="J2974" s="3">
        <f>_xlfn.XLOOKUP(A2974,MktTitle,MktTotVol,0)</f>
        <v/>
      </c>
      <c r="K2974">
        <f>IF(H2974&gt;WhaleThreshold,"WHALE","")</f>
        <v/>
      </c>
    </row>
    <row r="2975">
      <c r="A2975" t="inlineStr">
        <is>
          <t>Will Portugal win the 2026 FIFA World Cup?</t>
        </is>
      </c>
      <c r="B2975" s="4" t="n">
        <v>46206</v>
      </c>
      <c r="C2975" s="5" t="n">
        <v>46206.05390046296</v>
      </c>
      <c r="D2975" t="inlineStr">
        <is>
          <t>BUY</t>
        </is>
      </c>
      <c r="E2975" t="inlineStr">
        <is>
          <t>No</t>
        </is>
      </c>
      <c r="F2975" s="2" t="n">
        <v>0.93</v>
      </c>
      <c r="G2975" s="6" t="n">
        <v>16.8817</v>
      </c>
      <c r="H2975" s="6">
        <f>F2975*G2975</f>
        <v/>
      </c>
      <c r="I2975">
        <f>_xlfn.XLOOKUP(A2975,MktTitle,MktCat,"n/a")</f>
        <v/>
      </c>
      <c r="J2975" s="3">
        <f>_xlfn.XLOOKUP(A2975,MktTitle,MktTotVol,0)</f>
        <v/>
      </c>
      <c r="K2975">
        <f>IF(H2975&gt;WhaleThreshold,"WHALE","")</f>
        <v/>
      </c>
    </row>
    <row r="2976">
      <c r="A2976" t="inlineStr">
        <is>
          <t>Will Portugal win the 2026 FIFA World Cup?</t>
        </is>
      </c>
      <c r="B2976" s="4" t="n">
        <v>46206</v>
      </c>
      <c r="C2976" s="5" t="n">
        <v>46206.05387731481</v>
      </c>
      <c r="D2976" t="inlineStr">
        <is>
          <t>SELL</t>
        </is>
      </c>
      <c r="E2976" t="inlineStr">
        <is>
          <t>Yes</t>
        </is>
      </c>
      <c r="F2976" s="2" t="n">
        <v>0.07000000000000001</v>
      </c>
      <c r="G2976" s="6" t="n">
        <v>229.12</v>
      </c>
      <c r="H2976" s="6">
        <f>F2976*G2976</f>
        <v/>
      </c>
      <c r="I2976">
        <f>_xlfn.XLOOKUP(A2976,MktTitle,MktCat,"n/a")</f>
        <v/>
      </c>
      <c r="J2976" s="3">
        <f>_xlfn.XLOOKUP(A2976,MktTitle,MktTotVol,0)</f>
        <v/>
      </c>
      <c r="K2976">
        <f>IF(H2976&gt;WhaleThreshold,"WHALE","")</f>
        <v/>
      </c>
    </row>
    <row r="2977">
      <c r="A2977" t="inlineStr">
        <is>
          <t>Will Portugal win the 2026 FIFA World Cup?</t>
        </is>
      </c>
      <c r="B2977" s="4" t="n">
        <v>46206</v>
      </c>
      <c r="C2977" s="5" t="n">
        <v>46206.05387731481</v>
      </c>
      <c r="D2977" t="inlineStr">
        <is>
          <t>SELL</t>
        </is>
      </c>
      <c r="E2977" t="inlineStr">
        <is>
          <t>Yes</t>
        </is>
      </c>
      <c r="F2977" s="2" t="n">
        <v>0.07000000000000001</v>
      </c>
      <c r="G2977" s="6" t="n">
        <v>98.03</v>
      </c>
      <c r="H2977" s="6">
        <f>F2977*G2977</f>
        <v/>
      </c>
      <c r="I2977">
        <f>_xlfn.XLOOKUP(A2977,MktTitle,MktCat,"n/a")</f>
        <v/>
      </c>
      <c r="J2977" s="3">
        <f>_xlfn.XLOOKUP(A2977,MktTitle,MktTotVol,0)</f>
        <v/>
      </c>
      <c r="K2977">
        <f>IF(H2977&gt;WhaleThreshold,"WHALE","")</f>
        <v/>
      </c>
    </row>
    <row r="2978">
      <c r="A2978" t="inlineStr">
        <is>
          <t>Will Portugal win the 2026 FIFA World Cup?</t>
        </is>
      </c>
      <c r="B2978" s="4" t="n">
        <v>46206</v>
      </c>
      <c r="C2978" s="5" t="n">
        <v>46206.0537962963</v>
      </c>
      <c r="D2978" t="inlineStr">
        <is>
          <t>BUY</t>
        </is>
      </c>
      <c r="E2978" t="inlineStr">
        <is>
          <t>Yes</t>
        </is>
      </c>
      <c r="F2978" s="2" t="n">
        <v>0.07099999999999999</v>
      </c>
      <c r="G2978" s="6" t="n">
        <v>1795.2113</v>
      </c>
      <c r="H2978" s="6">
        <f>F2978*G2978</f>
        <v/>
      </c>
      <c r="I2978">
        <f>_xlfn.XLOOKUP(A2978,MktTitle,MktCat,"n/a")</f>
        <v/>
      </c>
      <c r="J2978" s="3">
        <f>_xlfn.XLOOKUP(A2978,MktTitle,MktTotVol,0)</f>
        <v/>
      </c>
      <c r="K2978">
        <f>IF(H2978&gt;WhaleThreshold,"WHALE","")</f>
        <v/>
      </c>
    </row>
    <row r="2979">
      <c r="A2979" t="inlineStr">
        <is>
          <t>Will Portugal win the 2026 FIFA World Cup?</t>
        </is>
      </c>
      <c r="B2979" s="4" t="n">
        <v>46206</v>
      </c>
      <c r="C2979" s="5" t="n">
        <v>46206.0537962963</v>
      </c>
      <c r="D2979" t="inlineStr">
        <is>
          <t>BUY</t>
        </is>
      </c>
      <c r="E2979" t="inlineStr">
        <is>
          <t>Yes</t>
        </is>
      </c>
      <c r="F2979" s="2" t="n">
        <v>0.07099999999999999</v>
      </c>
      <c r="G2979" s="6" t="n">
        <v>92.56999999999999</v>
      </c>
      <c r="H2979" s="6">
        <f>F2979*G2979</f>
        <v/>
      </c>
      <c r="I2979">
        <f>_xlfn.XLOOKUP(A2979,MktTitle,MktCat,"n/a")</f>
        <v/>
      </c>
      <c r="J2979" s="3">
        <f>_xlfn.XLOOKUP(A2979,MktTitle,MktTotVol,0)</f>
        <v/>
      </c>
      <c r="K2979">
        <f>IF(H2979&gt;WhaleThreshold,"WHALE","")</f>
        <v/>
      </c>
    </row>
    <row r="2980">
      <c r="A2980" t="inlineStr">
        <is>
          <t>Will Portugal win the 2026 FIFA World Cup?</t>
        </is>
      </c>
      <c r="B2980" s="4" t="n">
        <v>46206</v>
      </c>
      <c r="C2980" s="5" t="n">
        <v>46206.05376157408</v>
      </c>
      <c r="D2980" t="inlineStr">
        <is>
          <t>SELL</t>
        </is>
      </c>
      <c r="E2980" t="inlineStr">
        <is>
          <t>No</t>
        </is>
      </c>
      <c r="F2980" s="2" t="n">
        <v>0.929</v>
      </c>
      <c r="G2980" s="6" t="n">
        <v>76</v>
      </c>
      <c r="H2980" s="6">
        <f>F2980*G2980</f>
        <v/>
      </c>
      <c r="I2980">
        <f>_xlfn.XLOOKUP(A2980,MktTitle,MktCat,"n/a")</f>
        <v/>
      </c>
      <c r="J2980" s="3">
        <f>_xlfn.XLOOKUP(A2980,MktTitle,MktTotVol,0)</f>
        <v/>
      </c>
      <c r="K2980">
        <f>IF(H2980&gt;WhaleThreshold,"WHALE","")</f>
        <v/>
      </c>
    </row>
    <row r="2981">
      <c r="A2981" t="inlineStr">
        <is>
          <t>Will Portugal win the 2026 FIFA World Cup?</t>
        </is>
      </c>
      <c r="B2981" s="4" t="n">
        <v>46206</v>
      </c>
      <c r="C2981" s="5" t="n">
        <v>46206.05372685185</v>
      </c>
      <c r="D2981" t="inlineStr">
        <is>
          <t>BUY</t>
        </is>
      </c>
      <c r="E2981" t="inlineStr">
        <is>
          <t>Yes</t>
        </is>
      </c>
      <c r="F2981" s="2" t="n">
        <v>0.07099999999999999</v>
      </c>
      <c r="G2981" s="6" t="n">
        <v>702.1127</v>
      </c>
      <c r="H2981" s="6">
        <f>F2981*G2981</f>
        <v/>
      </c>
      <c r="I2981">
        <f>_xlfn.XLOOKUP(A2981,MktTitle,MktCat,"n/a")</f>
        <v/>
      </c>
      <c r="J2981" s="3">
        <f>_xlfn.XLOOKUP(A2981,MktTitle,MktTotVol,0)</f>
        <v/>
      </c>
      <c r="K2981">
        <f>IF(H2981&gt;WhaleThreshold,"WHALE","")</f>
        <v/>
      </c>
    </row>
    <row r="2982">
      <c r="A2982" t="inlineStr">
        <is>
          <t>Will Portugal win the 2026 FIFA World Cup?</t>
        </is>
      </c>
      <c r="B2982" s="4" t="n">
        <v>46206</v>
      </c>
      <c r="C2982" s="5" t="n">
        <v>46206.05351851852</v>
      </c>
      <c r="D2982" t="inlineStr">
        <is>
          <t>SELL</t>
        </is>
      </c>
      <c r="E2982" t="inlineStr">
        <is>
          <t>Yes</t>
        </is>
      </c>
      <c r="F2982" s="2" t="n">
        <v>0.07000000000000001</v>
      </c>
      <c r="G2982" s="6" t="n">
        <v>100</v>
      </c>
      <c r="H2982" s="6">
        <f>F2982*G2982</f>
        <v/>
      </c>
      <c r="I2982">
        <f>_xlfn.XLOOKUP(A2982,MktTitle,MktCat,"n/a")</f>
        <v/>
      </c>
      <c r="J2982" s="3">
        <f>_xlfn.XLOOKUP(A2982,MktTitle,MktTotVol,0)</f>
        <v/>
      </c>
      <c r="K2982">
        <f>IF(H2982&gt;WhaleThreshold,"WHALE","")</f>
        <v/>
      </c>
    </row>
    <row r="2983">
      <c r="A2983" t="inlineStr">
        <is>
          <t>Will Portugal win the 2026 FIFA World Cup?</t>
        </is>
      </c>
      <c r="B2983" s="4" t="n">
        <v>46206</v>
      </c>
      <c r="C2983" s="5" t="n">
        <v>46206.05349537037</v>
      </c>
      <c r="D2983" t="inlineStr">
        <is>
          <t>SELL</t>
        </is>
      </c>
      <c r="E2983" t="inlineStr">
        <is>
          <t>Yes</t>
        </is>
      </c>
      <c r="F2983" s="2" t="n">
        <v>0.07000000000000001</v>
      </c>
      <c r="G2983" s="6" t="n">
        <v>163.93</v>
      </c>
      <c r="H2983" s="6">
        <f>F2983*G2983</f>
        <v/>
      </c>
      <c r="I2983">
        <f>_xlfn.XLOOKUP(A2983,MktTitle,MktCat,"n/a")</f>
        <v/>
      </c>
      <c r="J2983" s="3">
        <f>_xlfn.XLOOKUP(A2983,MktTitle,MktTotVol,0)</f>
        <v/>
      </c>
      <c r="K2983">
        <f>IF(H2983&gt;WhaleThreshold,"WHALE","")</f>
        <v/>
      </c>
    </row>
    <row r="2984">
      <c r="A2984" t="inlineStr">
        <is>
          <t>Will Portugal win the 2026 FIFA World Cup?</t>
        </is>
      </c>
      <c r="B2984" s="4" t="n">
        <v>46206</v>
      </c>
      <c r="C2984" s="5" t="n">
        <v>46206.05346064815</v>
      </c>
      <c r="D2984" t="inlineStr">
        <is>
          <t>SELL</t>
        </is>
      </c>
      <c r="E2984" t="inlineStr">
        <is>
          <t>Yes</t>
        </is>
      </c>
      <c r="F2984" s="2" t="n">
        <v>0.07000000000000001</v>
      </c>
      <c r="G2984" s="6" t="n">
        <v>3703.06</v>
      </c>
      <c r="H2984" s="6">
        <f>F2984*G2984</f>
        <v/>
      </c>
      <c r="I2984">
        <f>_xlfn.XLOOKUP(A2984,MktTitle,MktCat,"n/a")</f>
        <v/>
      </c>
      <c r="J2984" s="3">
        <f>_xlfn.XLOOKUP(A2984,MktTitle,MktTotVol,0)</f>
        <v/>
      </c>
      <c r="K2984">
        <f>IF(H2984&gt;WhaleThreshold,"WHALE","")</f>
        <v/>
      </c>
    </row>
    <row r="2985">
      <c r="A2985" t="inlineStr">
        <is>
          <t>Will Portugal win the 2026 FIFA World Cup?</t>
        </is>
      </c>
      <c r="B2985" s="4" t="n">
        <v>46206</v>
      </c>
      <c r="C2985" s="5" t="n">
        <v>46206.05334490741</v>
      </c>
      <c r="D2985" t="inlineStr">
        <is>
          <t>BUY</t>
        </is>
      </c>
      <c r="E2985" t="inlineStr">
        <is>
          <t>Yes</t>
        </is>
      </c>
      <c r="F2985" s="2" t="n">
        <v>0.07099999999999999</v>
      </c>
      <c r="G2985" s="6" t="n">
        <v>105.63</v>
      </c>
      <c r="H2985" s="6">
        <f>F2985*G2985</f>
        <v/>
      </c>
      <c r="I2985">
        <f>_xlfn.XLOOKUP(A2985,MktTitle,MktCat,"n/a")</f>
        <v/>
      </c>
      <c r="J2985" s="3">
        <f>_xlfn.XLOOKUP(A2985,MktTitle,MktTotVol,0)</f>
        <v/>
      </c>
      <c r="K2985">
        <f>IF(H2985&gt;WhaleThreshold,"WHALE","")</f>
        <v/>
      </c>
    </row>
    <row r="2986">
      <c r="A2986" t="inlineStr">
        <is>
          <t>Will Portugal win the 2026 FIFA World Cup?</t>
        </is>
      </c>
      <c r="B2986" s="4" t="n">
        <v>46206</v>
      </c>
      <c r="C2986" s="5" t="n">
        <v>46206.05325231481</v>
      </c>
      <c r="D2986" t="inlineStr">
        <is>
          <t>SELL</t>
        </is>
      </c>
      <c r="E2986" t="inlineStr">
        <is>
          <t>Yes</t>
        </is>
      </c>
      <c r="F2986" s="2" t="n">
        <v>0.07000000000000001</v>
      </c>
      <c r="G2986" s="6" t="n">
        <v>327.86</v>
      </c>
      <c r="H2986" s="6">
        <f>F2986*G2986</f>
        <v/>
      </c>
      <c r="I2986">
        <f>_xlfn.XLOOKUP(A2986,MktTitle,MktCat,"n/a")</f>
        <v/>
      </c>
      <c r="J2986" s="3">
        <f>_xlfn.XLOOKUP(A2986,MktTitle,MktTotVol,0)</f>
        <v/>
      </c>
      <c r="K2986">
        <f>IF(H2986&gt;WhaleThreshold,"WHALE","")</f>
        <v/>
      </c>
    </row>
    <row r="2987">
      <c r="A2987" t="inlineStr">
        <is>
          <t>Will Portugal win the 2026 FIFA World Cup?</t>
        </is>
      </c>
      <c r="B2987" s="4" t="n">
        <v>46206</v>
      </c>
      <c r="C2987" s="5" t="n">
        <v>46206.05311342593</v>
      </c>
      <c r="D2987" t="inlineStr">
        <is>
          <t>SELL</t>
        </is>
      </c>
      <c r="E2987" t="inlineStr">
        <is>
          <t>Yes</t>
        </is>
      </c>
      <c r="F2987" s="2" t="n">
        <v>0.07000000000000001</v>
      </c>
      <c r="G2987" s="6" t="n">
        <v>185</v>
      </c>
      <c r="H2987" s="6">
        <f>F2987*G2987</f>
        <v/>
      </c>
      <c r="I2987">
        <f>_xlfn.XLOOKUP(A2987,MktTitle,MktCat,"n/a")</f>
        <v/>
      </c>
      <c r="J2987" s="3">
        <f>_xlfn.XLOOKUP(A2987,MktTitle,MktTotVol,0)</f>
        <v/>
      </c>
      <c r="K2987">
        <f>IF(H2987&gt;WhaleThreshold,"WHALE","")</f>
        <v/>
      </c>
    </row>
    <row r="2988">
      <c r="A2988" t="inlineStr">
        <is>
          <t>Will Portugal win the 2026 FIFA World Cup?</t>
        </is>
      </c>
      <c r="B2988" s="4" t="n">
        <v>46206</v>
      </c>
      <c r="C2988" s="5" t="n">
        <v>46206.05304398148</v>
      </c>
      <c r="D2988" t="inlineStr">
        <is>
          <t>SELL</t>
        </is>
      </c>
      <c r="E2988" t="inlineStr">
        <is>
          <t>Yes</t>
        </is>
      </c>
      <c r="F2988" s="2" t="n">
        <v>0.07000000000000001</v>
      </c>
      <c r="G2988" s="6" t="n">
        <v>4225.35</v>
      </c>
      <c r="H2988" s="6">
        <f>F2988*G2988</f>
        <v/>
      </c>
      <c r="I2988">
        <f>_xlfn.XLOOKUP(A2988,MktTitle,MktCat,"n/a")</f>
        <v/>
      </c>
      <c r="J2988" s="3">
        <f>_xlfn.XLOOKUP(A2988,MktTitle,MktTotVol,0)</f>
        <v/>
      </c>
      <c r="K2988">
        <f>IF(H2988&gt;WhaleThreshold,"WHALE","")</f>
        <v/>
      </c>
    </row>
    <row r="2989">
      <c r="A2989" t="inlineStr">
        <is>
          <t>Will Portugal win the 2026 FIFA World Cup?</t>
        </is>
      </c>
      <c r="B2989" s="4" t="n">
        <v>46206</v>
      </c>
      <c r="C2989" s="5" t="n">
        <v>46206.05297453704</v>
      </c>
      <c r="D2989" t="inlineStr">
        <is>
          <t>SELL</t>
        </is>
      </c>
      <c r="E2989" t="inlineStr">
        <is>
          <t>Yes</t>
        </is>
      </c>
      <c r="F2989" s="2" t="n">
        <v>0.07000000000000001</v>
      </c>
      <c r="G2989" s="6" t="n">
        <v>86.2</v>
      </c>
      <c r="H2989" s="6">
        <f>F2989*G2989</f>
        <v/>
      </c>
      <c r="I2989">
        <f>_xlfn.XLOOKUP(A2989,MktTitle,MktCat,"n/a")</f>
        <v/>
      </c>
      <c r="J2989" s="3">
        <f>_xlfn.XLOOKUP(A2989,MktTitle,MktTotVol,0)</f>
        <v/>
      </c>
      <c r="K2989">
        <f>IF(H2989&gt;WhaleThreshold,"WHALE","")</f>
        <v/>
      </c>
    </row>
    <row r="2990">
      <c r="A2990" t="inlineStr">
        <is>
          <t>Will Portugal win the 2026 FIFA World Cup?</t>
        </is>
      </c>
      <c r="B2990" s="4" t="n">
        <v>46206</v>
      </c>
      <c r="C2990" s="5" t="n">
        <v>46206.05293981481</v>
      </c>
      <c r="D2990" t="inlineStr">
        <is>
          <t>SELL</t>
        </is>
      </c>
      <c r="E2990" t="inlineStr">
        <is>
          <t>Yes</t>
        </is>
      </c>
      <c r="F2990" s="2" t="n">
        <v>0.07000000000000001</v>
      </c>
      <c r="G2990" s="6" t="n">
        <v>81.34999999999999</v>
      </c>
      <c r="H2990" s="6">
        <f>F2990*G2990</f>
        <v/>
      </c>
      <c r="I2990">
        <f>_xlfn.XLOOKUP(A2990,MktTitle,MktCat,"n/a")</f>
        <v/>
      </c>
      <c r="J2990" s="3">
        <f>_xlfn.XLOOKUP(A2990,MktTitle,MktTotVol,0)</f>
        <v/>
      </c>
      <c r="K2990">
        <f>IF(H2990&gt;WhaleThreshold,"WHALE","")</f>
        <v/>
      </c>
    </row>
    <row r="2991">
      <c r="A2991" t="inlineStr">
        <is>
          <t>Will Portugal win the 2026 FIFA World Cup?</t>
        </is>
      </c>
      <c r="B2991" s="4" t="n">
        <v>46206</v>
      </c>
      <c r="C2991" s="5" t="n">
        <v>46206.05292824074</v>
      </c>
      <c r="D2991" t="inlineStr">
        <is>
          <t>SELL</t>
        </is>
      </c>
      <c r="E2991" t="inlineStr">
        <is>
          <t>Yes</t>
        </is>
      </c>
      <c r="F2991" s="2" t="n">
        <v>0.07000000000000001</v>
      </c>
      <c r="G2991" s="6" t="n">
        <v>500</v>
      </c>
      <c r="H2991" s="6">
        <f>F2991*G2991</f>
        <v/>
      </c>
      <c r="I2991">
        <f>_xlfn.XLOOKUP(A2991,MktTitle,MktCat,"n/a")</f>
        <v/>
      </c>
      <c r="J2991" s="3">
        <f>_xlfn.XLOOKUP(A2991,MktTitle,MktTotVol,0)</f>
        <v/>
      </c>
      <c r="K2991">
        <f>IF(H2991&gt;WhaleThreshold,"WHALE","")</f>
        <v/>
      </c>
    </row>
    <row r="2992">
      <c r="A2992" t="inlineStr">
        <is>
          <t>Will Portugal win the 2026 FIFA World Cup?</t>
        </is>
      </c>
      <c r="B2992" s="4" t="n">
        <v>46206</v>
      </c>
      <c r="C2992" s="5" t="n">
        <v>46206.05289351852</v>
      </c>
      <c r="D2992" t="inlineStr">
        <is>
          <t>BUY</t>
        </is>
      </c>
      <c r="E2992" t="inlineStr">
        <is>
          <t>Yes</t>
        </is>
      </c>
      <c r="F2992" s="2" t="n">
        <v>0.07099999999999999</v>
      </c>
      <c r="G2992" s="6" t="n">
        <v>84.50700000000001</v>
      </c>
      <c r="H2992" s="6">
        <f>F2992*G2992</f>
        <v/>
      </c>
      <c r="I2992">
        <f>_xlfn.XLOOKUP(A2992,MktTitle,MktCat,"n/a")</f>
        <v/>
      </c>
      <c r="J2992" s="3">
        <f>_xlfn.XLOOKUP(A2992,MktTitle,MktTotVol,0)</f>
        <v/>
      </c>
      <c r="K2992">
        <f>IF(H2992&gt;WhaleThreshold,"WHALE","")</f>
        <v/>
      </c>
    </row>
    <row r="2993">
      <c r="A2993" t="inlineStr">
        <is>
          <t>Will Portugal win the 2026 FIFA World Cup?</t>
        </is>
      </c>
      <c r="B2993" s="4" t="n">
        <v>46206</v>
      </c>
      <c r="C2993" s="5" t="n">
        <v>46206.05265046296</v>
      </c>
      <c r="D2993" t="inlineStr">
        <is>
          <t>BUY</t>
        </is>
      </c>
      <c r="E2993" t="inlineStr">
        <is>
          <t>Yes</t>
        </is>
      </c>
      <c r="F2993" s="2" t="n">
        <v>0.07099999999999999</v>
      </c>
      <c r="G2993" s="6" t="n">
        <v>69.8592</v>
      </c>
      <c r="H2993" s="6">
        <f>F2993*G2993</f>
        <v/>
      </c>
      <c r="I2993">
        <f>_xlfn.XLOOKUP(A2993,MktTitle,MktCat,"n/a")</f>
        <v/>
      </c>
      <c r="J2993" s="3">
        <f>_xlfn.XLOOKUP(A2993,MktTitle,MktTotVol,0)</f>
        <v/>
      </c>
      <c r="K2993">
        <f>IF(H2993&gt;WhaleThreshold,"WHALE","")</f>
        <v/>
      </c>
    </row>
    <row r="2994">
      <c r="A2994" t="inlineStr">
        <is>
          <t>Will Portugal win the 2026 FIFA World Cup?</t>
        </is>
      </c>
      <c r="B2994" s="4" t="n">
        <v>46206</v>
      </c>
      <c r="C2994" s="5" t="n">
        <v>46206.05261574074</v>
      </c>
      <c r="D2994" t="inlineStr">
        <is>
          <t>SELL</t>
        </is>
      </c>
      <c r="E2994" t="inlineStr">
        <is>
          <t>Yes</t>
        </is>
      </c>
      <c r="F2994" s="2" t="n">
        <v>0.07000000000000001</v>
      </c>
      <c r="G2994" s="6" t="n">
        <v>185</v>
      </c>
      <c r="H2994" s="6">
        <f>F2994*G2994</f>
        <v/>
      </c>
      <c r="I2994">
        <f>_xlfn.XLOOKUP(A2994,MktTitle,MktCat,"n/a")</f>
        <v/>
      </c>
      <c r="J2994" s="3">
        <f>_xlfn.XLOOKUP(A2994,MktTitle,MktTotVol,0)</f>
        <v/>
      </c>
      <c r="K2994">
        <f>IF(H2994&gt;WhaleThreshold,"WHALE","")</f>
        <v/>
      </c>
    </row>
    <row r="2995">
      <c r="A2995" t="inlineStr">
        <is>
          <t>Will Portugal win the 2026 FIFA World Cup?</t>
        </is>
      </c>
      <c r="B2995" s="4" t="n">
        <v>46206</v>
      </c>
      <c r="C2995" s="5" t="n">
        <v>46206.05224537037</v>
      </c>
      <c r="D2995" t="inlineStr">
        <is>
          <t>BUY</t>
        </is>
      </c>
      <c r="E2995" t="inlineStr">
        <is>
          <t>Yes</t>
        </is>
      </c>
      <c r="F2995" s="2" t="n">
        <v>0.07199999999999999</v>
      </c>
      <c r="G2995" s="6" t="n">
        <v>1388.8889</v>
      </c>
      <c r="H2995" s="6">
        <f>F2995*G2995</f>
        <v/>
      </c>
      <c r="I2995">
        <f>_xlfn.XLOOKUP(A2995,MktTitle,MktCat,"n/a")</f>
        <v/>
      </c>
      <c r="J2995" s="3">
        <f>_xlfn.XLOOKUP(A2995,MktTitle,MktTotVol,0)</f>
        <v/>
      </c>
      <c r="K2995">
        <f>IF(H2995&gt;WhaleThreshold,"WHALE","")</f>
        <v/>
      </c>
    </row>
    <row r="2996">
      <c r="A2996" t="inlineStr">
        <is>
          <t>Will Portugal win the 2026 FIFA World Cup?</t>
        </is>
      </c>
      <c r="B2996" s="4" t="n">
        <v>46206</v>
      </c>
      <c r="C2996" s="5" t="n">
        <v>46206.0522337963</v>
      </c>
      <c r="D2996" t="inlineStr">
        <is>
          <t>BUY</t>
        </is>
      </c>
      <c r="E2996" t="inlineStr">
        <is>
          <t>Yes</t>
        </is>
      </c>
      <c r="F2996" s="2" t="n">
        <v>0.07199999999999999</v>
      </c>
      <c r="G2996" s="6" t="n">
        <v>66.11109999999999</v>
      </c>
      <c r="H2996" s="6">
        <f>F2996*G2996</f>
        <v/>
      </c>
      <c r="I2996">
        <f>_xlfn.XLOOKUP(A2996,MktTitle,MktCat,"n/a")</f>
        <v/>
      </c>
      <c r="J2996" s="3">
        <f>_xlfn.XLOOKUP(A2996,MktTitle,MktTotVol,0)</f>
        <v/>
      </c>
      <c r="K2996">
        <f>IF(H2996&gt;WhaleThreshold,"WHALE","")</f>
        <v/>
      </c>
    </row>
    <row r="2997">
      <c r="A2997" t="inlineStr">
        <is>
          <t>Will Portugal win the 2026 FIFA World Cup?</t>
        </is>
      </c>
      <c r="B2997" s="4" t="n">
        <v>46206</v>
      </c>
      <c r="C2997" s="5" t="n">
        <v>46206.05206018518</v>
      </c>
      <c r="D2997" t="inlineStr">
        <is>
          <t>BUY</t>
        </is>
      </c>
      <c r="E2997" t="inlineStr">
        <is>
          <t>Yes</t>
        </is>
      </c>
      <c r="F2997" s="2" t="n">
        <v>0.0717</v>
      </c>
      <c r="G2997" s="6" t="n">
        <v>1163.1667</v>
      </c>
      <c r="H2997" s="6">
        <f>F2997*G2997</f>
        <v/>
      </c>
      <c r="I2997">
        <f>_xlfn.XLOOKUP(A2997,MktTitle,MktCat,"n/a")</f>
        <v/>
      </c>
      <c r="J2997" s="3">
        <f>_xlfn.XLOOKUP(A2997,MktTitle,MktTotVol,0)</f>
        <v/>
      </c>
      <c r="K2997">
        <f>IF(H2997&gt;WhaleThreshold,"WHALE","")</f>
        <v/>
      </c>
    </row>
    <row r="2998">
      <c r="A2998" t="inlineStr">
        <is>
          <t>Will Portugal win the 2026 FIFA World Cup?</t>
        </is>
      </c>
      <c r="B2998" s="4" t="n">
        <v>46206</v>
      </c>
      <c r="C2998" s="5" t="n">
        <v>46206.05195601852</v>
      </c>
      <c r="D2998" t="inlineStr">
        <is>
          <t>BUY</t>
        </is>
      </c>
      <c r="E2998" t="inlineStr">
        <is>
          <t>Yes</t>
        </is>
      </c>
      <c r="F2998" s="2" t="n">
        <v>0.073</v>
      </c>
      <c r="G2998" s="6" t="n">
        <v>136.9863</v>
      </c>
      <c r="H2998" s="6">
        <f>F2998*G2998</f>
        <v/>
      </c>
      <c r="I2998">
        <f>_xlfn.XLOOKUP(A2998,MktTitle,MktCat,"n/a")</f>
        <v/>
      </c>
      <c r="J2998" s="3">
        <f>_xlfn.XLOOKUP(A2998,MktTitle,MktTotVol,0)</f>
        <v/>
      </c>
      <c r="K2998">
        <f>IF(H2998&gt;WhaleThreshold,"WHALE","")</f>
        <v/>
      </c>
    </row>
    <row r="2999">
      <c r="A2999" t="inlineStr">
        <is>
          <t>Will Portugal win the 2026 FIFA World Cup?</t>
        </is>
      </c>
      <c r="B2999" s="4" t="n">
        <v>46206</v>
      </c>
      <c r="C2999" s="5" t="n">
        <v>46206.05186342593</v>
      </c>
      <c r="D2999" t="inlineStr">
        <is>
          <t>BUY</t>
        </is>
      </c>
      <c r="E2999" t="inlineStr">
        <is>
          <t>Yes</t>
        </is>
      </c>
      <c r="F2999" s="2" t="n">
        <v>0.073</v>
      </c>
      <c r="G2999" s="6" t="n">
        <v>14.2466</v>
      </c>
      <c r="H2999" s="6">
        <f>F2999*G2999</f>
        <v/>
      </c>
      <c r="I2999">
        <f>_xlfn.XLOOKUP(A2999,MktTitle,MktCat,"n/a")</f>
        <v/>
      </c>
      <c r="J2999" s="3">
        <f>_xlfn.XLOOKUP(A2999,MktTitle,MktTotVol,0)</f>
        <v/>
      </c>
      <c r="K2999">
        <f>IF(H2999&gt;WhaleThreshold,"WHALE","")</f>
        <v/>
      </c>
    </row>
    <row r="3000">
      <c r="A3000" t="inlineStr">
        <is>
          <t>Will Portugal win the 2026 FIFA World Cup?</t>
        </is>
      </c>
      <c r="B3000" s="4" t="n">
        <v>46206</v>
      </c>
      <c r="C3000" s="5" t="n">
        <v>46206.05186342593</v>
      </c>
      <c r="D3000" t="inlineStr">
        <is>
          <t>SELL</t>
        </is>
      </c>
      <c r="E3000" t="inlineStr">
        <is>
          <t>Yes</t>
        </is>
      </c>
      <c r="F3000" s="2" t="n">
        <v>0.068</v>
      </c>
      <c r="G3000" s="6" t="n">
        <v>142.65</v>
      </c>
      <c r="H3000" s="6">
        <f>F3000*G3000</f>
        <v/>
      </c>
      <c r="I3000">
        <f>_xlfn.XLOOKUP(A3000,MktTitle,MktCat,"n/a")</f>
        <v/>
      </c>
      <c r="J3000" s="3">
        <f>_xlfn.XLOOKUP(A3000,MktTitle,MktTotVol,0)</f>
        <v/>
      </c>
      <c r="K3000">
        <f>IF(H3000&gt;WhaleThreshold,"WHALE","")</f>
        <v/>
      </c>
    </row>
    <row r="3001">
      <c r="A3001" t="inlineStr">
        <is>
          <t>Will Portugal win the 2026 FIFA World Cup?</t>
        </is>
      </c>
      <c r="B3001" s="4" t="n">
        <v>46206</v>
      </c>
      <c r="C3001" s="5" t="n">
        <v>46206.0518287037</v>
      </c>
      <c r="D3001" t="inlineStr">
        <is>
          <t>SELL</t>
        </is>
      </c>
      <c r="E3001" t="inlineStr">
        <is>
          <t>Yes</t>
        </is>
      </c>
      <c r="F3001" s="2" t="n">
        <v>0.0689</v>
      </c>
      <c r="G3001" s="6" t="n">
        <v>10227.54</v>
      </c>
      <c r="H3001" s="6">
        <f>F3001*G3001</f>
        <v/>
      </c>
      <c r="I3001">
        <f>_xlfn.XLOOKUP(A3001,MktTitle,MktCat,"n/a")</f>
        <v/>
      </c>
      <c r="J3001" s="3">
        <f>_xlfn.XLOOKUP(A3001,MktTitle,MktTotVol,0)</f>
        <v/>
      </c>
      <c r="K3001">
        <f>IF(H3001&gt;WhaleThreshold,"WHALE","")</f>
        <v/>
      </c>
    </row>
  </sheetData>
  <conditionalFormatting sqref="K2:K3001">
    <cfRule type="cellIs" priority="1" operator="equal" dxfId="0">
      <formula>"WHALE"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2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8" customWidth="1" min="11" max="11"/>
  </cols>
  <sheetData>
    <row r="1">
      <c r="A1" s="7" t="inlineStr">
        <is>
          <t>ANALYSIS — live Excel formulas (recalculate on open / on data edit)</t>
        </is>
      </c>
    </row>
    <row r="2">
      <c r="A2" s="8" t="inlineStr">
        <is>
          <t>Every flag below is a real formula. Thresholds are editable in the block beneath — change one and the whole sheet re-evaluates.</t>
        </is>
      </c>
    </row>
    <row r="4">
      <c r="A4" s="9" t="inlineStr">
        <is>
          <t>High 24h-volume threshold (75th pct):</t>
        </is>
      </c>
      <c r="B4" s="10">
        <f>PERCENTILE(Markets!$F$2:$F$101,0.75)</f>
        <v/>
      </c>
    </row>
    <row r="5">
      <c r="A5" s="9" t="inlineStr">
        <is>
          <t>Low liquidity threshold (25th pct):</t>
        </is>
      </c>
      <c r="B5" s="10">
        <f>PERCENTILE(Markets!$H$2:$H$101,0.25)</f>
        <v/>
      </c>
    </row>
    <row r="6">
      <c r="A6" s="9" t="inlineStr">
        <is>
          <t>Book-sum deviation tolerance:</t>
        </is>
      </c>
      <c r="B6" s="11" t="n">
        <v>0.02</v>
      </c>
    </row>
    <row r="7">
      <c r="A7" s="9" t="inlineStr">
        <is>
          <t>Heavy-volume threshold (median 24h vol):</t>
        </is>
      </c>
      <c r="B7" s="10">
        <f>MEDIAN(Markets!$F$2:$F$101)</f>
        <v/>
      </c>
    </row>
    <row r="8">
      <c r="A8" s="9" t="inlineStr">
        <is>
          <t>Whale threshold (95th pct notional):</t>
        </is>
      </c>
      <c r="B8" s="10">
        <f>PERCENTILE(Trades!$H$2:$H$3001,0.95)</f>
        <v/>
      </c>
    </row>
    <row r="9">
      <c r="A9" s="12" t="inlineStr">
        <is>
          <t>1 &amp; 2 — LIQUIDITY RISK + PRICING SANITY (one row per tracked market)</t>
        </is>
      </c>
    </row>
    <row r="10">
      <c r="A10" s="1" t="inlineStr">
        <is>
          <t>market</t>
        </is>
      </c>
      <c r="B10" s="1" t="inlineStr">
        <is>
          <t>category</t>
        </is>
      </c>
      <c r="C10" s="1" t="inlineStr">
        <is>
          <t>volume_24h</t>
        </is>
      </c>
      <c r="D10" s="1" t="inlineStr">
        <is>
          <t>liquidity</t>
        </is>
      </c>
      <c r="E10" s="1" t="inlineStr">
        <is>
          <t>thin_flag</t>
        </is>
      </c>
      <c r="F10" s="1" t="inlineStr">
        <is>
          <t>yes_price</t>
        </is>
      </c>
      <c r="G10" s="1" t="inlineStr">
        <is>
          <t>no_price</t>
        </is>
      </c>
      <c r="H10" s="1" t="inlineStr">
        <is>
          <t>book_sum</t>
        </is>
      </c>
      <c r="I10" s="1" t="inlineStr">
        <is>
          <t>abs_dev</t>
        </is>
      </c>
      <c r="J10" s="1" t="inlineStr">
        <is>
          <t>price_flag</t>
        </is>
      </c>
      <c r="K10" s="1" t="inlineStr">
        <is>
          <t>near_certain_active</t>
        </is>
      </c>
    </row>
    <row r="11">
      <c r="A11">
        <f>Markets!A2</f>
        <v/>
      </c>
      <c r="B11">
        <f>Markets!B2</f>
        <v/>
      </c>
      <c r="C11" s="3">
        <f>Markets!F2</f>
        <v/>
      </c>
      <c r="D11" s="3">
        <f>Markets!H2</f>
        <v/>
      </c>
      <c r="E11">
        <f>IF(AND(C11&gt;=$B$4,D11&lt;=$B$5),"THIN MARKET","")</f>
        <v/>
      </c>
      <c r="F11" s="2">
        <f>Markets!D2</f>
        <v/>
      </c>
      <c r="G11" s="2">
        <f>Markets!E2</f>
        <v/>
      </c>
      <c r="H11" s="2">
        <f>F11+G11</f>
        <v/>
      </c>
      <c r="I11" s="2">
        <f>ABS(H11-1)</f>
        <v/>
      </c>
      <c r="J11">
        <f>IF(I11&gt;$B$6,"CHECK PRICING","")</f>
        <v/>
      </c>
      <c r="K11">
        <f>IF(AND(OR(F11&gt;0.95,F11&lt;0.05),C11&gt;$B$7),"CERTAIN+ACTIVE","")</f>
        <v/>
      </c>
    </row>
    <row r="12">
      <c r="A12">
        <f>Markets!A3</f>
        <v/>
      </c>
      <c r="B12">
        <f>Markets!B3</f>
        <v/>
      </c>
      <c r="C12" s="3">
        <f>Markets!F3</f>
        <v/>
      </c>
      <c r="D12" s="3">
        <f>Markets!H3</f>
        <v/>
      </c>
      <c r="E12">
        <f>IF(AND(C12&gt;=$B$4,D12&lt;=$B$5),"THIN MARKET","")</f>
        <v/>
      </c>
      <c r="F12" s="2">
        <f>Markets!D3</f>
        <v/>
      </c>
      <c r="G12" s="2">
        <f>Markets!E3</f>
        <v/>
      </c>
      <c r="H12" s="2">
        <f>F12+G12</f>
        <v/>
      </c>
      <c r="I12" s="2">
        <f>ABS(H12-1)</f>
        <v/>
      </c>
      <c r="J12">
        <f>IF(I12&gt;$B$6,"CHECK PRICING","")</f>
        <v/>
      </c>
      <c r="K12">
        <f>IF(AND(OR(F12&gt;0.95,F12&lt;0.05),C12&gt;$B$7),"CERTAIN+ACTIVE","")</f>
        <v/>
      </c>
    </row>
    <row r="13">
      <c r="A13">
        <f>Markets!A4</f>
        <v/>
      </c>
      <c r="B13">
        <f>Markets!B4</f>
        <v/>
      </c>
      <c r="C13" s="3">
        <f>Markets!F4</f>
        <v/>
      </c>
      <c r="D13" s="3">
        <f>Markets!H4</f>
        <v/>
      </c>
      <c r="E13">
        <f>IF(AND(C13&gt;=$B$4,D13&lt;=$B$5),"THIN MARKET","")</f>
        <v/>
      </c>
      <c r="F13" s="2">
        <f>Markets!D4</f>
        <v/>
      </c>
      <c r="G13" s="2">
        <f>Markets!E4</f>
        <v/>
      </c>
      <c r="H13" s="2">
        <f>F13+G13</f>
        <v/>
      </c>
      <c r="I13" s="2">
        <f>ABS(H13-1)</f>
        <v/>
      </c>
      <c r="J13">
        <f>IF(I13&gt;$B$6,"CHECK PRICING","")</f>
        <v/>
      </c>
      <c r="K13">
        <f>IF(AND(OR(F13&gt;0.95,F13&lt;0.05),C13&gt;$B$7),"CERTAIN+ACTIVE","")</f>
        <v/>
      </c>
    </row>
    <row r="14">
      <c r="A14">
        <f>Markets!A5</f>
        <v/>
      </c>
      <c r="B14">
        <f>Markets!B5</f>
        <v/>
      </c>
      <c r="C14" s="3">
        <f>Markets!F5</f>
        <v/>
      </c>
      <c r="D14" s="3">
        <f>Markets!H5</f>
        <v/>
      </c>
      <c r="E14">
        <f>IF(AND(C14&gt;=$B$4,D14&lt;=$B$5),"THIN MARKET","")</f>
        <v/>
      </c>
      <c r="F14" s="2">
        <f>Markets!D5</f>
        <v/>
      </c>
      <c r="G14" s="2">
        <f>Markets!E5</f>
        <v/>
      </c>
      <c r="H14" s="2">
        <f>F14+G14</f>
        <v/>
      </c>
      <c r="I14" s="2">
        <f>ABS(H14-1)</f>
        <v/>
      </c>
      <c r="J14">
        <f>IF(I14&gt;$B$6,"CHECK PRICING","")</f>
        <v/>
      </c>
      <c r="K14">
        <f>IF(AND(OR(F14&gt;0.95,F14&lt;0.05),C14&gt;$B$7),"CERTAIN+ACTIVE","")</f>
        <v/>
      </c>
    </row>
    <row r="15">
      <c r="A15">
        <f>Markets!A6</f>
        <v/>
      </c>
      <c r="B15">
        <f>Markets!B6</f>
        <v/>
      </c>
      <c r="C15" s="3">
        <f>Markets!F6</f>
        <v/>
      </c>
      <c r="D15" s="3">
        <f>Markets!H6</f>
        <v/>
      </c>
      <c r="E15">
        <f>IF(AND(C15&gt;=$B$4,D15&lt;=$B$5),"THIN MARKET","")</f>
        <v/>
      </c>
      <c r="F15" s="2">
        <f>Markets!D6</f>
        <v/>
      </c>
      <c r="G15" s="2">
        <f>Markets!E6</f>
        <v/>
      </c>
      <c r="H15" s="2">
        <f>F15+G15</f>
        <v/>
      </c>
      <c r="I15" s="2">
        <f>ABS(H15-1)</f>
        <v/>
      </c>
      <c r="J15">
        <f>IF(I15&gt;$B$6,"CHECK PRICING","")</f>
        <v/>
      </c>
      <c r="K15">
        <f>IF(AND(OR(F15&gt;0.95,F15&lt;0.05),C15&gt;$B$7),"CERTAIN+ACTIVE","")</f>
        <v/>
      </c>
    </row>
    <row r="16">
      <c r="A16">
        <f>Markets!A7</f>
        <v/>
      </c>
      <c r="B16">
        <f>Markets!B7</f>
        <v/>
      </c>
      <c r="C16" s="3">
        <f>Markets!F7</f>
        <v/>
      </c>
      <c r="D16" s="3">
        <f>Markets!H7</f>
        <v/>
      </c>
      <c r="E16">
        <f>IF(AND(C16&gt;=$B$4,D16&lt;=$B$5),"THIN MARKET","")</f>
        <v/>
      </c>
      <c r="F16" s="2">
        <f>Markets!D7</f>
        <v/>
      </c>
      <c r="G16" s="2">
        <f>Markets!E7</f>
        <v/>
      </c>
      <c r="H16" s="2">
        <f>F16+G16</f>
        <v/>
      </c>
      <c r="I16" s="2">
        <f>ABS(H16-1)</f>
        <v/>
      </c>
      <c r="J16">
        <f>IF(I16&gt;$B$6,"CHECK PRICING","")</f>
        <v/>
      </c>
      <c r="K16">
        <f>IF(AND(OR(F16&gt;0.95,F16&lt;0.05),C16&gt;$B$7),"CERTAIN+ACTIVE","")</f>
        <v/>
      </c>
    </row>
    <row r="17">
      <c r="A17">
        <f>Markets!A8</f>
        <v/>
      </c>
      <c r="B17">
        <f>Markets!B8</f>
        <v/>
      </c>
      <c r="C17" s="3">
        <f>Markets!F8</f>
        <v/>
      </c>
      <c r="D17" s="3">
        <f>Markets!H8</f>
        <v/>
      </c>
      <c r="E17">
        <f>IF(AND(C17&gt;=$B$4,D17&lt;=$B$5),"THIN MARKET","")</f>
        <v/>
      </c>
      <c r="F17" s="2">
        <f>Markets!D8</f>
        <v/>
      </c>
      <c r="G17" s="2">
        <f>Markets!E8</f>
        <v/>
      </c>
      <c r="H17" s="2">
        <f>F17+G17</f>
        <v/>
      </c>
      <c r="I17" s="2">
        <f>ABS(H17-1)</f>
        <v/>
      </c>
      <c r="J17">
        <f>IF(I17&gt;$B$6,"CHECK PRICING","")</f>
        <v/>
      </c>
      <c r="K17">
        <f>IF(AND(OR(F17&gt;0.95,F17&lt;0.05),C17&gt;$B$7),"CERTAIN+ACTIVE","")</f>
        <v/>
      </c>
    </row>
    <row r="18">
      <c r="A18">
        <f>Markets!A9</f>
        <v/>
      </c>
      <c r="B18">
        <f>Markets!B9</f>
        <v/>
      </c>
      <c r="C18" s="3">
        <f>Markets!F9</f>
        <v/>
      </c>
      <c r="D18" s="3">
        <f>Markets!H9</f>
        <v/>
      </c>
      <c r="E18">
        <f>IF(AND(C18&gt;=$B$4,D18&lt;=$B$5),"THIN MARKET","")</f>
        <v/>
      </c>
      <c r="F18" s="2">
        <f>Markets!D9</f>
        <v/>
      </c>
      <c r="G18" s="2">
        <f>Markets!E9</f>
        <v/>
      </c>
      <c r="H18" s="2">
        <f>F18+G18</f>
        <v/>
      </c>
      <c r="I18" s="2">
        <f>ABS(H18-1)</f>
        <v/>
      </c>
      <c r="J18">
        <f>IF(I18&gt;$B$6,"CHECK PRICING","")</f>
        <v/>
      </c>
      <c r="K18">
        <f>IF(AND(OR(F18&gt;0.95,F18&lt;0.05),C18&gt;$B$7),"CERTAIN+ACTIVE","")</f>
        <v/>
      </c>
    </row>
    <row r="19">
      <c r="A19">
        <f>Markets!A10</f>
        <v/>
      </c>
      <c r="B19">
        <f>Markets!B10</f>
        <v/>
      </c>
      <c r="C19" s="3">
        <f>Markets!F10</f>
        <v/>
      </c>
      <c r="D19" s="3">
        <f>Markets!H10</f>
        <v/>
      </c>
      <c r="E19">
        <f>IF(AND(C19&gt;=$B$4,D19&lt;=$B$5),"THIN MARKET","")</f>
        <v/>
      </c>
      <c r="F19" s="2">
        <f>Markets!D10</f>
        <v/>
      </c>
      <c r="G19" s="2">
        <f>Markets!E10</f>
        <v/>
      </c>
      <c r="H19" s="2">
        <f>F19+G19</f>
        <v/>
      </c>
      <c r="I19" s="2">
        <f>ABS(H19-1)</f>
        <v/>
      </c>
      <c r="J19">
        <f>IF(I19&gt;$B$6,"CHECK PRICING","")</f>
        <v/>
      </c>
      <c r="K19">
        <f>IF(AND(OR(F19&gt;0.95,F19&lt;0.05),C19&gt;$B$7),"CERTAIN+ACTIVE","")</f>
        <v/>
      </c>
    </row>
    <row r="20">
      <c r="A20">
        <f>Markets!A11</f>
        <v/>
      </c>
      <c r="B20">
        <f>Markets!B11</f>
        <v/>
      </c>
      <c r="C20" s="3">
        <f>Markets!F11</f>
        <v/>
      </c>
      <c r="D20" s="3">
        <f>Markets!H11</f>
        <v/>
      </c>
      <c r="E20">
        <f>IF(AND(C20&gt;=$B$4,D20&lt;=$B$5),"THIN MARKET","")</f>
        <v/>
      </c>
      <c r="F20" s="2">
        <f>Markets!D11</f>
        <v/>
      </c>
      <c r="G20" s="2">
        <f>Markets!E11</f>
        <v/>
      </c>
      <c r="H20" s="2">
        <f>F20+G20</f>
        <v/>
      </c>
      <c r="I20" s="2">
        <f>ABS(H20-1)</f>
        <v/>
      </c>
      <c r="J20">
        <f>IF(I20&gt;$B$6,"CHECK PRICING","")</f>
        <v/>
      </c>
      <c r="K20">
        <f>IF(AND(OR(F20&gt;0.95,F20&lt;0.05),C20&gt;$B$7),"CERTAIN+ACTIVE","")</f>
        <v/>
      </c>
    </row>
    <row r="21">
      <c r="A21">
        <f>Markets!A12</f>
        <v/>
      </c>
      <c r="B21">
        <f>Markets!B12</f>
        <v/>
      </c>
      <c r="C21" s="3">
        <f>Markets!F12</f>
        <v/>
      </c>
      <c r="D21" s="3">
        <f>Markets!H12</f>
        <v/>
      </c>
      <c r="E21">
        <f>IF(AND(C21&gt;=$B$4,D21&lt;=$B$5),"THIN MARKET","")</f>
        <v/>
      </c>
      <c r="F21" s="2">
        <f>Markets!D12</f>
        <v/>
      </c>
      <c r="G21" s="2">
        <f>Markets!E12</f>
        <v/>
      </c>
      <c r="H21" s="2">
        <f>F21+G21</f>
        <v/>
      </c>
      <c r="I21" s="2">
        <f>ABS(H21-1)</f>
        <v/>
      </c>
      <c r="J21">
        <f>IF(I21&gt;$B$6,"CHECK PRICING","")</f>
        <v/>
      </c>
      <c r="K21">
        <f>IF(AND(OR(F21&gt;0.95,F21&lt;0.05),C21&gt;$B$7),"CERTAIN+ACTIVE","")</f>
        <v/>
      </c>
    </row>
    <row r="22">
      <c r="A22">
        <f>Markets!A13</f>
        <v/>
      </c>
      <c r="B22">
        <f>Markets!B13</f>
        <v/>
      </c>
      <c r="C22" s="3">
        <f>Markets!F13</f>
        <v/>
      </c>
      <c r="D22" s="3">
        <f>Markets!H13</f>
        <v/>
      </c>
      <c r="E22">
        <f>IF(AND(C22&gt;=$B$4,D22&lt;=$B$5),"THIN MARKET","")</f>
        <v/>
      </c>
      <c r="F22" s="2">
        <f>Markets!D13</f>
        <v/>
      </c>
      <c r="G22" s="2">
        <f>Markets!E13</f>
        <v/>
      </c>
      <c r="H22" s="2">
        <f>F22+G22</f>
        <v/>
      </c>
      <c r="I22" s="2">
        <f>ABS(H22-1)</f>
        <v/>
      </c>
      <c r="J22">
        <f>IF(I22&gt;$B$6,"CHECK PRICING","")</f>
        <v/>
      </c>
      <c r="K22">
        <f>IF(AND(OR(F22&gt;0.95,F22&lt;0.05),C22&gt;$B$7),"CERTAIN+ACTIVE","")</f>
        <v/>
      </c>
    </row>
    <row r="23">
      <c r="A23">
        <f>Markets!A14</f>
        <v/>
      </c>
      <c r="B23">
        <f>Markets!B14</f>
        <v/>
      </c>
      <c r="C23" s="3">
        <f>Markets!F14</f>
        <v/>
      </c>
      <c r="D23" s="3">
        <f>Markets!H14</f>
        <v/>
      </c>
      <c r="E23">
        <f>IF(AND(C23&gt;=$B$4,D23&lt;=$B$5),"THIN MARKET","")</f>
        <v/>
      </c>
      <c r="F23" s="2">
        <f>Markets!D14</f>
        <v/>
      </c>
      <c r="G23" s="2">
        <f>Markets!E14</f>
        <v/>
      </c>
      <c r="H23" s="2">
        <f>F23+G23</f>
        <v/>
      </c>
      <c r="I23" s="2">
        <f>ABS(H23-1)</f>
        <v/>
      </c>
      <c r="J23">
        <f>IF(I23&gt;$B$6,"CHECK PRICING","")</f>
        <v/>
      </c>
      <c r="K23">
        <f>IF(AND(OR(F23&gt;0.95,F23&lt;0.05),C23&gt;$B$7),"CERTAIN+ACTIVE","")</f>
        <v/>
      </c>
    </row>
    <row r="24">
      <c r="A24">
        <f>Markets!A15</f>
        <v/>
      </c>
      <c r="B24">
        <f>Markets!B15</f>
        <v/>
      </c>
      <c r="C24" s="3">
        <f>Markets!F15</f>
        <v/>
      </c>
      <c r="D24" s="3">
        <f>Markets!H15</f>
        <v/>
      </c>
      <c r="E24">
        <f>IF(AND(C24&gt;=$B$4,D24&lt;=$B$5),"THIN MARKET","")</f>
        <v/>
      </c>
      <c r="F24" s="2">
        <f>Markets!D15</f>
        <v/>
      </c>
      <c r="G24" s="2">
        <f>Markets!E15</f>
        <v/>
      </c>
      <c r="H24" s="2">
        <f>F24+G24</f>
        <v/>
      </c>
      <c r="I24" s="2">
        <f>ABS(H24-1)</f>
        <v/>
      </c>
      <c r="J24">
        <f>IF(I24&gt;$B$6,"CHECK PRICING","")</f>
        <v/>
      </c>
      <c r="K24">
        <f>IF(AND(OR(F24&gt;0.95,F24&lt;0.05),C24&gt;$B$7),"CERTAIN+ACTIVE","")</f>
        <v/>
      </c>
    </row>
    <row r="25">
      <c r="A25">
        <f>Markets!A16</f>
        <v/>
      </c>
      <c r="B25">
        <f>Markets!B16</f>
        <v/>
      </c>
      <c r="C25" s="3">
        <f>Markets!F16</f>
        <v/>
      </c>
      <c r="D25" s="3">
        <f>Markets!H16</f>
        <v/>
      </c>
      <c r="E25">
        <f>IF(AND(C25&gt;=$B$4,D25&lt;=$B$5),"THIN MARKET","")</f>
        <v/>
      </c>
      <c r="F25" s="2">
        <f>Markets!D16</f>
        <v/>
      </c>
      <c r="G25" s="2">
        <f>Markets!E16</f>
        <v/>
      </c>
      <c r="H25" s="2">
        <f>F25+G25</f>
        <v/>
      </c>
      <c r="I25" s="2">
        <f>ABS(H25-1)</f>
        <v/>
      </c>
      <c r="J25">
        <f>IF(I25&gt;$B$6,"CHECK PRICING","")</f>
        <v/>
      </c>
      <c r="K25">
        <f>IF(AND(OR(F25&gt;0.95,F25&lt;0.05),C25&gt;$B$7),"CERTAIN+ACTIVE","")</f>
        <v/>
      </c>
    </row>
    <row r="26">
      <c r="A26">
        <f>Markets!A17</f>
        <v/>
      </c>
      <c r="B26">
        <f>Markets!B17</f>
        <v/>
      </c>
      <c r="C26" s="3">
        <f>Markets!F17</f>
        <v/>
      </c>
      <c r="D26" s="3">
        <f>Markets!H17</f>
        <v/>
      </c>
      <c r="E26">
        <f>IF(AND(C26&gt;=$B$4,D26&lt;=$B$5),"THIN MARKET","")</f>
        <v/>
      </c>
      <c r="F26" s="2">
        <f>Markets!D17</f>
        <v/>
      </c>
      <c r="G26" s="2">
        <f>Markets!E17</f>
        <v/>
      </c>
      <c r="H26" s="2">
        <f>F26+G26</f>
        <v/>
      </c>
      <c r="I26" s="2">
        <f>ABS(H26-1)</f>
        <v/>
      </c>
      <c r="J26">
        <f>IF(I26&gt;$B$6,"CHECK PRICING","")</f>
        <v/>
      </c>
      <c r="K26">
        <f>IF(AND(OR(F26&gt;0.95,F26&lt;0.05),C26&gt;$B$7),"CERTAIN+ACTIVE","")</f>
        <v/>
      </c>
    </row>
    <row r="27">
      <c r="A27">
        <f>Markets!A18</f>
        <v/>
      </c>
      <c r="B27">
        <f>Markets!B18</f>
        <v/>
      </c>
      <c r="C27" s="3">
        <f>Markets!F18</f>
        <v/>
      </c>
      <c r="D27" s="3">
        <f>Markets!H18</f>
        <v/>
      </c>
      <c r="E27">
        <f>IF(AND(C27&gt;=$B$4,D27&lt;=$B$5),"THIN MARKET","")</f>
        <v/>
      </c>
      <c r="F27" s="2">
        <f>Markets!D18</f>
        <v/>
      </c>
      <c r="G27" s="2">
        <f>Markets!E18</f>
        <v/>
      </c>
      <c r="H27" s="2">
        <f>F27+G27</f>
        <v/>
      </c>
      <c r="I27" s="2">
        <f>ABS(H27-1)</f>
        <v/>
      </c>
      <c r="J27">
        <f>IF(I27&gt;$B$6,"CHECK PRICING","")</f>
        <v/>
      </c>
      <c r="K27">
        <f>IF(AND(OR(F27&gt;0.95,F27&lt;0.05),C27&gt;$B$7),"CERTAIN+ACTIVE","")</f>
        <v/>
      </c>
    </row>
    <row r="28">
      <c r="A28">
        <f>Markets!A19</f>
        <v/>
      </c>
      <c r="B28">
        <f>Markets!B19</f>
        <v/>
      </c>
      <c r="C28" s="3">
        <f>Markets!F19</f>
        <v/>
      </c>
      <c r="D28" s="3">
        <f>Markets!H19</f>
        <v/>
      </c>
      <c r="E28">
        <f>IF(AND(C28&gt;=$B$4,D28&lt;=$B$5),"THIN MARKET","")</f>
        <v/>
      </c>
      <c r="F28" s="2">
        <f>Markets!D19</f>
        <v/>
      </c>
      <c r="G28" s="2">
        <f>Markets!E19</f>
        <v/>
      </c>
      <c r="H28" s="2">
        <f>F28+G28</f>
        <v/>
      </c>
      <c r="I28" s="2">
        <f>ABS(H28-1)</f>
        <v/>
      </c>
      <c r="J28">
        <f>IF(I28&gt;$B$6,"CHECK PRICING","")</f>
        <v/>
      </c>
      <c r="K28">
        <f>IF(AND(OR(F28&gt;0.95,F28&lt;0.05),C28&gt;$B$7),"CERTAIN+ACTIVE","")</f>
        <v/>
      </c>
    </row>
    <row r="29">
      <c r="A29">
        <f>Markets!A20</f>
        <v/>
      </c>
      <c r="B29">
        <f>Markets!B20</f>
        <v/>
      </c>
      <c r="C29" s="3">
        <f>Markets!F20</f>
        <v/>
      </c>
      <c r="D29" s="3">
        <f>Markets!H20</f>
        <v/>
      </c>
      <c r="E29">
        <f>IF(AND(C29&gt;=$B$4,D29&lt;=$B$5),"THIN MARKET","")</f>
        <v/>
      </c>
      <c r="F29" s="2">
        <f>Markets!D20</f>
        <v/>
      </c>
      <c r="G29" s="2">
        <f>Markets!E20</f>
        <v/>
      </c>
      <c r="H29" s="2">
        <f>F29+G29</f>
        <v/>
      </c>
      <c r="I29" s="2">
        <f>ABS(H29-1)</f>
        <v/>
      </c>
      <c r="J29">
        <f>IF(I29&gt;$B$6,"CHECK PRICING","")</f>
        <v/>
      </c>
      <c r="K29">
        <f>IF(AND(OR(F29&gt;0.95,F29&lt;0.05),C29&gt;$B$7),"CERTAIN+ACTIVE","")</f>
        <v/>
      </c>
    </row>
    <row r="30">
      <c r="A30">
        <f>Markets!A21</f>
        <v/>
      </c>
      <c r="B30">
        <f>Markets!B21</f>
        <v/>
      </c>
      <c r="C30" s="3">
        <f>Markets!F21</f>
        <v/>
      </c>
      <c r="D30" s="3">
        <f>Markets!H21</f>
        <v/>
      </c>
      <c r="E30">
        <f>IF(AND(C30&gt;=$B$4,D30&lt;=$B$5),"THIN MARKET","")</f>
        <v/>
      </c>
      <c r="F30" s="2">
        <f>Markets!D21</f>
        <v/>
      </c>
      <c r="G30" s="2">
        <f>Markets!E21</f>
        <v/>
      </c>
      <c r="H30" s="2">
        <f>F30+G30</f>
        <v/>
      </c>
      <c r="I30" s="2">
        <f>ABS(H30-1)</f>
        <v/>
      </c>
      <c r="J30">
        <f>IF(I30&gt;$B$6,"CHECK PRICING","")</f>
        <v/>
      </c>
      <c r="K30">
        <f>IF(AND(OR(F30&gt;0.95,F30&lt;0.05),C30&gt;$B$7),"CERTAIN+ACTIVE","")</f>
        <v/>
      </c>
    </row>
    <row r="31">
      <c r="A31">
        <f>Markets!A22</f>
        <v/>
      </c>
      <c r="B31">
        <f>Markets!B22</f>
        <v/>
      </c>
      <c r="C31" s="3">
        <f>Markets!F22</f>
        <v/>
      </c>
      <c r="D31" s="3">
        <f>Markets!H22</f>
        <v/>
      </c>
      <c r="E31">
        <f>IF(AND(C31&gt;=$B$4,D31&lt;=$B$5),"THIN MARKET","")</f>
        <v/>
      </c>
      <c r="F31" s="2">
        <f>Markets!D22</f>
        <v/>
      </c>
      <c r="G31" s="2">
        <f>Markets!E22</f>
        <v/>
      </c>
      <c r="H31" s="2">
        <f>F31+G31</f>
        <v/>
      </c>
      <c r="I31" s="2">
        <f>ABS(H31-1)</f>
        <v/>
      </c>
      <c r="J31">
        <f>IF(I31&gt;$B$6,"CHECK PRICING","")</f>
        <v/>
      </c>
      <c r="K31">
        <f>IF(AND(OR(F31&gt;0.95,F31&lt;0.05),C31&gt;$B$7),"CERTAIN+ACTIVE","")</f>
        <v/>
      </c>
    </row>
    <row r="32">
      <c r="A32">
        <f>Markets!A23</f>
        <v/>
      </c>
      <c r="B32">
        <f>Markets!B23</f>
        <v/>
      </c>
      <c r="C32" s="3">
        <f>Markets!F23</f>
        <v/>
      </c>
      <c r="D32" s="3">
        <f>Markets!H23</f>
        <v/>
      </c>
      <c r="E32">
        <f>IF(AND(C32&gt;=$B$4,D32&lt;=$B$5),"THIN MARKET","")</f>
        <v/>
      </c>
      <c r="F32" s="2">
        <f>Markets!D23</f>
        <v/>
      </c>
      <c r="G32" s="2">
        <f>Markets!E23</f>
        <v/>
      </c>
      <c r="H32" s="2">
        <f>F32+G32</f>
        <v/>
      </c>
      <c r="I32" s="2">
        <f>ABS(H32-1)</f>
        <v/>
      </c>
      <c r="J32">
        <f>IF(I32&gt;$B$6,"CHECK PRICING","")</f>
        <v/>
      </c>
      <c r="K32">
        <f>IF(AND(OR(F32&gt;0.95,F32&lt;0.05),C32&gt;$B$7),"CERTAIN+ACTIVE","")</f>
        <v/>
      </c>
    </row>
    <row r="33">
      <c r="A33">
        <f>Markets!A24</f>
        <v/>
      </c>
      <c r="B33">
        <f>Markets!B24</f>
        <v/>
      </c>
      <c r="C33" s="3">
        <f>Markets!F24</f>
        <v/>
      </c>
      <c r="D33" s="3">
        <f>Markets!H24</f>
        <v/>
      </c>
      <c r="E33">
        <f>IF(AND(C33&gt;=$B$4,D33&lt;=$B$5),"THIN MARKET","")</f>
        <v/>
      </c>
      <c r="F33" s="2">
        <f>Markets!D24</f>
        <v/>
      </c>
      <c r="G33" s="2">
        <f>Markets!E24</f>
        <v/>
      </c>
      <c r="H33" s="2">
        <f>F33+G33</f>
        <v/>
      </c>
      <c r="I33" s="2">
        <f>ABS(H33-1)</f>
        <v/>
      </c>
      <c r="J33">
        <f>IF(I33&gt;$B$6,"CHECK PRICING","")</f>
        <v/>
      </c>
      <c r="K33">
        <f>IF(AND(OR(F33&gt;0.95,F33&lt;0.05),C33&gt;$B$7),"CERTAIN+ACTIVE","")</f>
        <v/>
      </c>
    </row>
    <row r="34">
      <c r="A34">
        <f>Markets!A25</f>
        <v/>
      </c>
      <c r="B34">
        <f>Markets!B25</f>
        <v/>
      </c>
      <c r="C34" s="3">
        <f>Markets!F25</f>
        <v/>
      </c>
      <c r="D34" s="3">
        <f>Markets!H25</f>
        <v/>
      </c>
      <c r="E34">
        <f>IF(AND(C34&gt;=$B$4,D34&lt;=$B$5),"THIN MARKET","")</f>
        <v/>
      </c>
      <c r="F34" s="2">
        <f>Markets!D25</f>
        <v/>
      </c>
      <c r="G34" s="2">
        <f>Markets!E25</f>
        <v/>
      </c>
      <c r="H34" s="2">
        <f>F34+G34</f>
        <v/>
      </c>
      <c r="I34" s="2">
        <f>ABS(H34-1)</f>
        <v/>
      </c>
      <c r="J34">
        <f>IF(I34&gt;$B$6,"CHECK PRICING","")</f>
        <v/>
      </c>
      <c r="K34">
        <f>IF(AND(OR(F34&gt;0.95,F34&lt;0.05),C34&gt;$B$7),"CERTAIN+ACTIVE","")</f>
        <v/>
      </c>
    </row>
    <row r="35">
      <c r="A35">
        <f>Markets!A26</f>
        <v/>
      </c>
      <c r="B35">
        <f>Markets!B26</f>
        <v/>
      </c>
      <c r="C35" s="3">
        <f>Markets!F26</f>
        <v/>
      </c>
      <c r="D35" s="3">
        <f>Markets!H26</f>
        <v/>
      </c>
      <c r="E35">
        <f>IF(AND(C35&gt;=$B$4,D35&lt;=$B$5),"THIN MARKET","")</f>
        <v/>
      </c>
      <c r="F35" s="2">
        <f>Markets!D26</f>
        <v/>
      </c>
      <c r="G35" s="2">
        <f>Markets!E26</f>
        <v/>
      </c>
      <c r="H35" s="2">
        <f>F35+G35</f>
        <v/>
      </c>
      <c r="I35" s="2">
        <f>ABS(H35-1)</f>
        <v/>
      </c>
      <c r="J35">
        <f>IF(I35&gt;$B$6,"CHECK PRICING","")</f>
        <v/>
      </c>
      <c r="K35">
        <f>IF(AND(OR(F35&gt;0.95,F35&lt;0.05),C35&gt;$B$7),"CERTAIN+ACTIVE","")</f>
        <v/>
      </c>
    </row>
    <row r="36">
      <c r="A36">
        <f>Markets!A27</f>
        <v/>
      </c>
      <c r="B36">
        <f>Markets!B27</f>
        <v/>
      </c>
      <c r="C36" s="3">
        <f>Markets!F27</f>
        <v/>
      </c>
      <c r="D36" s="3">
        <f>Markets!H27</f>
        <v/>
      </c>
      <c r="E36">
        <f>IF(AND(C36&gt;=$B$4,D36&lt;=$B$5),"THIN MARKET","")</f>
        <v/>
      </c>
      <c r="F36" s="2">
        <f>Markets!D27</f>
        <v/>
      </c>
      <c r="G36" s="2">
        <f>Markets!E27</f>
        <v/>
      </c>
      <c r="H36" s="2">
        <f>F36+G36</f>
        <v/>
      </c>
      <c r="I36" s="2">
        <f>ABS(H36-1)</f>
        <v/>
      </c>
      <c r="J36">
        <f>IF(I36&gt;$B$6,"CHECK PRICING","")</f>
        <v/>
      </c>
      <c r="K36">
        <f>IF(AND(OR(F36&gt;0.95,F36&lt;0.05),C36&gt;$B$7),"CERTAIN+ACTIVE","")</f>
        <v/>
      </c>
    </row>
    <row r="37">
      <c r="A37">
        <f>Markets!A28</f>
        <v/>
      </c>
      <c r="B37">
        <f>Markets!B28</f>
        <v/>
      </c>
      <c r="C37" s="3">
        <f>Markets!F28</f>
        <v/>
      </c>
      <c r="D37" s="3">
        <f>Markets!H28</f>
        <v/>
      </c>
      <c r="E37">
        <f>IF(AND(C37&gt;=$B$4,D37&lt;=$B$5),"THIN MARKET","")</f>
        <v/>
      </c>
      <c r="F37" s="2">
        <f>Markets!D28</f>
        <v/>
      </c>
      <c r="G37" s="2">
        <f>Markets!E28</f>
        <v/>
      </c>
      <c r="H37" s="2">
        <f>F37+G37</f>
        <v/>
      </c>
      <c r="I37" s="2">
        <f>ABS(H37-1)</f>
        <v/>
      </c>
      <c r="J37">
        <f>IF(I37&gt;$B$6,"CHECK PRICING","")</f>
        <v/>
      </c>
      <c r="K37">
        <f>IF(AND(OR(F37&gt;0.95,F37&lt;0.05),C37&gt;$B$7),"CERTAIN+ACTIVE","")</f>
        <v/>
      </c>
    </row>
    <row r="38">
      <c r="A38">
        <f>Markets!A29</f>
        <v/>
      </c>
      <c r="B38">
        <f>Markets!B29</f>
        <v/>
      </c>
      <c r="C38" s="3">
        <f>Markets!F29</f>
        <v/>
      </c>
      <c r="D38" s="3">
        <f>Markets!H29</f>
        <v/>
      </c>
      <c r="E38">
        <f>IF(AND(C38&gt;=$B$4,D38&lt;=$B$5),"THIN MARKET","")</f>
        <v/>
      </c>
      <c r="F38" s="2">
        <f>Markets!D29</f>
        <v/>
      </c>
      <c r="G38" s="2">
        <f>Markets!E29</f>
        <v/>
      </c>
      <c r="H38" s="2">
        <f>F38+G38</f>
        <v/>
      </c>
      <c r="I38" s="2">
        <f>ABS(H38-1)</f>
        <v/>
      </c>
      <c r="J38">
        <f>IF(I38&gt;$B$6,"CHECK PRICING","")</f>
        <v/>
      </c>
      <c r="K38">
        <f>IF(AND(OR(F38&gt;0.95,F38&lt;0.05),C38&gt;$B$7),"CERTAIN+ACTIVE","")</f>
        <v/>
      </c>
    </row>
    <row r="39">
      <c r="A39">
        <f>Markets!A30</f>
        <v/>
      </c>
      <c r="B39">
        <f>Markets!B30</f>
        <v/>
      </c>
      <c r="C39" s="3">
        <f>Markets!F30</f>
        <v/>
      </c>
      <c r="D39" s="3">
        <f>Markets!H30</f>
        <v/>
      </c>
      <c r="E39">
        <f>IF(AND(C39&gt;=$B$4,D39&lt;=$B$5),"THIN MARKET","")</f>
        <v/>
      </c>
      <c r="F39" s="2">
        <f>Markets!D30</f>
        <v/>
      </c>
      <c r="G39" s="2">
        <f>Markets!E30</f>
        <v/>
      </c>
      <c r="H39" s="2">
        <f>F39+G39</f>
        <v/>
      </c>
      <c r="I39" s="2">
        <f>ABS(H39-1)</f>
        <v/>
      </c>
      <c r="J39">
        <f>IF(I39&gt;$B$6,"CHECK PRICING","")</f>
        <v/>
      </c>
      <c r="K39">
        <f>IF(AND(OR(F39&gt;0.95,F39&lt;0.05),C39&gt;$B$7),"CERTAIN+ACTIVE","")</f>
        <v/>
      </c>
    </row>
    <row r="40">
      <c r="A40">
        <f>Markets!A31</f>
        <v/>
      </c>
      <c r="B40">
        <f>Markets!B31</f>
        <v/>
      </c>
      <c r="C40" s="3">
        <f>Markets!F31</f>
        <v/>
      </c>
      <c r="D40" s="3">
        <f>Markets!H31</f>
        <v/>
      </c>
      <c r="E40">
        <f>IF(AND(C40&gt;=$B$4,D40&lt;=$B$5),"THIN MARKET","")</f>
        <v/>
      </c>
      <c r="F40" s="2">
        <f>Markets!D31</f>
        <v/>
      </c>
      <c r="G40" s="2">
        <f>Markets!E31</f>
        <v/>
      </c>
      <c r="H40" s="2">
        <f>F40+G40</f>
        <v/>
      </c>
      <c r="I40" s="2">
        <f>ABS(H40-1)</f>
        <v/>
      </c>
      <c r="J40">
        <f>IF(I40&gt;$B$6,"CHECK PRICING","")</f>
        <v/>
      </c>
      <c r="K40">
        <f>IF(AND(OR(F40&gt;0.95,F40&lt;0.05),C40&gt;$B$7),"CERTAIN+ACTIVE","")</f>
        <v/>
      </c>
    </row>
    <row r="41">
      <c r="A41">
        <f>Markets!A32</f>
        <v/>
      </c>
      <c r="B41">
        <f>Markets!B32</f>
        <v/>
      </c>
      <c r="C41" s="3">
        <f>Markets!F32</f>
        <v/>
      </c>
      <c r="D41" s="3">
        <f>Markets!H32</f>
        <v/>
      </c>
      <c r="E41">
        <f>IF(AND(C41&gt;=$B$4,D41&lt;=$B$5),"THIN MARKET","")</f>
        <v/>
      </c>
      <c r="F41" s="2">
        <f>Markets!D32</f>
        <v/>
      </c>
      <c r="G41" s="2">
        <f>Markets!E32</f>
        <v/>
      </c>
      <c r="H41" s="2">
        <f>F41+G41</f>
        <v/>
      </c>
      <c r="I41" s="2">
        <f>ABS(H41-1)</f>
        <v/>
      </c>
      <c r="J41">
        <f>IF(I41&gt;$B$6,"CHECK PRICING","")</f>
        <v/>
      </c>
      <c r="K41">
        <f>IF(AND(OR(F41&gt;0.95,F41&lt;0.05),C41&gt;$B$7),"CERTAIN+ACTIVE","")</f>
        <v/>
      </c>
    </row>
    <row r="42">
      <c r="A42">
        <f>Markets!A33</f>
        <v/>
      </c>
      <c r="B42">
        <f>Markets!B33</f>
        <v/>
      </c>
      <c r="C42" s="3">
        <f>Markets!F33</f>
        <v/>
      </c>
      <c r="D42" s="3">
        <f>Markets!H33</f>
        <v/>
      </c>
      <c r="E42">
        <f>IF(AND(C42&gt;=$B$4,D42&lt;=$B$5),"THIN MARKET","")</f>
        <v/>
      </c>
      <c r="F42" s="2">
        <f>Markets!D33</f>
        <v/>
      </c>
      <c r="G42" s="2">
        <f>Markets!E33</f>
        <v/>
      </c>
      <c r="H42" s="2">
        <f>F42+G42</f>
        <v/>
      </c>
      <c r="I42" s="2">
        <f>ABS(H42-1)</f>
        <v/>
      </c>
      <c r="J42">
        <f>IF(I42&gt;$B$6,"CHECK PRICING","")</f>
        <v/>
      </c>
      <c r="K42">
        <f>IF(AND(OR(F42&gt;0.95,F42&lt;0.05),C42&gt;$B$7),"CERTAIN+ACTIVE","")</f>
        <v/>
      </c>
    </row>
    <row r="43">
      <c r="A43">
        <f>Markets!A34</f>
        <v/>
      </c>
      <c r="B43">
        <f>Markets!B34</f>
        <v/>
      </c>
      <c r="C43" s="3">
        <f>Markets!F34</f>
        <v/>
      </c>
      <c r="D43" s="3">
        <f>Markets!H34</f>
        <v/>
      </c>
      <c r="E43">
        <f>IF(AND(C43&gt;=$B$4,D43&lt;=$B$5),"THIN MARKET","")</f>
        <v/>
      </c>
      <c r="F43" s="2">
        <f>Markets!D34</f>
        <v/>
      </c>
      <c r="G43" s="2">
        <f>Markets!E34</f>
        <v/>
      </c>
      <c r="H43" s="2">
        <f>F43+G43</f>
        <v/>
      </c>
      <c r="I43" s="2">
        <f>ABS(H43-1)</f>
        <v/>
      </c>
      <c r="J43">
        <f>IF(I43&gt;$B$6,"CHECK PRICING","")</f>
        <v/>
      </c>
      <c r="K43">
        <f>IF(AND(OR(F43&gt;0.95,F43&lt;0.05),C43&gt;$B$7),"CERTAIN+ACTIVE","")</f>
        <v/>
      </c>
    </row>
    <row r="44">
      <c r="A44">
        <f>Markets!A35</f>
        <v/>
      </c>
      <c r="B44">
        <f>Markets!B35</f>
        <v/>
      </c>
      <c r="C44" s="3">
        <f>Markets!F35</f>
        <v/>
      </c>
      <c r="D44" s="3">
        <f>Markets!H35</f>
        <v/>
      </c>
      <c r="E44">
        <f>IF(AND(C44&gt;=$B$4,D44&lt;=$B$5),"THIN MARKET","")</f>
        <v/>
      </c>
      <c r="F44" s="2">
        <f>Markets!D35</f>
        <v/>
      </c>
      <c r="G44" s="2">
        <f>Markets!E35</f>
        <v/>
      </c>
      <c r="H44" s="2">
        <f>F44+G44</f>
        <v/>
      </c>
      <c r="I44" s="2">
        <f>ABS(H44-1)</f>
        <v/>
      </c>
      <c r="J44">
        <f>IF(I44&gt;$B$6,"CHECK PRICING","")</f>
        <v/>
      </c>
      <c r="K44">
        <f>IF(AND(OR(F44&gt;0.95,F44&lt;0.05),C44&gt;$B$7),"CERTAIN+ACTIVE","")</f>
        <v/>
      </c>
    </row>
    <row r="45">
      <c r="A45">
        <f>Markets!A36</f>
        <v/>
      </c>
      <c r="B45">
        <f>Markets!B36</f>
        <v/>
      </c>
      <c r="C45" s="3">
        <f>Markets!F36</f>
        <v/>
      </c>
      <c r="D45" s="3">
        <f>Markets!H36</f>
        <v/>
      </c>
      <c r="E45">
        <f>IF(AND(C45&gt;=$B$4,D45&lt;=$B$5),"THIN MARKET","")</f>
        <v/>
      </c>
      <c r="F45" s="2">
        <f>Markets!D36</f>
        <v/>
      </c>
      <c r="G45" s="2">
        <f>Markets!E36</f>
        <v/>
      </c>
      <c r="H45" s="2">
        <f>F45+G45</f>
        <v/>
      </c>
      <c r="I45" s="2">
        <f>ABS(H45-1)</f>
        <v/>
      </c>
      <c r="J45">
        <f>IF(I45&gt;$B$6,"CHECK PRICING","")</f>
        <v/>
      </c>
      <c r="K45">
        <f>IF(AND(OR(F45&gt;0.95,F45&lt;0.05),C45&gt;$B$7),"CERTAIN+ACTIVE","")</f>
        <v/>
      </c>
    </row>
    <row r="46">
      <c r="A46">
        <f>Markets!A37</f>
        <v/>
      </c>
      <c r="B46">
        <f>Markets!B37</f>
        <v/>
      </c>
      <c r="C46" s="3">
        <f>Markets!F37</f>
        <v/>
      </c>
      <c r="D46" s="3">
        <f>Markets!H37</f>
        <v/>
      </c>
      <c r="E46">
        <f>IF(AND(C46&gt;=$B$4,D46&lt;=$B$5),"THIN MARKET","")</f>
        <v/>
      </c>
      <c r="F46" s="2">
        <f>Markets!D37</f>
        <v/>
      </c>
      <c r="G46" s="2">
        <f>Markets!E37</f>
        <v/>
      </c>
      <c r="H46" s="2">
        <f>F46+G46</f>
        <v/>
      </c>
      <c r="I46" s="2">
        <f>ABS(H46-1)</f>
        <v/>
      </c>
      <c r="J46">
        <f>IF(I46&gt;$B$6,"CHECK PRICING","")</f>
        <v/>
      </c>
      <c r="K46">
        <f>IF(AND(OR(F46&gt;0.95,F46&lt;0.05),C46&gt;$B$7),"CERTAIN+ACTIVE","")</f>
        <v/>
      </c>
    </row>
    <row r="47">
      <c r="A47">
        <f>Markets!A38</f>
        <v/>
      </c>
      <c r="B47">
        <f>Markets!B38</f>
        <v/>
      </c>
      <c r="C47" s="3">
        <f>Markets!F38</f>
        <v/>
      </c>
      <c r="D47" s="3">
        <f>Markets!H38</f>
        <v/>
      </c>
      <c r="E47">
        <f>IF(AND(C47&gt;=$B$4,D47&lt;=$B$5),"THIN MARKET","")</f>
        <v/>
      </c>
      <c r="F47" s="2">
        <f>Markets!D38</f>
        <v/>
      </c>
      <c r="G47" s="2">
        <f>Markets!E38</f>
        <v/>
      </c>
      <c r="H47" s="2">
        <f>F47+G47</f>
        <v/>
      </c>
      <c r="I47" s="2">
        <f>ABS(H47-1)</f>
        <v/>
      </c>
      <c r="J47">
        <f>IF(I47&gt;$B$6,"CHECK PRICING","")</f>
        <v/>
      </c>
      <c r="K47">
        <f>IF(AND(OR(F47&gt;0.95,F47&lt;0.05),C47&gt;$B$7),"CERTAIN+ACTIVE","")</f>
        <v/>
      </c>
    </row>
    <row r="48">
      <c r="A48">
        <f>Markets!A39</f>
        <v/>
      </c>
      <c r="B48">
        <f>Markets!B39</f>
        <v/>
      </c>
      <c r="C48" s="3">
        <f>Markets!F39</f>
        <v/>
      </c>
      <c r="D48" s="3">
        <f>Markets!H39</f>
        <v/>
      </c>
      <c r="E48">
        <f>IF(AND(C48&gt;=$B$4,D48&lt;=$B$5),"THIN MARKET","")</f>
        <v/>
      </c>
      <c r="F48" s="2">
        <f>Markets!D39</f>
        <v/>
      </c>
      <c r="G48" s="2">
        <f>Markets!E39</f>
        <v/>
      </c>
      <c r="H48" s="2">
        <f>F48+G48</f>
        <v/>
      </c>
      <c r="I48" s="2">
        <f>ABS(H48-1)</f>
        <v/>
      </c>
      <c r="J48">
        <f>IF(I48&gt;$B$6,"CHECK PRICING","")</f>
        <v/>
      </c>
      <c r="K48">
        <f>IF(AND(OR(F48&gt;0.95,F48&lt;0.05),C48&gt;$B$7),"CERTAIN+ACTIVE","")</f>
        <v/>
      </c>
    </row>
    <row r="49">
      <c r="A49">
        <f>Markets!A40</f>
        <v/>
      </c>
      <c r="B49">
        <f>Markets!B40</f>
        <v/>
      </c>
      <c r="C49" s="3">
        <f>Markets!F40</f>
        <v/>
      </c>
      <c r="D49" s="3">
        <f>Markets!H40</f>
        <v/>
      </c>
      <c r="E49">
        <f>IF(AND(C49&gt;=$B$4,D49&lt;=$B$5),"THIN MARKET","")</f>
        <v/>
      </c>
      <c r="F49" s="2">
        <f>Markets!D40</f>
        <v/>
      </c>
      <c r="G49" s="2">
        <f>Markets!E40</f>
        <v/>
      </c>
      <c r="H49" s="2">
        <f>F49+G49</f>
        <v/>
      </c>
      <c r="I49" s="2">
        <f>ABS(H49-1)</f>
        <v/>
      </c>
      <c r="J49">
        <f>IF(I49&gt;$B$6,"CHECK PRICING","")</f>
        <v/>
      </c>
      <c r="K49">
        <f>IF(AND(OR(F49&gt;0.95,F49&lt;0.05),C49&gt;$B$7),"CERTAIN+ACTIVE","")</f>
        <v/>
      </c>
    </row>
    <row r="50">
      <c r="A50">
        <f>Markets!A41</f>
        <v/>
      </c>
      <c r="B50">
        <f>Markets!B41</f>
        <v/>
      </c>
      <c r="C50" s="3">
        <f>Markets!F41</f>
        <v/>
      </c>
      <c r="D50" s="3">
        <f>Markets!H41</f>
        <v/>
      </c>
      <c r="E50">
        <f>IF(AND(C50&gt;=$B$4,D50&lt;=$B$5),"THIN MARKET","")</f>
        <v/>
      </c>
      <c r="F50" s="2">
        <f>Markets!D41</f>
        <v/>
      </c>
      <c r="G50" s="2">
        <f>Markets!E41</f>
        <v/>
      </c>
      <c r="H50" s="2">
        <f>F50+G50</f>
        <v/>
      </c>
      <c r="I50" s="2">
        <f>ABS(H50-1)</f>
        <v/>
      </c>
      <c r="J50">
        <f>IF(I50&gt;$B$6,"CHECK PRICING","")</f>
        <v/>
      </c>
      <c r="K50">
        <f>IF(AND(OR(F50&gt;0.95,F50&lt;0.05),C50&gt;$B$7),"CERTAIN+ACTIVE","")</f>
        <v/>
      </c>
    </row>
    <row r="51">
      <c r="A51">
        <f>Markets!A42</f>
        <v/>
      </c>
      <c r="B51">
        <f>Markets!B42</f>
        <v/>
      </c>
      <c r="C51" s="3">
        <f>Markets!F42</f>
        <v/>
      </c>
      <c r="D51" s="3">
        <f>Markets!H42</f>
        <v/>
      </c>
      <c r="E51">
        <f>IF(AND(C51&gt;=$B$4,D51&lt;=$B$5),"THIN MARKET","")</f>
        <v/>
      </c>
      <c r="F51" s="2">
        <f>Markets!D42</f>
        <v/>
      </c>
      <c r="G51" s="2">
        <f>Markets!E42</f>
        <v/>
      </c>
      <c r="H51" s="2">
        <f>F51+G51</f>
        <v/>
      </c>
      <c r="I51" s="2">
        <f>ABS(H51-1)</f>
        <v/>
      </c>
      <c r="J51">
        <f>IF(I51&gt;$B$6,"CHECK PRICING","")</f>
        <v/>
      </c>
      <c r="K51">
        <f>IF(AND(OR(F51&gt;0.95,F51&lt;0.05),C51&gt;$B$7),"CERTAIN+ACTIVE","")</f>
        <v/>
      </c>
    </row>
    <row r="52">
      <c r="A52">
        <f>Markets!A43</f>
        <v/>
      </c>
      <c r="B52">
        <f>Markets!B43</f>
        <v/>
      </c>
      <c r="C52" s="3">
        <f>Markets!F43</f>
        <v/>
      </c>
      <c r="D52" s="3">
        <f>Markets!H43</f>
        <v/>
      </c>
      <c r="E52">
        <f>IF(AND(C52&gt;=$B$4,D52&lt;=$B$5),"THIN MARKET","")</f>
        <v/>
      </c>
      <c r="F52" s="2">
        <f>Markets!D43</f>
        <v/>
      </c>
      <c r="G52" s="2">
        <f>Markets!E43</f>
        <v/>
      </c>
      <c r="H52" s="2">
        <f>F52+G52</f>
        <v/>
      </c>
      <c r="I52" s="2">
        <f>ABS(H52-1)</f>
        <v/>
      </c>
      <c r="J52">
        <f>IF(I52&gt;$B$6,"CHECK PRICING","")</f>
        <v/>
      </c>
      <c r="K52">
        <f>IF(AND(OR(F52&gt;0.95,F52&lt;0.05),C52&gt;$B$7),"CERTAIN+ACTIVE","")</f>
        <v/>
      </c>
    </row>
    <row r="53">
      <c r="A53">
        <f>Markets!A44</f>
        <v/>
      </c>
      <c r="B53">
        <f>Markets!B44</f>
        <v/>
      </c>
      <c r="C53" s="3">
        <f>Markets!F44</f>
        <v/>
      </c>
      <c r="D53" s="3">
        <f>Markets!H44</f>
        <v/>
      </c>
      <c r="E53">
        <f>IF(AND(C53&gt;=$B$4,D53&lt;=$B$5),"THIN MARKET","")</f>
        <v/>
      </c>
      <c r="F53" s="2">
        <f>Markets!D44</f>
        <v/>
      </c>
      <c r="G53" s="2">
        <f>Markets!E44</f>
        <v/>
      </c>
      <c r="H53" s="2">
        <f>F53+G53</f>
        <v/>
      </c>
      <c r="I53" s="2">
        <f>ABS(H53-1)</f>
        <v/>
      </c>
      <c r="J53">
        <f>IF(I53&gt;$B$6,"CHECK PRICING","")</f>
        <v/>
      </c>
      <c r="K53">
        <f>IF(AND(OR(F53&gt;0.95,F53&lt;0.05),C53&gt;$B$7),"CERTAIN+ACTIVE","")</f>
        <v/>
      </c>
    </row>
    <row r="54">
      <c r="A54">
        <f>Markets!A45</f>
        <v/>
      </c>
      <c r="B54">
        <f>Markets!B45</f>
        <v/>
      </c>
      <c r="C54" s="3">
        <f>Markets!F45</f>
        <v/>
      </c>
      <c r="D54" s="3">
        <f>Markets!H45</f>
        <v/>
      </c>
      <c r="E54">
        <f>IF(AND(C54&gt;=$B$4,D54&lt;=$B$5),"THIN MARKET","")</f>
        <v/>
      </c>
      <c r="F54" s="2">
        <f>Markets!D45</f>
        <v/>
      </c>
      <c r="G54" s="2">
        <f>Markets!E45</f>
        <v/>
      </c>
      <c r="H54" s="2">
        <f>F54+G54</f>
        <v/>
      </c>
      <c r="I54" s="2">
        <f>ABS(H54-1)</f>
        <v/>
      </c>
      <c r="J54">
        <f>IF(I54&gt;$B$6,"CHECK PRICING","")</f>
        <v/>
      </c>
      <c r="K54">
        <f>IF(AND(OR(F54&gt;0.95,F54&lt;0.05),C54&gt;$B$7),"CERTAIN+ACTIVE","")</f>
        <v/>
      </c>
    </row>
    <row r="55">
      <c r="A55">
        <f>Markets!A46</f>
        <v/>
      </c>
      <c r="B55">
        <f>Markets!B46</f>
        <v/>
      </c>
      <c r="C55" s="3">
        <f>Markets!F46</f>
        <v/>
      </c>
      <c r="D55" s="3">
        <f>Markets!H46</f>
        <v/>
      </c>
      <c r="E55">
        <f>IF(AND(C55&gt;=$B$4,D55&lt;=$B$5),"THIN MARKET","")</f>
        <v/>
      </c>
      <c r="F55" s="2">
        <f>Markets!D46</f>
        <v/>
      </c>
      <c r="G55" s="2">
        <f>Markets!E46</f>
        <v/>
      </c>
      <c r="H55" s="2">
        <f>F55+G55</f>
        <v/>
      </c>
      <c r="I55" s="2">
        <f>ABS(H55-1)</f>
        <v/>
      </c>
      <c r="J55">
        <f>IF(I55&gt;$B$6,"CHECK PRICING","")</f>
        <v/>
      </c>
      <c r="K55">
        <f>IF(AND(OR(F55&gt;0.95,F55&lt;0.05),C55&gt;$B$7),"CERTAIN+ACTIVE","")</f>
        <v/>
      </c>
    </row>
    <row r="56">
      <c r="A56">
        <f>Markets!A47</f>
        <v/>
      </c>
      <c r="B56">
        <f>Markets!B47</f>
        <v/>
      </c>
      <c r="C56" s="3">
        <f>Markets!F47</f>
        <v/>
      </c>
      <c r="D56" s="3">
        <f>Markets!H47</f>
        <v/>
      </c>
      <c r="E56">
        <f>IF(AND(C56&gt;=$B$4,D56&lt;=$B$5),"THIN MARKET","")</f>
        <v/>
      </c>
      <c r="F56" s="2">
        <f>Markets!D47</f>
        <v/>
      </c>
      <c r="G56" s="2">
        <f>Markets!E47</f>
        <v/>
      </c>
      <c r="H56" s="2">
        <f>F56+G56</f>
        <v/>
      </c>
      <c r="I56" s="2">
        <f>ABS(H56-1)</f>
        <v/>
      </c>
      <c r="J56">
        <f>IF(I56&gt;$B$6,"CHECK PRICING","")</f>
        <v/>
      </c>
      <c r="K56">
        <f>IF(AND(OR(F56&gt;0.95,F56&lt;0.05),C56&gt;$B$7),"CERTAIN+ACTIVE","")</f>
        <v/>
      </c>
    </row>
    <row r="57">
      <c r="A57">
        <f>Markets!A48</f>
        <v/>
      </c>
      <c r="B57">
        <f>Markets!B48</f>
        <v/>
      </c>
      <c r="C57" s="3">
        <f>Markets!F48</f>
        <v/>
      </c>
      <c r="D57" s="3">
        <f>Markets!H48</f>
        <v/>
      </c>
      <c r="E57">
        <f>IF(AND(C57&gt;=$B$4,D57&lt;=$B$5),"THIN MARKET","")</f>
        <v/>
      </c>
      <c r="F57" s="2">
        <f>Markets!D48</f>
        <v/>
      </c>
      <c r="G57" s="2">
        <f>Markets!E48</f>
        <v/>
      </c>
      <c r="H57" s="2">
        <f>F57+G57</f>
        <v/>
      </c>
      <c r="I57" s="2">
        <f>ABS(H57-1)</f>
        <v/>
      </c>
      <c r="J57">
        <f>IF(I57&gt;$B$6,"CHECK PRICING","")</f>
        <v/>
      </c>
      <c r="K57">
        <f>IF(AND(OR(F57&gt;0.95,F57&lt;0.05),C57&gt;$B$7),"CERTAIN+ACTIVE","")</f>
        <v/>
      </c>
    </row>
    <row r="58">
      <c r="A58">
        <f>Markets!A49</f>
        <v/>
      </c>
      <c r="B58">
        <f>Markets!B49</f>
        <v/>
      </c>
      <c r="C58" s="3">
        <f>Markets!F49</f>
        <v/>
      </c>
      <c r="D58" s="3">
        <f>Markets!H49</f>
        <v/>
      </c>
      <c r="E58">
        <f>IF(AND(C58&gt;=$B$4,D58&lt;=$B$5),"THIN MARKET","")</f>
        <v/>
      </c>
      <c r="F58" s="2">
        <f>Markets!D49</f>
        <v/>
      </c>
      <c r="G58" s="2">
        <f>Markets!E49</f>
        <v/>
      </c>
      <c r="H58" s="2">
        <f>F58+G58</f>
        <v/>
      </c>
      <c r="I58" s="2">
        <f>ABS(H58-1)</f>
        <v/>
      </c>
      <c r="J58">
        <f>IF(I58&gt;$B$6,"CHECK PRICING","")</f>
        <v/>
      </c>
      <c r="K58">
        <f>IF(AND(OR(F58&gt;0.95,F58&lt;0.05),C58&gt;$B$7),"CERTAIN+ACTIVE","")</f>
        <v/>
      </c>
    </row>
    <row r="59">
      <c r="A59">
        <f>Markets!A50</f>
        <v/>
      </c>
      <c r="B59">
        <f>Markets!B50</f>
        <v/>
      </c>
      <c r="C59" s="3">
        <f>Markets!F50</f>
        <v/>
      </c>
      <c r="D59" s="3">
        <f>Markets!H50</f>
        <v/>
      </c>
      <c r="E59">
        <f>IF(AND(C59&gt;=$B$4,D59&lt;=$B$5),"THIN MARKET","")</f>
        <v/>
      </c>
      <c r="F59" s="2">
        <f>Markets!D50</f>
        <v/>
      </c>
      <c r="G59" s="2">
        <f>Markets!E50</f>
        <v/>
      </c>
      <c r="H59" s="2">
        <f>F59+G59</f>
        <v/>
      </c>
      <c r="I59" s="2">
        <f>ABS(H59-1)</f>
        <v/>
      </c>
      <c r="J59">
        <f>IF(I59&gt;$B$6,"CHECK PRICING","")</f>
        <v/>
      </c>
      <c r="K59">
        <f>IF(AND(OR(F59&gt;0.95,F59&lt;0.05),C59&gt;$B$7),"CERTAIN+ACTIVE","")</f>
        <v/>
      </c>
    </row>
    <row r="60">
      <c r="A60">
        <f>Markets!A51</f>
        <v/>
      </c>
      <c r="B60">
        <f>Markets!B51</f>
        <v/>
      </c>
      <c r="C60" s="3">
        <f>Markets!F51</f>
        <v/>
      </c>
      <c r="D60" s="3">
        <f>Markets!H51</f>
        <v/>
      </c>
      <c r="E60">
        <f>IF(AND(C60&gt;=$B$4,D60&lt;=$B$5),"THIN MARKET","")</f>
        <v/>
      </c>
      <c r="F60" s="2">
        <f>Markets!D51</f>
        <v/>
      </c>
      <c r="G60" s="2">
        <f>Markets!E51</f>
        <v/>
      </c>
      <c r="H60" s="2">
        <f>F60+G60</f>
        <v/>
      </c>
      <c r="I60" s="2">
        <f>ABS(H60-1)</f>
        <v/>
      </c>
      <c r="J60">
        <f>IF(I60&gt;$B$6,"CHECK PRICING","")</f>
        <v/>
      </c>
      <c r="K60">
        <f>IF(AND(OR(F60&gt;0.95,F60&lt;0.05),C60&gt;$B$7),"CERTAIN+ACTIVE","")</f>
        <v/>
      </c>
    </row>
    <row r="61">
      <c r="A61">
        <f>Markets!A52</f>
        <v/>
      </c>
      <c r="B61">
        <f>Markets!B52</f>
        <v/>
      </c>
      <c r="C61" s="3">
        <f>Markets!F52</f>
        <v/>
      </c>
      <c r="D61" s="3">
        <f>Markets!H52</f>
        <v/>
      </c>
      <c r="E61">
        <f>IF(AND(C61&gt;=$B$4,D61&lt;=$B$5),"THIN MARKET","")</f>
        <v/>
      </c>
      <c r="F61" s="2">
        <f>Markets!D52</f>
        <v/>
      </c>
      <c r="G61" s="2">
        <f>Markets!E52</f>
        <v/>
      </c>
      <c r="H61" s="2">
        <f>F61+G61</f>
        <v/>
      </c>
      <c r="I61" s="2">
        <f>ABS(H61-1)</f>
        <v/>
      </c>
      <c r="J61">
        <f>IF(I61&gt;$B$6,"CHECK PRICING","")</f>
        <v/>
      </c>
      <c r="K61">
        <f>IF(AND(OR(F61&gt;0.95,F61&lt;0.05),C61&gt;$B$7),"CERTAIN+ACTIVE","")</f>
        <v/>
      </c>
    </row>
    <row r="62">
      <c r="A62">
        <f>Markets!A53</f>
        <v/>
      </c>
      <c r="B62">
        <f>Markets!B53</f>
        <v/>
      </c>
      <c r="C62" s="3">
        <f>Markets!F53</f>
        <v/>
      </c>
      <c r="D62" s="3">
        <f>Markets!H53</f>
        <v/>
      </c>
      <c r="E62">
        <f>IF(AND(C62&gt;=$B$4,D62&lt;=$B$5),"THIN MARKET","")</f>
        <v/>
      </c>
      <c r="F62" s="2">
        <f>Markets!D53</f>
        <v/>
      </c>
      <c r="G62" s="2">
        <f>Markets!E53</f>
        <v/>
      </c>
      <c r="H62" s="2">
        <f>F62+G62</f>
        <v/>
      </c>
      <c r="I62" s="2">
        <f>ABS(H62-1)</f>
        <v/>
      </c>
      <c r="J62">
        <f>IF(I62&gt;$B$6,"CHECK PRICING","")</f>
        <v/>
      </c>
      <c r="K62">
        <f>IF(AND(OR(F62&gt;0.95,F62&lt;0.05),C62&gt;$B$7),"CERTAIN+ACTIVE","")</f>
        <v/>
      </c>
    </row>
    <row r="63">
      <c r="A63">
        <f>Markets!A54</f>
        <v/>
      </c>
      <c r="B63">
        <f>Markets!B54</f>
        <v/>
      </c>
      <c r="C63" s="3">
        <f>Markets!F54</f>
        <v/>
      </c>
      <c r="D63" s="3">
        <f>Markets!H54</f>
        <v/>
      </c>
      <c r="E63">
        <f>IF(AND(C63&gt;=$B$4,D63&lt;=$B$5),"THIN MARKET","")</f>
        <v/>
      </c>
      <c r="F63" s="2">
        <f>Markets!D54</f>
        <v/>
      </c>
      <c r="G63" s="2">
        <f>Markets!E54</f>
        <v/>
      </c>
      <c r="H63" s="2">
        <f>F63+G63</f>
        <v/>
      </c>
      <c r="I63" s="2">
        <f>ABS(H63-1)</f>
        <v/>
      </c>
      <c r="J63">
        <f>IF(I63&gt;$B$6,"CHECK PRICING","")</f>
        <v/>
      </c>
      <c r="K63">
        <f>IF(AND(OR(F63&gt;0.95,F63&lt;0.05),C63&gt;$B$7),"CERTAIN+ACTIVE","")</f>
        <v/>
      </c>
    </row>
    <row r="64">
      <c r="A64">
        <f>Markets!A55</f>
        <v/>
      </c>
      <c r="B64">
        <f>Markets!B55</f>
        <v/>
      </c>
      <c r="C64" s="3">
        <f>Markets!F55</f>
        <v/>
      </c>
      <c r="D64" s="3">
        <f>Markets!H55</f>
        <v/>
      </c>
      <c r="E64">
        <f>IF(AND(C64&gt;=$B$4,D64&lt;=$B$5),"THIN MARKET","")</f>
        <v/>
      </c>
      <c r="F64" s="2">
        <f>Markets!D55</f>
        <v/>
      </c>
      <c r="G64" s="2">
        <f>Markets!E55</f>
        <v/>
      </c>
      <c r="H64" s="2">
        <f>F64+G64</f>
        <v/>
      </c>
      <c r="I64" s="2">
        <f>ABS(H64-1)</f>
        <v/>
      </c>
      <c r="J64">
        <f>IF(I64&gt;$B$6,"CHECK PRICING","")</f>
        <v/>
      </c>
      <c r="K64">
        <f>IF(AND(OR(F64&gt;0.95,F64&lt;0.05),C64&gt;$B$7),"CERTAIN+ACTIVE","")</f>
        <v/>
      </c>
    </row>
    <row r="65">
      <c r="A65">
        <f>Markets!A56</f>
        <v/>
      </c>
      <c r="B65">
        <f>Markets!B56</f>
        <v/>
      </c>
      <c r="C65" s="3">
        <f>Markets!F56</f>
        <v/>
      </c>
      <c r="D65" s="3">
        <f>Markets!H56</f>
        <v/>
      </c>
      <c r="E65">
        <f>IF(AND(C65&gt;=$B$4,D65&lt;=$B$5),"THIN MARKET","")</f>
        <v/>
      </c>
      <c r="F65" s="2">
        <f>Markets!D56</f>
        <v/>
      </c>
      <c r="G65" s="2">
        <f>Markets!E56</f>
        <v/>
      </c>
      <c r="H65" s="2">
        <f>F65+G65</f>
        <v/>
      </c>
      <c r="I65" s="2">
        <f>ABS(H65-1)</f>
        <v/>
      </c>
      <c r="J65">
        <f>IF(I65&gt;$B$6,"CHECK PRICING","")</f>
        <v/>
      </c>
      <c r="K65">
        <f>IF(AND(OR(F65&gt;0.95,F65&lt;0.05),C65&gt;$B$7),"CERTAIN+ACTIVE","")</f>
        <v/>
      </c>
    </row>
    <row r="66">
      <c r="A66">
        <f>Markets!A57</f>
        <v/>
      </c>
      <c r="B66">
        <f>Markets!B57</f>
        <v/>
      </c>
      <c r="C66" s="3">
        <f>Markets!F57</f>
        <v/>
      </c>
      <c r="D66" s="3">
        <f>Markets!H57</f>
        <v/>
      </c>
      <c r="E66">
        <f>IF(AND(C66&gt;=$B$4,D66&lt;=$B$5),"THIN MARKET","")</f>
        <v/>
      </c>
      <c r="F66" s="2">
        <f>Markets!D57</f>
        <v/>
      </c>
      <c r="G66" s="2">
        <f>Markets!E57</f>
        <v/>
      </c>
      <c r="H66" s="2">
        <f>F66+G66</f>
        <v/>
      </c>
      <c r="I66" s="2">
        <f>ABS(H66-1)</f>
        <v/>
      </c>
      <c r="J66">
        <f>IF(I66&gt;$B$6,"CHECK PRICING","")</f>
        <v/>
      </c>
      <c r="K66">
        <f>IF(AND(OR(F66&gt;0.95,F66&lt;0.05),C66&gt;$B$7),"CERTAIN+ACTIVE","")</f>
        <v/>
      </c>
    </row>
    <row r="67">
      <c r="A67">
        <f>Markets!A58</f>
        <v/>
      </c>
      <c r="B67">
        <f>Markets!B58</f>
        <v/>
      </c>
      <c r="C67" s="3">
        <f>Markets!F58</f>
        <v/>
      </c>
      <c r="D67" s="3">
        <f>Markets!H58</f>
        <v/>
      </c>
      <c r="E67">
        <f>IF(AND(C67&gt;=$B$4,D67&lt;=$B$5),"THIN MARKET","")</f>
        <v/>
      </c>
      <c r="F67" s="2">
        <f>Markets!D58</f>
        <v/>
      </c>
      <c r="G67" s="2">
        <f>Markets!E58</f>
        <v/>
      </c>
      <c r="H67" s="2">
        <f>F67+G67</f>
        <v/>
      </c>
      <c r="I67" s="2">
        <f>ABS(H67-1)</f>
        <v/>
      </c>
      <c r="J67">
        <f>IF(I67&gt;$B$6,"CHECK PRICING","")</f>
        <v/>
      </c>
      <c r="K67">
        <f>IF(AND(OR(F67&gt;0.95,F67&lt;0.05),C67&gt;$B$7),"CERTAIN+ACTIVE","")</f>
        <v/>
      </c>
    </row>
    <row r="68">
      <c r="A68">
        <f>Markets!A59</f>
        <v/>
      </c>
      <c r="B68">
        <f>Markets!B59</f>
        <v/>
      </c>
      <c r="C68" s="3">
        <f>Markets!F59</f>
        <v/>
      </c>
      <c r="D68" s="3">
        <f>Markets!H59</f>
        <v/>
      </c>
      <c r="E68">
        <f>IF(AND(C68&gt;=$B$4,D68&lt;=$B$5),"THIN MARKET","")</f>
        <v/>
      </c>
      <c r="F68" s="2">
        <f>Markets!D59</f>
        <v/>
      </c>
      <c r="G68" s="2">
        <f>Markets!E59</f>
        <v/>
      </c>
      <c r="H68" s="2">
        <f>F68+G68</f>
        <v/>
      </c>
      <c r="I68" s="2">
        <f>ABS(H68-1)</f>
        <v/>
      </c>
      <c r="J68">
        <f>IF(I68&gt;$B$6,"CHECK PRICING","")</f>
        <v/>
      </c>
      <c r="K68">
        <f>IF(AND(OR(F68&gt;0.95,F68&lt;0.05),C68&gt;$B$7),"CERTAIN+ACTIVE","")</f>
        <v/>
      </c>
    </row>
    <row r="69">
      <c r="A69">
        <f>Markets!A60</f>
        <v/>
      </c>
      <c r="B69">
        <f>Markets!B60</f>
        <v/>
      </c>
      <c r="C69" s="3">
        <f>Markets!F60</f>
        <v/>
      </c>
      <c r="D69" s="3">
        <f>Markets!H60</f>
        <v/>
      </c>
      <c r="E69">
        <f>IF(AND(C69&gt;=$B$4,D69&lt;=$B$5),"THIN MARKET","")</f>
        <v/>
      </c>
      <c r="F69" s="2">
        <f>Markets!D60</f>
        <v/>
      </c>
      <c r="G69" s="2">
        <f>Markets!E60</f>
        <v/>
      </c>
      <c r="H69" s="2">
        <f>F69+G69</f>
        <v/>
      </c>
      <c r="I69" s="2">
        <f>ABS(H69-1)</f>
        <v/>
      </c>
      <c r="J69">
        <f>IF(I69&gt;$B$6,"CHECK PRICING","")</f>
        <v/>
      </c>
      <c r="K69">
        <f>IF(AND(OR(F69&gt;0.95,F69&lt;0.05),C69&gt;$B$7),"CERTAIN+ACTIVE","")</f>
        <v/>
      </c>
    </row>
    <row r="70">
      <c r="A70">
        <f>Markets!A61</f>
        <v/>
      </c>
      <c r="B70">
        <f>Markets!B61</f>
        <v/>
      </c>
      <c r="C70" s="3">
        <f>Markets!F61</f>
        <v/>
      </c>
      <c r="D70" s="3">
        <f>Markets!H61</f>
        <v/>
      </c>
      <c r="E70">
        <f>IF(AND(C70&gt;=$B$4,D70&lt;=$B$5),"THIN MARKET","")</f>
        <v/>
      </c>
      <c r="F70" s="2">
        <f>Markets!D61</f>
        <v/>
      </c>
      <c r="G70" s="2">
        <f>Markets!E61</f>
        <v/>
      </c>
      <c r="H70" s="2">
        <f>F70+G70</f>
        <v/>
      </c>
      <c r="I70" s="2">
        <f>ABS(H70-1)</f>
        <v/>
      </c>
      <c r="J70">
        <f>IF(I70&gt;$B$6,"CHECK PRICING","")</f>
        <v/>
      </c>
      <c r="K70">
        <f>IF(AND(OR(F70&gt;0.95,F70&lt;0.05),C70&gt;$B$7),"CERTAIN+ACTIVE","")</f>
        <v/>
      </c>
    </row>
    <row r="71">
      <c r="A71">
        <f>Markets!A62</f>
        <v/>
      </c>
      <c r="B71">
        <f>Markets!B62</f>
        <v/>
      </c>
      <c r="C71" s="3">
        <f>Markets!F62</f>
        <v/>
      </c>
      <c r="D71" s="3">
        <f>Markets!H62</f>
        <v/>
      </c>
      <c r="E71">
        <f>IF(AND(C71&gt;=$B$4,D71&lt;=$B$5),"THIN MARKET","")</f>
        <v/>
      </c>
      <c r="F71" s="2">
        <f>Markets!D62</f>
        <v/>
      </c>
      <c r="G71" s="2">
        <f>Markets!E62</f>
        <v/>
      </c>
      <c r="H71" s="2">
        <f>F71+G71</f>
        <v/>
      </c>
      <c r="I71" s="2">
        <f>ABS(H71-1)</f>
        <v/>
      </c>
      <c r="J71">
        <f>IF(I71&gt;$B$6,"CHECK PRICING","")</f>
        <v/>
      </c>
      <c r="K71">
        <f>IF(AND(OR(F71&gt;0.95,F71&lt;0.05),C71&gt;$B$7),"CERTAIN+ACTIVE","")</f>
        <v/>
      </c>
    </row>
    <row r="72">
      <c r="A72">
        <f>Markets!A63</f>
        <v/>
      </c>
      <c r="B72">
        <f>Markets!B63</f>
        <v/>
      </c>
      <c r="C72" s="3">
        <f>Markets!F63</f>
        <v/>
      </c>
      <c r="D72" s="3">
        <f>Markets!H63</f>
        <v/>
      </c>
      <c r="E72">
        <f>IF(AND(C72&gt;=$B$4,D72&lt;=$B$5),"THIN MARKET","")</f>
        <v/>
      </c>
      <c r="F72" s="2">
        <f>Markets!D63</f>
        <v/>
      </c>
      <c r="G72" s="2">
        <f>Markets!E63</f>
        <v/>
      </c>
      <c r="H72" s="2">
        <f>F72+G72</f>
        <v/>
      </c>
      <c r="I72" s="2">
        <f>ABS(H72-1)</f>
        <v/>
      </c>
      <c r="J72">
        <f>IF(I72&gt;$B$6,"CHECK PRICING","")</f>
        <v/>
      </c>
      <c r="K72">
        <f>IF(AND(OR(F72&gt;0.95,F72&lt;0.05),C72&gt;$B$7),"CERTAIN+ACTIVE","")</f>
        <v/>
      </c>
    </row>
    <row r="73">
      <c r="A73">
        <f>Markets!A64</f>
        <v/>
      </c>
      <c r="B73">
        <f>Markets!B64</f>
        <v/>
      </c>
      <c r="C73" s="3">
        <f>Markets!F64</f>
        <v/>
      </c>
      <c r="D73" s="3">
        <f>Markets!H64</f>
        <v/>
      </c>
      <c r="E73">
        <f>IF(AND(C73&gt;=$B$4,D73&lt;=$B$5),"THIN MARKET","")</f>
        <v/>
      </c>
      <c r="F73" s="2">
        <f>Markets!D64</f>
        <v/>
      </c>
      <c r="G73" s="2">
        <f>Markets!E64</f>
        <v/>
      </c>
      <c r="H73" s="2">
        <f>F73+G73</f>
        <v/>
      </c>
      <c r="I73" s="2">
        <f>ABS(H73-1)</f>
        <v/>
      </c>
      <c r="J73">
        <f>IF(I73&gt;$B$6,"CHECK PRICING","")</f>
        <v/>
      </c>
      <c r="K73">
        <f>IF(AND(OR(F73&gt;0.95,F73&lt;0.05),C73&gt;$B$7),"CERTAIN+ACTIVE","")</f>
        <v/>
      </c>
    </row>
    <row r="74">
      <c r="A74">
        <f>Markets!A65</f>
        <v/>
      </c>
      <c r="B74">
        <f>Markets!B65</f>
        <v/>
      </c>
      <c r="C74" s="3">
        <f>Markets!F65</f>
        <v/>
      </c>
      <c r="D74" s="3">
        <f>Markets!H65</f>
        <v/>
      </c>
      <c r="E74">
        <f>IF(AND(C74&gt;=$B$4,D74&lt;=$B$5),"THIN MARKET","")</f>
        <v/>
      </c>
      <c r="F74" s="2">
        <f>Markets!D65</f>
        <v/>
      </c>
      <c r="G74" s="2">
        <f>Markets!E65</f>
        <v/>
      </c>
      <c r="H74" s="2">
        <f>F74+G74</f>
        <v/>
      </c>
      <c r="I74" s="2">
        <f>ABS(H74-1)</f>
        <v/>
      </c>
      <c r="J74">
        <f>IF(I74&gt;$B$6,"CHECK PRICING","")</f>
        <v/>
      </c>
      <c r="K74">
        <f>IF(AND(OR(F74&gt;0.95,F74&lt;0.05),C74&gt;$B$7),"CERTAIN+ACTIVE","")</f>
        <v/>
      </c>
    </row>
    <row r="75">
      <c r="A75">
        <f>Markets!A66</f>
        <v/>
      </c>
      <c r="B75">
        <f>Markets!B66</f>
        <v/>
      </c>
      <c r="C75" s="3">
        <f>Markets!F66</f>
        <v/>
      </c>
      <c r="D75" s="3">
        <f>Markets!H66</f>
        <v/>
      </c>
      <c r="E75">
        <f>IF(AND(C75&gt;=$B$4,D75&lt;=$B$5),"THIN MARKET","")</f>
        <v/>
      </c>
      <c r="F75" s="2">
        <f>Markets!D66</f>
        <v/>
      </c>
      <c r="G75" s="2">
        <f>Markets!E66</f>
        <v/>
      </c>
      <c r="H75" s="2">
        <f>F75+G75</f>
        <v/>
      </c>
      <c r="I75" s="2">
        <f>ABS(H75-1)</f>
        <v/>
      </c>
      <c r="J75">
        <f>IF(I75&gt;$B$6,"CHECK PRICING","")</f>
        <v/>
      </c>
      <c r="K75">
        <f>IF(AND(OR(F75&gt;0.95,F75&lt;0.05),C75&gt;$B$7),"CERTAIN+ACTIVE","")</f>
        <v/>
      </c>
    </row>
    <row r="76">
      <c r="A76">
        <f>Markets!A67</f>
        <v/>
      </c>
      <c r="B76">
        <f>Markets!B67</f>
        <v/>
      </c>
      <c r="C76" s="3">
        <f>Markets!F67</f>
        <v/>
      </c>
      <c r="D76" s="3">
        <f>Markets!H67</f>
        <v/>
      </c>
      <c r="E76">
        <f>IF(AND(C76&gt;=$B$4,D76&lt;=$B$5),"THIN MARKET","")</f>
        <v/>
      </c>
      <c r="F76" s="2">
        <f>Markets!D67</f>
        <v/>
      </c>
      <c r="G76" s="2">
        <f>Markets!E67</f>
        <v/>
      </c>
      <c r="H76" s="2">
        <f>F76+G76</f>
        <v/>
      </c>
      <c r="I76" s="2">
        <f>ABS(H76-1)</f>
        <v/>
      </c>
      <c r="J76">
        <f>IF(I76&gt;$B$6,"CHECK PRICING","")</f>
        <v/>
      </c>
      <c r="K76">
        <f>IF(AND(OR(F76&gt;0.95,F76&lt;0.05),C76&gt;$B$7),"CERTAIN+ACTIVE","")</f>
        <v/>
      </c>
    </row>
    <row r="77">
      <c r="A77">
        <f>Markets!A68</f>
        <v/>
      </c>
      <c r="B77">
        <f>Markets!B68</f>
        <v/>
      </c>
      <c r="C77" s="3">
        <f>Markets!F68</f>
        <v/>
      </c>
      <c r="D77" s="3">
        <f>Markets!H68</f>
        <v/>
      </c>
      <c r="E77">
        <f>IF(AND(C77&gt;=$B$4,D77&lt;=$B$5),"THIN MARKET","")</f>
        <v/>
      </c>
      <c r="F77" s="2">
        <f>Markets!D68</f>
        <v/>
      </c>
      <c r="G77" s="2">
        <f>Markets!E68</f>
        <v/>
      </c>
      <c r="H77" s="2">
        <f>F77+G77</f>
        <v/>
      </c>
      <c r="I77" s="2">
        <f>ABS(H77-1)</f>
        <v/>
      </c>
      <c r="J77">
        <f>IF(I77&gt;$B$6,"CHECK PRICING","")</f>
        <v/>
      </c>
      <c r="K77">
        <f>IF(AND(OR(F77&gt;0.95,F77&lt;0.05),C77&gt;$B$7),"CERTAIN+ACTIVE","")</f>
        <v/>
      </c>
    </row>
    <row r="78">
      <c r="A78">
        <f>Markets!A69</f>
        <v/>
      </c>
      <c r="B78">
        <f>Markets!B69</f>
        <v/>
      </c>
      <c r="C78" s="3">
        <f>Markets!F69</f>
        <v/>
      </c>
      <c r="D78" s="3">
        <f>Markets!H69</f>
        <v/>
      </c>
      <c r="E78">
        <f>IF(AND(C78&gt;=$B$4,D78&lt;=$B$5),"THIN MARKET","")</f>
        <v/>
      </c>
      <c r="F78" s="2">
        <f>Markets!D69</f>
        <v/>
      </c>
      <c r="G78" s="2">
        <f>Markets!E69</f>
        <v/>
      </c>
      <c r="H78" s="2">
        <f>F78+G78</f>
        <v/>
      </c>
      <c r="I78" s="2">
        <f>ABS(H78-1)</f>
        <v/>
      </c>
      <c r="J78">
        <f>IF(I78&gt;$B$6,"CHECK PRICING","")</f>
        <v/>
      </c>
      <c r="K78">
        <f>IF(AND(OR(F78&gt;0.95,F78&lt;0.05),C78&gt;$B$7),"CERTAIN+ACTIVE","")</f>
        <v/>
      </c>
    </row>
    <row r="79">
      <c r="A79">
        <f>Markets!A70</f>
        <v/>
      </c>
      <c r="B79">
        <f>Markets!B70</f>
        <v/>
      </c>
      <c r="C79" s="3">
        <f>Markets!F70</f>
        <v/>
      </c>
      <c r="D79" s="3">
        <f>Markets!H70</f>
        <v/>
      </c>
      <c r="E79">
        <f>IF(AND(C79&gt;=$B$4,D79&lt;=$B$5),"THIN MARKET","")</f>
        <v/>
      </c>
      <c r="F79" s="2">
        <f>Markets!D70</f>
        <v/>
      </c>
      <c r="G79" s="2">
        <f>Markets!E70</f>
        <v/>
      </c>
      <c r="H79" s="2">
        <f>F79+G79</f>
        <v/>
      </c>
      <c r="I79" s="2">
        <f>ABS(H79-1)</f>
        <v/>
      </c>
      <c r="J79">
        <f>IF(I79&gt;$B$6,"CHECK PRICING","")</f>
        <v/>
      </c>
      <c r="K79">
        <f>IF(AND(OR(F79&gt;0.95,F79&lt;0.05),C79&gt;$B$7),"CERTAIN+ACTIVE","")</f>
        <v/>
      </c>
    </row>
    <row r="80">
      <c r="A80">
        <f>Markets!A71</f>
        <v/>
      </c>
      <c r="B80">
        <f>Markets!B71</f>
        <v/>
      </c>
      <c r="C80" s="3">
        <f>Markets!F71</f>
        <v/>
      </c>
      <c r="D80" s="3">
        <f>Markets!H71</f>
        <v/>
      </c>
      <c r="E80">
        <f>IF(AND(C80&gt;=$B$4,D80&lt;=$B$5),"THIN MARKET","")</f>
        <v/>
      </c>
      <c r="F80" s="2">
        <f>Markets!D71</f>
        <v/>
      </c>
      <c r="G80" s="2">
        <f>Markets!E71</f>
        <v/>
      </c>
      <c r="H80" s="2">
        <f>F80+G80</f>
        <v/>
      </c>
      <c r="I80" s="2">
        <f>ABS(H80-1)</f>
        <v/>
      </c>
      <c r="J80">
        <f>IF(I80&gt;$B$6,"CHECK PRICING","")</f>
        <v/>
      </c>
      <c r="K80">
        <f>IF(AND(OR(F80&gt;0.95,F80&lt;0.05),C80&gt;$B$7),"CERTAIN+ACTIVE","")</f>
        <v/>
      </c>
    </row>
    <row r="81">
      <c r="A81">
        <f>Markets!A72</f>
        <v/>
      </c>
      <c r="B81">
        <f>Markets!B72</f>
        <v/>
      </c>
      <c r="C81" s="3">
        <f>Markets!F72</f>
        <v/>
      </c>
      <c r="D81" s="3">
        <f>Markets!H72</f>
        <v/>
      </c>
      <c r="E81">
        <f>IF(AND(C81&gt;=$B$4,D81&lt;=$B$5),"THIN MARKET","")</f>
        <v/>
      </c>
      <c r="F81" s="2">
        <f>Markets!D72</f>
        <v/>
      </c>
      <c r="G81" s="2">
        <f>Markets!E72</f>
        <v/>
      </c>
      <c r="H81" s="2">
        <f>F81+G81</f>
        <v/>
      </c>
      <c r="I81" s="2">
        <f>ABS(H81-1)</f>
        <v/>
      </c>
      <c r="J81">
        <f>IF(I81&gt;$B$6,"CHECK PRICING","")</f>
        <v/>
      </c>
      <c r="K81">
        <f>IF(AND(OR(F81&gt;0.95,F81&lt;0.05),C81&gt;$B$7),"CERTAIN+ACTIVE","")</f>
        <v/>
      </c>
    </row>
    <row r="82">
      <c r="A82">
        <f>Markets!A73</f>
        <v/>
      </c>
      <c r="B82">
        <f>Markets!B73</f>
        <v/>
      </c>
      <c r="C82" s="3">
        <f>Markets!F73</f>
        <v/>
      </c>
      <c r="D82" s="3">
        <f>Markets!H73</f>
        <v/>
      </c>
      <c r="E82">
        <f>IF(AND(C82&gt;=$B$4,D82&lt;=$B$5),"THIN MARKET","")</f>
        <v/>
      </c>
      <c r="F82" s="2">
        <f>Markets!D73</f>
        <v/>
      </c>
      <c r="G82" s="2">
        <f>Markets!E73</f>
        <v/>
      </c>
      <c r="H82" s="2">
        <f>F82+G82</f>
        <v/>
      </c>
      <c r="I82" s="2">
        <f>ABS(H82-1)</f>
        <v/>
      </c>
      <c r="J82">
        <f>IF(I82&gt;$B$6,"CHECK PRICING","")</f>
        <v/>
      </c>
      <c r="K82">
        <f>IF(AND(OR(F82&gt;0.95,F82&lt;0.05),C82&gt;$B$7),"CERTAIN+ACTIVE","")</f>
        <v/>
      </c>
    </row>
    <row r="83">
      <c r="A83">
        <f>Markets!A74</f>
        <v/>
      </c>
      <c r="B83">
        <f>Markets!B74</f>
        <v/>
      </c>
      <c r="C83" s="3">
        <f>Markets!F74</f>
        <v/>
      </c>
      <c r="D83" s="3">
        <f>Markets!H74</f>
        <v/>
      </c>
      <c r="E83">
        <f>IF(AND(C83&gt;=$B$4,D83&lt;=$B$5),"THIN MARKET","")</f>
        <v/>
      </c>
      <c r="F83" s="2">
        <f>Markets!D74</f>
        <v/>
      </c>
      <c r="G83" s="2">
        <f>Markets!E74</f>
        <v/>
      </c>
      <c r="H83" s="2">
        <f>F83+G83</f>
        <v/>
      </c>
      <c r="I83" s="2">
        <f>ABS(H83-1)</f>
        <v/>
      </c>
      <c r="J83">
        <f>IF(I83&gt;$B$6,"CHECK PRICING","")</f>
        <v/>
      </c>
      <c r="K83">
        <f>IF(AND(OR(F83&gt;0.95,F83&lt;0.05),C83&gt;$B$7),"CERTAIN+ACTIVE","")</f>
        <v/>
      </c>
    </row>
    <row r="84">
      <c r="A84">
        <f>Markets!A75</f>
        <v/>
      </c>
      <c r="B84">
        <f>Markets!B75</f>
        <v/>
      </c>
      <c r="C84" s="3">
        <f>Markets!F75</f>
        <v/>
      </c>
      <c r="D84" s="3">
        <f>Markets!H75</f>
        <v/>
      </c>
      <c r="E84">
        <f>IF(AND(C84&gt;=$B$4,D84&lt;=$B$5),"THIN MARKET","")</f>
        <v/>
      </c>
      <c r="F84" s="2">
        <f>Markets!D75</f>
        <v/>
      </c>
      <c r="G84" s="2">
        <f>Markets!E75</f>
        <v/>
      </c>
      <c r="H84" s="2">
        <f>F84+G84</f>
        <v/>
      </c>
      <c r="I84" s="2">
        <f>ABS(H84-1)</f>
        <v/>
      </c>
      <c r="J84">
        <f>IF(I84&gt;$B$6,"CHECK PRICING","")</f>
        <v/>
      </c>
      <c r="K84">
        <f>IF(AND(OR(F84&gt;0.95,F84&lt;0.05),C84&gt;$B$7),"CERTAIN+ACTIVE","")</f>
        <v/>
      </c>
    </row>
    <row r="85">
      <c r="A85">
        <f>Markets!A76</f>
        <v/>
      </c>
      <c r="B85">
        <f>Markets!B76</f>
        <v/>
      </c>
      <c r="C85" s="3">
        <f>Markets!F76</f>
        <v/>
      </c>
      <c r="D85" s="3">
        <f>Markets!H76</f>
        <v/>
      </c>
      <c r="E85">
        <f>IF(AND(C85&gt;=$B$4,D85&lt;=$B$5),"THIN MARKET","")</f>
        <v/>
      </c>
      <c r="F85" s="2">
        <f>Markets!D76</f>
        <v/>
      </c>
      <c r="G85" s="2">
        <f>Markets!E76</f>
        <v/>
      </c>
      <c r="H85" s="2">
        <f>F85+G85</f>
        <v/>
      </c>
      <c r="I85" s="2">
        <f>ABS(H85-1)</f>
        <v/>
      </c>
      <c r="J85">
        <f>IF(I85&gt;$B$6,"CHECK PRICING","")</f>
        <v/>
      </c>
      <c r="K85">
        <f>IF(AND(OR(F85&gt;0.95,F85&lt;0.05),C85&gt;$B$7),"CERTAIN+ACTIVE","")</f>
        <v/>
      </c>
    </row>
    <row r="86">
      <c r="A86">
        <f>Markets!A77</f>
        <v/>
      </c>
      <c r="B86">
        <f>Markets!B77</f>
        <v/>
      </c>
      <c r="C86" s="3">
        <f>Markets!F77</f>
        <v/>
      </c>
      <c r="D86" s="3">
        <f>Markets!H77</f>
        <v/>
      </c>
      <c r="E86">
        <f>IF(AND(C86&gt;=$B$4,D86&lt;=$B$5),"THIN MARKET","")</f>
        <v/>
      </c>
      <c r="F86" s="2">
        <f>Markets!D77</f>
        <v/>
      </c>
      <c r="G86" s="2">
        <f>Markets!E77</f>
        <v/>
      </c>
      <c r="H86" s="2">
        <f>F86+G86</f>
        <v/>
      </c>
      <c r="I86" s="2">
        <f>ABS(H86-1)</f>
        <v/>
      </c>
      <c r="J86">
        <f>IF(I86&gt;$B$6,"CHECK PRICING","")</f>
        <v/>
      </c>
      <c r="K86">
        <f>IF(AND(OR(F86&gt;0.95,F86&lt;0.05),C86&gt;$B$7),"CERTAIN+ACTIVE","")</f>
        <v/>
      </c>
    </row>
    <row r="87">
      <c r="A87">
        <f>Markets!A78</f>
        <v/>
      </c>
      <c r="B87">
        <f>Markets!B78</f>
        <v/>
      </c>
      <c r="C87" s="3">
        <f>Markets!F78</f>
        <v/>
      </c>
      <c r="D87" s="3">
        <f>Markets!H78</f>
        <v/>
      </c>
      <c r="E87">
        <f>IF(AND(C87&gt;=$B$4,D87&lt;=$B$5),"THIN MARKET","")</f>
        <v/>
      </c>
      <c r="F87" s="2">
        <f>Markets!D78</f>
        <v/>
      </c>
      <c r="G87" s="2">
        <f>Markets!E78</f>
        <v/>
      </c>
      <c r="H87" s="2">
        <f>F87+G87</f>
        <v/>
      </c>
      <c r="I87" s="2">
        <f>ABS(H87-1)</f>
        <v/>
      </c>
      <c r="J87">
        <f>IF(I87&gt;$B$6,"CHECK PRICING","")</f>
        <v/>
      </c>
      <c r="K87">
        <f>IF(AND(OR(F87&gt;0.95,F87&lt;0.05),C87&gt;$B$7),"CERTAIN+ACTIVE","")</f>
        <v/>
      </c>
    </row>
    <row r="88">
      <c r="A88">
        <f>Markets!A79</f>
        <v/>
      </c>
      <c r="B88">
        <f>Markets!B79</f>
        <v/>
      </c>
      <c r="C88" s="3">
        <f>Markets!F79</f>
        <v/>
      </c>
      <c r="D88" s="3">
        <f>Markets!H79</f>
        <v/>
      </c>
      <c r="E88">
        <f>IF(AND(C88&gt;=$B$4,D88&lt;=$B$5),"THIN MARKET","")</f>
        <v/>
      </c>
      <c r="F88" s="2">
        <f>Markets!D79</f>
        <v/>
      </c>
      <c r="G88" s="2">
        <f>Markets!E79</f>
        <v/>
      </c>
      <c r="H88" s="2">
        <f>F88+G88</f>
        <v/>
      </c>
      <c r="I88" s="2">
        <f>ABS(H88-1)</f>
        <v/>
      </c>
      <c r="J88">
        <f>IF(I88&gt;$B$6,"CHECK PRICING","")</f>
        <v/>
      </c>
      <c r="K88">
        <f>IF(AND(OR(F88&gt;0.95,F88&lt;0.05),C88&gt;$B$7),"CERTAIN+ACTIVE","")</f>
        <v/>
      </c>
    </row>
    <row r="89">
      <c r="A89">
        <f>Markets!A80</f>
        <v/>
      </c>
      <c r="B89">
        <f>Markets!B80</f>
        <v/>
      </c>
      <c r="C89" s="3">
        <f>Markets!F80</f>
        <v/>
      </c>
      <c r="D89" s="3">
        <f>Markets!H80</f>
        <v/>
      </c>
      <c r="E89">
        <f>IF(AND(C89&gt;=$B$4,D89&lt;=$B$5),"THIN MARKET","")</f>
        <v/>
      </c>
      <c r="F89" s="2">
        <f>Markets!D80</f>
        <v/>
      </c>
      <c r="G89" s="2">
        <f>Markets!E80</f>
        <v/>
      </c>
      <c r="H89" s="2">
        <f>F89+G89</f>
        <v/>
      </c>
      <c r="I89" s="2">
        <f>ABS(H89-1)</f>
        <v/>
      </c>
      <c r="J89">
        <f>IF(I89&gt;$B$6,"CHECK PRICING","")</f>
        <v/>
      </c>
      <c r="K89">
        <f>IF(AND(OR(F89&gt;0.95,F89&lt;0.05),C89&gt;$B$7),"CERTAIN+ACTIVE","")</f>
        <v/>
      </c>
    </row>
    <row r="90">
      <c r="A90">
        <f>Markets!A81</f>
        <v/>
      </c>
      <c r="B90">
        <f>Markets!B81</f>
        <v/>
      </c>
      <c r="C90" s="3">
        <f>Markets!F81</f>
        <v/>
      </c>
      <c r="D90" s="3">
        <f>Markets!H81</f>
        <v/>
      </c>
      <c r="E90">
        <f>IF(AND(C90&gt;=$B$4,D90&lt;=$B$5),"THIN MARKET","")</f>
        <v/>
      </c>
      <c r="F90" s="2">
        <f>Markets!D81</f>
        <v/>
      </c>
      <c r="G90" s="2">
        <f>Markets!E81</f>
        <v/>
      </c>
      <c r="H90" s="2">
        <f>F90+G90</f>
        <v/>
      </c>
      <c r="I90" s="2">
        <f>ABS(H90-1)</f>
        <v/>
      </c>
      <c r="J90">
        <f>IF(I90&gt;$B$6,"CHECK PRICING","")</f>
        <v/>
      </c>
      <c r="K90">
        <f>IF(AND(OR(F90&gt;0.95,F90&lt;0.05),C90&gt;$B$7),"CERTAIN+ACTIVE","")</f>
        <v/>
      </c>
    </row>
    <row r="91">
      <c r="A91">
        <f>Markets!A82</f>
        <v/>
      </c>
      <c r="B91">
        <f>Markets!B82</f>
        <v/>
      </c>
      <c r="C91" s="3">
        <f>Markets!F82</f>
        <v/>
      </c>
      <c r="D91" s="3">
        <f>Markets!H82</f>
        <v/>
      </c>
      <c r="E91">
        <f>IF(AND(C91&gt;=$B$4,D91&lt;=$B$5),"THIN MARKET","")</f>
        <v/>
      </c>
      <c r="F91" s="2">
        <f>Markets!D82</f>
        <v/>
      </c>
      <c r="G91" s="2">
        <f>Markets!E82</f>
        <v/>
      </c>
      <c r="H91" s="2">
        <f>F91+G91</f>
        <v/>
      </c>
      <c r="I91" s="2">
        <f>ABS(H91-1)</f>
        <v/>
      </c>
      <c r="J91">
        <f>IF(I91&gt;$B$6,"CHECK PRICING","")</f>
        <v/>
      </c>
      <c r="K91">
        <f>IF(AND(OR(F91&gt;0.95,F91&lt;0.05),C91&gt;$B$7),"CERTAIN+ACTIVE","")</f>
        <v/>
      </c>
    </row>
    <row r="92">
      <c r="A92">
        <f>Markets!A83</f>
        <v/>
      </c>
      <c r="B92">
        <f>Markets!B83</f>
        <v/>
      </c>
      <c r="C92" s="3">
        <f>Markets!F83</f>
        <v/>
      </c>
      <c r="D92" s="3">
        <f>Markets!H83</f>
        <v/>
      </c>
      <c r="E92">
        <f>IF(AND(C92&gt;=$B$4,D92&lt;=$B$5),"THIN MARKET","")</f>
        <v/>
      </c>
      <c r="F92" s="2">
        <f>Markets!D83</f>
        <v/>
      </c>
      <c r="G92" s="2">
        <f>Markets!E83</f>
        <v/>
      </c>
      <c r="H92" s="2">
        <f>F92+G92</f>
        <v/>
      </c>
      <c r="I92" s="2">
        <f>ABS(H92-1)</f>
        <v/>
      </c>
      <c r="J92">
        <f>IF(I92&gt;$B$6,"CHECK PRICING","")</f>
        <v/>
      </c>
      <c r="K92">
        <f>IF(AND(OR(F92&gt;0.95,F92&lt;0.05),C92&gt;$B$7),"CERTAIN+ACTIVE","")</f>
        <v/>
      </c>
    </row>
    <row r="93">
      <c r="A93">
        <f>Markets!A84</f>
        <v/>
      </c>
      <c r="B93">
        <f>Markets!B84</f>
        <v/>
      </c>
      <c r="C93" s="3">
        <f>Markets!F84</f>
        <v/>
      </c>
      <c r="D93" s="3">
        <f>Markets!H84</f>
        <v/>
      </c>
      <c r="E93">
        <f>IF(AND(C93&gt;=$B$4,D93&lt;=$B$5),"THIN MARKET","")</f>
        <v/>
      </c>
      <c r="F93" s="2">
        <f>Markets!D84</f>
        <v/>
      </c>
      <c r="G93" s="2">
        <f>Markets!E84</f>
        <v/>
      </c>
      <c r="H93" s="2">
        <f>F93+G93</f>
        <v/>
      </c>
      <c r="I93" s="2">
        <f>ABS(H93-1)</f>
        <v/>
      </c>
      <c r="J93">
        <f>IF(I93&gt;$B$6,"CHECK PRICING","")</f>
        <v/>
      </c>
      <c r="K93">
        <f>IF(AND(OR(F93&gt;0.95,F93&lt;0.05),C93&gt;$B$7),"CERTAIN+ACTIVE","")</f>
        <v/>
      </c>
    </row>
    <row r="94">
      <c r="A94">
        <f>Markets!A85</f>
        <v/>
      </c>
      <c r="B94">
        <f>Markets!B85</f>
        <v/>
      </c>
      <c r="C94" s="3">
        <f>Markets!F85</f>
        <v/>
      </c>
      <c r="D94" s="3">
        <f>Markets!H85</f>
        <v/>
      </c>
      <c r="E94">
        <f>IF(AND(C94&gt;=$B$4,D94&lt;=$B$5),"THIN MARKET","")</f>
        <v/>
      </c>
      <c r="F94" s="2">
        <f>Markets!D85</f>
        <v/>
      </c>
      <c r="G94" s="2">
        <f>Markets!E85</f>
        <v/>
      </c>
      <c r="H94" s="2">
        <f>F94+G94</f>
        <v/>
      </c>
      <c r="I94" s="2">
        <f>ABS(H94-1)</f>
        <v/>
      </c>
      <c r="J94">
        <f>IF(I94&gt;$B$6,"CHECK PRICING","")</f>
        <v/>
      </c>
      <c r="K94">
        <f>IF(AND(OR(F94&gt;0.95,F94&lt;0.05),C94&gt;$B$7),"CERTAIN+ACTIVE","")</f>
        <v/>
      </c>
    </row>
    <row r="95">
      <c r="A95">
        <f>Markets!A86</f>
        <v/>
      </c>
      <c r="B95">
        <f>Markets!B86</f>
        <v/>
      </c>
      <c r="C95" s="3">
        <f>Markets!F86</f>
        <v/>
      </c>
      <c r="D95" s="3">
        <f>Markets!H86</f>
        <v/>
      </c>
      <c r="E95">
        <f>IF(AND(C95&gt;=$B$4,D95&lt;=$B$5),"THIN MARKET","")</f>
        <v/>
      </c>
      <c r="F95" s="2">
        <f>Markets!D86</f>
        <v/>
      </c>
      <c r="G95" s="2">
        <f>Markets!E86</f>
        <v/>
      </c>
      <c r="H95" s="2">
        <f>F95+G95</f>
        <v/>
      </c>
      <c r="I95" s="2">
        <f>ABS(H95-1)</f>
        <v/>
      </c>
      <c r="J95">
        <f>IF(I95&gt;$B$6,"CHECK PRICING","")</f>
        <v/>
      </c>
      <c r="K95">
        <f>IF(AND(OR(F95&gt;0.95,F95&lt;0.05),C95&gt;$B$7),"CERTAIN+ACTIVE","")</f>
        <v/>
      </c>
    </row>
    <row r="96">
      <c r="A96">
        <f>Markets!A87</f>
        <v/>
      </c>
      <c r="B96">
        <f>Markets!B87</f>
        <v/>
      </c>
      <c r="C96" s="3">
        <f>Markets!F87</f>
        <v/>
      </c>
      <c r="D96" s="3">
        <f>Markets!H87</f>
        <v/>
      </c>
      <c r="E96">
        <f>IF(AND(C96&gt;=$B$4,D96&lt;=$B$5),"THIN MARKET","")</f>
        <v/>
      </c>
      <c r="F96" s="2">
        <f>Markets!D87</f>
        <v/>
      </c>
      <c r="G96" s="2">
        <f>Markets!E87</f>
        <v/>
      </c>
      <c r="H96" s="2">
        <f>F96+G96</f>
        <v/>
      </c>
      <c r="I96" s="2">
        <f>ABS(H96-1)</f>
        <v/>
      </c>
      <c r="J96">
        <f>IF(I96&gt;$B$6,"CHECK PRICING","")</f>
        <v/>
      </c>
      <c r="K96">
        <f>IF(AND(OR(F96&gt;0.95,F96&lt;0.05),C96&gt;$B$7),"CERTAIN+ACTIVE","")</f>
        <v/>
      </c>
    </row>
    <row r="97">
      <c r="A97">
        <f>Markets!A88</f>
        <v/>
      </c>
      <c r="B97">
        <f>Markets!B88</f>
        <v/>
      </c>
      <c r="C97" s="3">
        <f>Markets!F88</f>
        <v/>
      </c>
      <c r="D97" s="3">
        <f>Markets!H88</f>
        <v/>
      </c>
      <c r="E97">
        <f>IF(AND(C97&gt;=$B$4,D97&lt;=$B$5),"THIN MARKET","")</f>
        <v/>
      </c>
      <c r="F97" s="2">
        <f>Markets!D88</f>
        <v/>
      </c>
      <c r="G97" s="2">
        <f>Markets!E88</f>
        <v/>
      </c>
      <c r="H97" s="2">
        <f>F97+G97</f>
        <v/>
      </c>
      <c r="I97" s="2">
        <f>ABS(H97-1)</f>
        <v/>
      </c>
      <c r="J97">
        <f>IF(I97&gt;$B$6,"CHECK PRICING","")</f>
        <v/>
      </c>
      <c r="K97">
        <f>IF(AND(OR(F97&gt;0.95,F97&lt;0.05),C97&gt;$B$7),"CERTAIN+ACTIVE","")</f>
        <v/>
      </c>
    </row>
    <row r="98">
      <c r="A98">
        <f>Markets!A89</f>
        <v/>
      </c>
      <c r="B98">
        <f>Markets!B89</f>
        <v/>
      </c>
      <c r="C98" s="3">
        <f>Markets!F89</f>
        <v/>
      </c>
      <c r="D98" s="3">
        <f>Markets!H89</f>
        <v/>
      </c>
      <c r="E98">
        <f>IF(AND(C98&gt;=$B$4,D98&lt;=$B$5),"THIN MARKET","")</f>
        <v/>
      </c>
      <c r="F98" s="2">
        <f>Markets!D89</f>
        <v/>
      </c>
      <c r="G98" s="2">
        <f>Markets!E89</f>
        <v/>
      </c>
      <c r="H98" s="2">
        <f>F98+G98</f>
        <v/>
      </c>
      <c r="I98" s="2">
        <f>ABS(H98-1)</f>
        <v/>
      </c>
      <c r="J98">
        <f>IF(I98&gt;$B$6,"CHECK PRICING","")</f>
        <v/>
      </c>
      <c r="K98">
        <f>IF(AND(OR(F98&gt;0.95,F98&lt;0.05),C98&gt;$B$7),"CERTAIN+ACTIVE","")</f>
        <v/>
      </c>
    </row>
    <row r="99">
      <c r="A99">
        <f>Markets!A90</f>
        <v/>
      </c>
      <c r="B99">
        <f>Markets!B90</f>
        <v/>
      </c>
      <c r="C99" s="3">
        <f>Markets!F90</f>
        <v/>
      </c>
      <c r="D99" s="3">
        <f>Markets!H90</f>
        <v/>
      </c>
      <c r="E99">
        <f>IF(AND(C99&gt;=$B$4,D99&lt;=$B$5),"THIN MARKET","")</f>
        <v/>
      </c>
      <c r="F99" s="2">
        <f>Markets!D90</f>
        <v/>
      </c>
      <c r="G99" s="2">
        <f>Markets!E90</f>
        <v/>
      </c>
      <c r="H99" s="2">
        <f>F99+G99</f>
        <v/>
      </c>
      <c r="I99" s="2">
        <f>ABS(H99-1)</f>
        <v/>
      </c>
      <c r="J99">
        <f>IF(I99&gt;$B$6,"CHECK PRICING","")</f>
        <v/>
      </c>
      <c r="K99">
        <f>IF(AND(OR(F99&gt;0.95,F99&lt;0.05),C99&gt;$B$7),"CERTAIN+ACTIVE","")</f>
        <v/>
      </c>
    </row>
    <row r="100">
      <c r="A100">
        <f>Markets!A91</f>
        <v/>
      </c>
      <c r="B100">
        <f>Markets!B91</f>
        <v/>
      </c>
      <c r="C100" s="3">
        <f>Markets!F91</f>
        <v/>
      </c>
      <c r="D100" s="3">
        <f>Markets!H91</f>
        <v/>
      </c>
      <c r="E100">
        <f>IF(AND(C100&gt;=$B$4,D100&lt;=$B$5),"THIN MARKET","")</f>
        <v/>
      </c>
      <c r="F100" s="2">
        <f>Markets!D91</f>
        <v/>
      </c>
      <c r="G100" s="2">
        <f>Markets!E91</f>
        <v/>
      </c>
      <c r="H100" s="2">
        <f>F100+G100</f>
        <v/>
      </c>
      <c r="I100" s="2">
        <f>ABS(H100-1)</f>
        <v/>
      </c>
      <c r="J100">
        <f>IF(I100&gt;$B$6,"CHECK PRICING","")</f>
        <v/>
      </c>
      <c r="K100">
        <f>IF(AND(OR(F100&gt;0.95,F100&lt;0.05),C100&gt;$B$7),"CERTAIN+ACTIVE","")</f>
        <v/>
      </c>
    </row>
    <row r="101">
      <c r="A101">
        <f>Markets!A92</f>
        <v/>
      </c>
      <c r="B101">
        <f>Markets!B92</f>
        <v/>
      </c>
      <c r="C101" s="3">
        <f>Markets!F92</f>
        <v/>
      </c>
      <c r="D101" s="3">
        <f>Markets!H92</f>
        <v/>
      </c>
      <c r="E101">
        <f>IF(AND(C101&gt;=$B$4,D101&lt;=$B$5),"THIN MARKET","")</f>
        <v/>
      </c>
      <c r="F101" s="2">
        <f>Markets!D92</f>
        <v/>
      </c>
      <c r="G101" s="2">
        <f>Markets!E92</f>
        <v/>
      </c>
      <c r="H101" s="2">
        <f>F101+G101</f>
        <v/>
      </c>
      <c r="I101" s="2">
        <f>ABS(H101-1)</f>
        <v/>
      </c>
      <c r="J101">
        <f>IF(I101&gt;$B$6,"CHECK PRICING","")</f>
        <v/>
      </c>
      <c r="K101">
        <f>IF(AND(OR(F101&gt;0.95,F101&lt;0.05),C101&gt;$B$7),"CERTAIN+ACTIVE","")</f>
        <v/>
      </c>
    </row>
    <row r="102">
      <c r="A102">
        <f>Markets!A93</f>
        <v/>
      </c>
      <c r="B102">
        <f>Markets!B93</f>
        <v/>
      </c>
      <c r="C102" s="3">
        <f>Markets!F93</f>
        <v/>
      </c>
      <c r="D102" s="3">
        <f>Markets!H93</f>
        <v/>
      </c>
      <c r="E102">
        <f>IF(AND(C102&gt;=$B$4,D102&lt;=$B$5),"THIN MARKET","")</f>
        <v/>
      </c>
      <c r="F102" s="2">
        <f>Markets!D93</f>
        <v/>
      </c>
      <c r="G102" s="2">
        <f>Markets!E93</f>
        <v/>
      </c>
      <c r="H102" s="2">
        <f>F102+G102</f>
        <v/>
      </c>
      <c r="I102" s="2">
        <f>ABS(H102-1)</f>
        <v/>
      </c>
      <c r="J102">
        <f>IF(I102&gt;$B$6,"CHECK PRICING","")</f>
        <v/>
      </c>
      <c r="K102">
        <f>IF(AND(OR(F102&gt;0.95,F102&lt;0.05),C102&gt;$B$7),"CERTAIN+ACTIVE","")</f>
        <v/>
      </c>
    </row>
    <row r="103">
      <c r="A103">
        <f>Markets!A94</f>
        <v/>
      </c>
      <c r="B103">
        <f>Markets!B94</f>
        <v/>
      </c>
      <c r="C103" s="3">
        <f>Markets!F94</f>
        <v/>
      </c>
      <c r="D103" s="3">
        <f>Markets!H94</f>
        <v/>
      </c>
      <c r="E103">
        <f>IF(AND(C103&gt;=$B$4,D103&lt;=$B$5),"THIN MARKET","")</f>
        <v/>
      </c>
      <c r="F103" s="2">
        <f>Markets!D94</f>
        <v/>
      </c>
      <c r="G103" s="2">
        <f>Markets!E94</f>
        <v/>
      </c>
      <c r="H103" s="2">
        <f>F103+G103</f>
        <v/>
      </c>
      <c r="I103" s="2">
        <f>ABS(H103-1)</f>
        <v/>
      </c>
      <c r="J103">
        <f>IF(I103&gt;$B$6,"CHECK PRICING","")</f>
        <v/>
      </c>
      <c r="K103">
        <f>IF(AND(OR(F103&gt;0.95,F103&lt;0.05),C103&gt;$B$7),"CERTAIN+ACTIVE","")</f>
        <v/>
      </c>
    </row>
    <row r="104">
      <c r="A104">
        <f>Markets!A95</f>
        <v/>
      </c>
      <c r="B104">
        <f>Markets!B95</f>
        <v/>
      </c>
      <c r="C104" s="3">
        <f>Markets!F95</f>
        <v/>
      </c>
      <c r="D104" s="3">
        <f>Markets!H95</f>
        <v/>
      </c>
      <c r="E104">
        <f>IF(AND(C104&gt;=$B$4,D104&lt;=$B$5),"THIN MARKET","")</f>
        <v/>
      </c>
      <c r="F104" s="2">
        <f>Markets!D95</f>
        <v/>
      </c>
      <c r="G104" s="2">
        <f>Markets!E95</f>
        <v/>
      </c>
      <c r="H104" s="2">
        <f>F104+G104</f>
        <v/>
      </c>
      <c r="I104" s="2">
        <f>ABS(H104-1)</f>
        <v/>
      </c>
      <c r="J104">
        <f>IF(I104&gt;$B$6,"CHECK PRICING","")</f>
        <v/>
      </c>
      <c r="K104">
        <f>IF(AND(OR(F104&gt;0.95,F104&lt;0.05),C104&gt;$B$7),"CERTAIN+ACTIVE","")</f>
        <v/>
      </c>
    </row>
    <row r="105">
      <c r="A105">
        <f>Markets!A96</f>
        <v/>
      </c>
      <c r="B105">
        <f>Markets!B96</f>
        <v/>
      </c>
      <c r="C105" s="3">
        <f>Markets!F96</f>
        <v/>
      </c>
      <c r="D105" s="3">
        <f>Markets!H96</f>
        <v/>
      </c>
      <c r="E105">
        <f>IF(AND(C105&gt;=$B$4,D105&lt;=$B$5),"THIN MARKET","")</f>
        <v/>
      </c>
      <c r="F105" s="2">
        <f>Markets!D96</f>
        <v/>
      </c>
      <c r="G105" s="2">
        <f>Markets!E96</f>
        <v/>
      </c>
      <c r="H105" s="2">
        <f>F105+G105</f>
        <v/>
      </c>
      <c r="I105" s="2">
        <f>ABS(H105-1)</f>
        <v/>
      </c>
      <c r="J105">
        <f>IF(I105&gt;$B$6,"CHECK PRICING","")</f>
        <v/>
      </c>
      <c r="K105">
        <f>IF(AND(OR(F105&gt;0.95,F105&lt;0.05),C105&gt;$B$7),"CERTAIN+ACTIVE","")</f>
        <v/>
      </c>
    </row>
    <row r="106">
      <c r="A106">
        <f>Markets!A97</f>
        <v/>
      </c>
      <c r="B106">
        <f>Markets!B97</f>
        <v/>
      </c>
      <c r="C106" s="3">
        <f>Markets!F97</f>
        <v/>
      </c>
      <c r="D106" s="3">
        <f>Markets!H97</f>
        <v/>
      </c>
      <c r="E106">
        <f>IF(AND(C106&gt;=$B$4,D106&lt;=$B$5),"THIN MARKET","")</f>
        <v/>
      </c>
      <c r="F106" s="2">
        <f>Markets!D97</f>
        <v/>
      </c>
      <c r="G106" s="2">
        <f>Markets!E97</f>
        <v/>
      </c>
      <c r="H106" s="2">
        <f>F106+G106</f>
        <v/>
      </c>
      <c r="I106" s="2">
        <f>ABS(H106-1)</f>
        <v/>
      </c>
      <c r="J106">
        <f>IF(I106&gt;$B$6,"CHECK PRICING","")</f>
        <v/>
      </c>
      <c r="K106">
        <f>IF(AND(OR(F106&gt;0.95,F106&lt;0.05),C106&gt;$B$7),"CERTAIN+ACTIVE","")</f>
        <v/>
      </c>
    </row>
    <row r="107">
      <c r="A107">
        <f>Markets!A98</f>
        <v/>
      </c>
      <c r="B107">
        <f>Markets!B98</f>
        <v/>
      </c>
      <c r="C107" s="3">
        <f>Markets!F98</f>
        <v/>
      </c>
      <c r="D107" s="3">
        <f>Markets!H98</f>
        <v/>
      </c>
      <c r="E107">
        <f>IF(AND(C107&gt;=$B$4,D107&lt;=$B$5),"THIN MARKET","")</f>
        <v/>
      </c>
      <c r="F107" s="2">
        <f>Markets!D98</f>
        <v/>
      </c>
      <c r="G107" s="2">
        <f>Markets!E98</f>
        <v/>
      </c>
      <c r="H107" s="2">
        <f>F107+G107</f>
        <v/>
      </c>
      <c r="I107" s="2">
        <f>ABS(H107-1)</f>
        <v/>
      </c>
      <c r="J107">
        <f>IF(I107&gt;$B$6,"CHECK PRICING","")</f>
        <v/>
      </c>
      <c r="K107">
        <f>IF(AND(OR(F107&gt;0.95,F107&lt;0.05),C107&gt;$B$7),"CERTAIN+ACTIVE","")</f>
        <v/>
      </c>
    </row>
    <row r="108">
      <c r="A108">
        <f>Markets!A99</f>
        <v/>
      </c>
      <c r="B108">
        <f>Markets!B99</f>
        <v/>
      </c>
      <c r="C108" s="3">
        <f>Markets!F99</f>
        <v/>
      </c>
      <c r="D108" s="3">
        <f>Markets!H99</f>
        <v/>
      </c>
      <c r="E108">
        <f>IF(AND(C108&gt;=$B$4,D108&lt;=$B$5),"THIN MARKET","")</f>
        <v/>
      </c>
      <c r="F108" s="2">
        <f>Markets!D99</f>
        <v/>
      </c>
      <c r="G108" s="2">
        <f>Markets!E99</f>
        <v/>
      </c>
      <c r="H108" s="2">
        <f>F108+G108</f>
        <v/>
      </c>
      <c r="I108" s="2">
        <f>ABS(H108-1)</f>
        <v/>
      </c>
      <c r="J108">
        <f>IF(I108&gt;$B$6,"CHECK PRICING","")</f>
        <v/>
      </c>
      <c r="K108">
        <f>IF(AND(OR(F108&gt;0.95,F108&lt;0.05),C108&gt;$B$7),"CERTAIN+ACTIVE","")</f>
        <v/>
      </c>
    </row>
    <row r="109">
      <c r="A109">
        <f>Markets!A100</f>
        <v/>
      </c>
      <c r="B109">
        <f>Markets!B100</f>
        <v/>
      </c>
      <c r="C109" s="3">
        <f>Markets!F100</f>
        <v/>
      </c>
      <c r="D109" s="3">
        <f>Markets!H100</f>
        <v/>
      </c>
      <c r="E109">
        <f>IF(AND(C109&gt;=$B$4,D109&lt;=$B$5),"THIN MARKET","")</f>
        <v/>
      </c>
      <c r="F109" s="2">
        <f>Markets!D100</f>
        <v/>
      </c>
      <c r="G109" s="2">
        <f>Markets!E100</f>
        <v/>
      </c>
      <c r="H109" s="2">
        <f>F109+G109</f>
        <v/>
      </c>
      <c r="I109" s="2">
        <f>ABS(H109-1)</f>
        <v/>
      </c>
      <c r="J109">
        <f>IF(I109&gt;$B$6,"CHECK PRICING","")</f>
        <v/>
      </c>
      <c r="K109">
        <f>IF(AND(OR(F109&gt;0.95,F109&lt;0.05),C109&gt;$B$7),"CERTAIN+ACTIVE","")</f>
        <v/>
      </c>
    </row>
    <row r="110">
      <c r="A110">
        <f>Markets!A101</f>
        <v/>
      </c>
      <c r="B110">
        <f>Markets!B101</f>
        <v/>
      </c>
      <c r="C110" s="3">
        <f>Markets!F101</f>
        <v/>
      </c>
      <c r="D110" s="3">
        <f>Markets!H101</f>
        <v/>
      </c>
      <c r="E110">
        <f>IF(AND(C110&gt;=$B$4,D110&lt;=$B$5),"THIN MARKET","")</f>
        <v/>
      </c>
      <c r="F110" s="2">
        <f>Markets!D101</f>
        <v/>
      </c>
      <c r="G110" s="2">
        <f>Markets!E101</f>
        <v/>
      </c>
      <c r="H110" s="2">
        <f>F110+G110</f>
        <v/>
      </c>
      <c r="I110" s="2">
        <f>ABS(H110-1)</f>
        <v/>
      </c>
      <c r="J110">
        <f>IF(I110&gt;$B$6,"CHECK PRICING","")</f>
        <v/>
      </c>
      <c r="K110">
        <f>IF(AND(OR(F110&gt;0.95,F110&lt;0.05),C110&gt;$B$7),"CERTAIN+ACTIVE","")</f>
        <v/>
      </c>
    </row>
    <row r="113">
      <c r="A113" s="12" t="inlineStr">
        <is>
          <t>3 — ACTIVITY TRENDS (live SUMIFS / COUNTIFS / AVERAGEIFS)</t>
        </is>
      </c>
    </row>
    <row r="114">
      <c r="A114" s="1" t="inlineStr">
        <is>
          <t>trade_date</t>
        </is>
      </c>
      <c r="B114" s="1" t="inlineStr">
        <is>
          <t>trade_volume_usd</t>
        </is>
      </c>
      <c r="C114" s="1" t="inlineStr">
        <is>
          <t>trade_count</t>
        </is>
      </c>
      <c r="D114" s="1" t="inlineStr">
        <is>
          <t>avg_trade_usd</t>
        </is>
      </c>
    </row>
    <row r="115">
      <c r="A115" s="4" t="n">
        <v>46204</v>
      </c>
      <c r="B115" s="3">
        <f>SUMIFS(Trades!$H$2:$H$3001,Trades!$B$2:$B$3001,A115)</f>
        <v/>
      </c>
      <c r="C115" s="3">
        <f>COUNTIFS(Trades!$B$2:$B$3001,A115)</f>
        <v/>
      </c>
      <c r="D115" s="6">
        <f>AVERAGEIFS(Trades!$H$2:$H$3001,Trades!$B$2:$B$3001,A115)</f>
        <v/>
      </c>
    </row>
    <row r="116">
      <c r="A116" s="4" t="n">
        <v>46205</v>
      </c>
      <c r="B116" s="3">
        <f>SUMIFS(Trades!$H$2:$H$3001,Trades!$B$2:$B$3001,A116)</f>
        <v/>
      </c>
      <c r="C116" s="3">
        <f>COUNTIFS(Trades!$B$2:$B$3001,A116)</f>
        <v/>
      </c>
      <c r="D116" s="6">
        <f>AVERAGEIFS(Trades!$H$2:$H$3001,Trades!$B$2:$B$3001,A116)</f>
        <v/>
      </c>
    </row>
    <row r="117">
      <c r="A117" s="4" t="n">
        <v>46206</v>
      </c>
      <c r="B117" s="3">
        <f>SUMIFS(Trades!$H$2:$H$3001,Trades!$B$2:$B$3001,A117)</f>
        <v/>
      </c>
      <c r="C117" s="3">
        <f>COUNTIFS(Trades!$B$2:$B$3001,A117)</f>
        <v/>
      </c>
      <c r="D117" s="6">
        <f>AVERAGEIFS(Trades!$H$2:$H$3001,Trades!$B$2:$B$3001,A117)</f>
        <v/>
      </c>
    </row>
    <row r="118">
      <c r="A118" s="8" t="inlineStr">
        <is>
          <t>by market category</t>
        </is>
      </c>
    </row>
    <row r="119">
      <c r="A119" s="1" t="inlineStr">
        <is>
          <t>category</t>
        </is>
      </c>
      <c r="B119" s="1" t="inlineStr">
        <is>
          <t>trade_volume_usd</t>
        </is>
      </c>
      <c r="C119" s="1" t="inlineStr">
        <is>
          <t>trade_count</t>
        </is>
      </c>
      <c r="D119" s="1" t="inlineStr">
        <is>
          <t>avg_trade_usd</t>
        </is>
      </c>
    </row>
    <row r="120">
      <c r="A120" t="inlineStr">
        <is>
          <t>Soccer</t>
        </is>
      </c>
      <c r="B120" s="3">
        <f>SUMIFS(Trades!$H$2:$H$3001,Trades!$I$2:$I$3001,A120)</f>
        <v/>
      </c>
      <c r="C120" s="3">
        <f>COUNTIFS(Trades!$I$2:$I$3001,A120)</f>
        <v/>
      </c>
      <c r="D120" s="6">
        <f>AVERAGEIFS(Trades!$H$2:$H$3001,Trades!$I$2:$I$3001,A120)</f>
        <v/>
      </c>
    </row>
    <row r="121">
      <c r="A121" s="8" t="inlineStr">
        <is>
          <t>by trade side (order-flow imbalance)</t>
        </is>
      </c>
    </row>
    <row r="122">
      <c r="A122" s="1" t="inlineStr">
        <is>
          <t>side</t>
        </is>
      </c>
      <c r="B122" s="1" t="inlineStr">
        <is>
          <t>trade_volume_usd</t>
        </is>
      </c>
      <c r="C122" s="1" t="inlineStr">
        <is>
          <t>trade_count</t>
        </is>
      </c>
      <c r="D122" s="1" t="inlineStr">
        <is>
          <t>avg_trade_usd</t>
        </is>
      </c>
    </row>
    <row r="123">
      <c r="A123" t="inlineStr">
        <is>
          <t>BUY</t>
        </is>
      </c>
      <c r="B123" s="3">
        <f>SUMIFS(Trades!$H$2:$H$3001,Trades!$D$2:$D$3001,A123)</f>
        <v/>
      </c>
      <c r="C123" s="3">
        <f>COUNTIFS(Trades!$D$2:$D$3001,A123)</f>
        <v/>
      </c>
      <c r="D123" s="6">
        <f>AVERAGEIFS(Trades!$H$2:$H$3001,Trades!$D$2:$D$3001,A123)</f>
        <v/>
      </c>
    </row>
    <row r="124">
      <c r="A124" t="inlineStr">
        <is>
          <t>SELL</t>
        </is>
      </c>
      <c r="B124" s="3">
        <f>SUMIFS(Trades!$H$2:$H$3001,Trades!$D$2:$D$3001,A124)</f>
        <v/>
      </c>
      <c r="C124" s="3">
        <f>COUNTIFS(Trades!$D$2:$D$3001,A124)</f>
        <v/>
      </c>
      <c r="D124" s="6">
        <f>AVERAGEIFS(Trades!$H$2:$H$3001,Trades!$D$2:$D$3001,A124)</f>
        <v/>
      </c>
    </row>
    <row r="127">
      <c r="A127" s="13" t="inlineStr">
        <is>
          <t>PIVOT TABLES (build manually)</t>
        </is>
      </c>
    </row>
    <row r="128">
      <c r="A128" s="8" t="inlineStr">
        <is>
          <t>Build 3 pivots off the Trades sheet here (Insert &gt; PivotTable): (1) volume by market, (2) volume by day x side, (3) whale count by market. Add slicers on market &amp; side. See README manual checklist.</t>
        </is>
      </c>
    </row>
  </sheetData>
  <conditionalFormatting sqref="E11:E110">
    <cfRule type="cellIs" priority="1" operator="equal" dxfId="1">
      <formula>"THIN MARKET"</formula>
    </cfRule>
  </conditionalFormatting>
  <conditionalFormatting sqref="J11:J110">
    <cfRule type="cellIs" priority="2" operator="equal" dxfId="2">
      <formula>"CHECK PRICING"</formula>
    </cfRule>
  </conditionalFormatting>
  <conditionalFormatting sqref="K11:K110">
    <cfRule type="cellIs" priority="3" operator="equal" dxfId="2">
      <formula>"CERTAIN+ACTIVE"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3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22" customWidth="1" min="3" max="3"/>
    <col width="38" customWidth="1" min="5" max="5"/>
    <col width="22" customWidth="1" min="6" max="6"/>
    <col hidden="1" width="13" customWidth="1" min="10" max="10"/>
  </cols>
  <sheetData>
    <row r="1">
      <c r="A1" s="14" t="inlineStr">
        <is>
          <t>PREDICTION MARKET OPERATIONS TRACKER</t>
        </is>
      </c>
    </row>
    <row r="2">
      <c r="A2" s="8" t="inlineStr">
        <is>
          <t>Live-formula operations dashboard — Polymarket real market &amp; trade data</t>
        </is>
      </c>
    </row>
    <row r="3">
      <c r="A3" s="15" t="inlineStr">
        <is>
          <t>Snapshot (UTC):</t>
        </is>
      </c>
      <c r="C3" s="16" t="n">
        <v>46206</v>
      </c>
    </row>
    <row r="4">
      <c r="A4" s="15" t="inlineStr">
        <is>
          <t>Snapshot timestamp:</t>
        </is>
      </c>
      <c r="C4" t="inlineStr">
        <is>
          <t>2026-07-03T02:07:21+00:00</t>
        </is>
      </c>
    </row>
    <row r="5">
      <c r="A5" s="15" t="inlineStr">
        <is>
          <t>Data source:</t>
        </is>
      </c>
      <c r="C5" t="inlineStr">
        <is>
          <t>Polymarket Gamma API + Data API (public, no auth)</t>
        </is>
      </c>
    </row>
    <row r="7">
      <c r="A7" s="12" t="inlineStr">
        <is>
          <t>KEY PERFORMANCE INDICATORS</t>
        </is>
      </c>
    </row>
    <row r="8">
      <c r="A8" s="1" t="inlineStr">
        <is>
          <t>metric</t>
        </is>
      </c>
      <c r="B8" s="17" t="n"/>
      <c r="C8" s="1" t="inlineStr">
        <is>
          <t>value</t>
        </is>
      </c>
      <c r="E8" s="1" t="inlineStr">
        <is>
          <t>Top 10 markets (24h vol)</t>
        </is>
      </c>
      <c r="F8" s="1" t="inlineStr">
        <is>
          <t>volume_24h</t>
        </is>
      </c>
    </row>
    <row r="9">
      <c r="A9" s="18" t="inlineStr">
        <is>
          <t>Total tracked volume (all-time, USD)</t>
        </is>
      </c>
      <c r="B9" s="19" t="n"/>
      <c r="C9" s="20">
        <f>SUM(Markets!$G$2:$G$101)</f>
        <v/>
      </c>
      <c r="E9" t="inlineStr">
        <is>
          <t>Will Croatia win the 2026 FIFA Wor…</t>
        </is>
      </c>
      <c r="F9" s="3">
        <f>_xlfn.XLOOKUP(J9,MktTitle,MktVol24,0)</f>
        <v/>
      </c>
      <c r="J9" t="inlineStr">
        <is>
          <t>Will Croatia win the 2026 FIFA World Cup?</t>
        </is>
      </c>
    </row>
    <row r="10">
      <c r="A10" s="18" t="inlineStr">
        <is>
          <t>Total 24h volume (USD)</t>
        </is>
      </c>
      <c r="B10" s="19" t="n"/>
      <c r="C10" s="20">
        <f>SUM(Markets!$F$2:$F$101)</f>
        <v/>
      </c>
      <c r="E10" t="inlineStr">
        <is>
          <t>Will Shimelis Abdisa be the next P…</t>
        </is>
      </c>
      <c r="F10" s="3">
        <f>_xlfn.XLOOKUP(J10,MktTitle,MktVol24,0)</f>
        <v/>
      </c>
      <c r="J10" t="inlineStr">
        <is>
          <t>Will Shimelis Abdisa be the next Prime Minister of Ethiopia?</t>
        </is>
      </c>
    </row>
    <row r="11">
      <c r="A11" s="18" t="inlineStr">
        <is>
          <t>Largest single-market 24h volume (USD)</t>
        </is>
      </c>
      <c r="B11" s="19" t="n"/>
      <c r="C11" s="20">
        <f>MAX(Markets!$F$2:$F$101)</f>
        <v/>
      </c>
      <c r="E11" t="inlineStr">
        <is>
          <t>Will Paraguay win the 2026 FIFA Wo…</t>
        </is>
      </c>
      <c r="F11" s="3">
        <f>_xlfn.XLOOKUP(J11,MktTitle,MktVol24,0)</f>
        <v/>
      </c>
      <c r="J11" t="inlineStr">
        <is>
          <t>Will Paraguay win the 2026 FIFA World Cup?</t>
        </is>
      </c>
    </row>
    <row r="12">
      <c r="A12" s="18" t="inlineStr">
        <is>
          <t>Markets tracked</t>
        </is>
      </c>
      <c r="B12" s="19" t="n"/>
      <c r="C12" s="20">
        <f>COUNTA(Markets!$A$2:$A$101)</f>
        <v/>
      </c>
      <c r="E12" t="inlineStr">
        <is>
          <t>Will Spain win the 2026 FIFA World…</t>
        </is>
      </c>
      <c r="F12" s="3">
        <f>_xlfn.XLOOKUP(J12,MktTitle,MktVol24,0)</f>
        <v/>
      </c>
      <c r="J12" t="inlineStr">
        <is>
          <t>Will Spain win the 2026 FIFA World Cup?</t>
        </is>
      </c>
    </row>
    <row r="13">
      <c r="A13" s="18" t="inlineStr">
        <is>
          <t>Sports markets tracked</t>
        </is>
      </c>
      <c r="B13" s="19" t="n"/>
      <c r="C13" s="20">
        <f>COUNTIF(Markets!$C$2:$C$101,TRUE)</f>
        <v/>
      </c>
      <c r="E13" t="inlineStr">
        <is>
          <t>Will Portugal win the 2026 FIFA Wo…</t>
        </is>
      </c>
      <c r="F13" s="3">
        <f>_xlfn.XLOOKUP(J13,MktTitle,MktVol24,0)</f>
        <v/>
      </c>
      <c r="J13" t="inlineStr">
        <is>
          <t>Will Portugal win the 2026 FIFA World Cup?</t>
        </is>
      </c>
    </row>
    <row r="14">
      <c r="A14" s="18" t="inlineStr">
        <is>
          <t>Thin-market flags</t>
        </is>
      </c>
      <c r="B14" s="19" t="n"/>
      <c r="C14" s="20">
        <f>COUNTIF(Analysis!E11:E110,"THIN MARKET")</f>
        <v/>
      </c>
      <c r="E14" t="inlineStr">
        <is>
          <t>Will Switzerland win on 2026-07-02?</t>
        </is>
      </c>
      <c r="F14" s="3">
        <f>_xlfn.XLOOKUP(J14,MktTitle,MktVol24,0)</f>
        <v/>
      </c>
      <c r="J14" t="inlineStr">
        <is>
          <t>Will Switzerland win on 2026-07-02?</t>
        </is>
      </c>
    </row>
    <row r="15">
      <c r="A15" s="18" t="inlineStr">
        <is>
          <t>Pricing-discrepancy flags</t>
        </is>
      </c>
      <c r="B15" s="19" t="n"/>
      <c r="C15" s="20">
        <f>COUNTIF(Analysis!J11:J110,"CHECK PRICING")</f>
        <v/>
      </c>
      <c r="E15" t="inlineStr">
        <is>
          <t>Will Mexico win the 2026 FIFA Worl…</t>
        </is>
      </c>
      <c r="F15" s="3">
        <f>_xlfn.XLOOKUP(J15,MktTitle,MktVol24,0)</f>
        <v/>
      </c>
      <c r="J15" t="inlineStr">
        <is>
          <t>Will Mexico win the 2026 FIFA World Cup?</t>
        </is>
      </c>
    </row>
    <row r="16">
      <c r="A16" s="18" t="inlineStr">
        <is>
          <t>Whale trades</t>
        </is>
      </c>
      <c r="B16" s="19" t="n"/>
      <c r="C16" s="20">
        <f>COUNTIF(Trades!$K$2:$K$3001,"WHALE")</f>
        <v/>
      </c>
      <c r="E16" t="inlineStr">
        <is>
          <t>Will Ghana win the 2026 FIFA World…</t>
        </is>
      </c>
      <c r="F16" s="3">
        <f>_xlfn.XLOOKUP(J16,MktTitle,MktVol24,0)</f>
        <v/>
      </c>
      <c r="J16" t="inlineStr">
        <is>
          <t>Will Ghana win the 2026 FIFA World Cup?</t>
        </is>
      </c>
    </row>
    <row r="17">
      <c r="A17" s="18" t="inlineStr">
        <is>
          <t>Trades tracked</t>
        </is>
      </c>
      <c r="B17" s="19" t="n"/>
      <c r="C17" s="20">
        <f>COUNTA(Trades!$A$2:$A$3001)</f>
        <v/>
      </c>
      <c r="E17" t="inlineStr">
        <is>
          <t>Will USA win the 2026 FIFA World C…</t>
        </is>
      </c>
      <c r="F17" s="3">
        <f>_xlfn.XLOOKUP(J17,MktTitle,MktVol24,0)</f>
        <v/>
      </c>
      <c r="J17" t="inlineStr">
        <is>
          <t>Will USA win the 2026 FIFA World Cup?</t>
        </is>
      </c>
    </row>
    <row r="18">
      <c r="E18" t="inlineStr">
        <is>
          <t>Will Cape Verde win the 2026 FIFA …</t>
        </is>
      </c>
      <c r="F18" s="3">
        <f>_xlfn.XLOOKUP(J18,MktTitle,MktVol24,0)</f>
        <v/>
      </c>
      <c r="J18" t="inlineStr">
        <is>
          <t>Will Cape Verde win the 2026 FIFA World Cup?</t>
        </is>
      </c>
    </row>
    <row r="20">
      <c r="E20" s="1" t="inlineStr">
        <is>
          <t>Trade date</t>
        </is>
      </c>
      <c r="F20" s="1" t="inlineStr">
        <is>
          <t>daily trade volume (USD)</t>
        </is>
      </c>
    </row>
    <row r="21">
      <c r="E21" s="4">
        <f>Analysis!A115</f>
        <v/>
      </c>
      <c r="F21" s="3">
        <f>Analysis!B115</f>
        <v/>
      </c>
    </row>
    <row r="22">
      <c r="E22" s="4">
        <f>Analysis!A116</f>
        <v/>
      </c>
      <c r="F22" s="3">
        <f>Analysis!B116</f>
        <v/>
      </c>
    </row>
    <row r="23">
      <c r="E23" s="4">
        <f>Analysis!A117</f>
        <v/>
      </c>
      <c r="F23" s="3">
        <f>Analysis!B117</f>
        <v/>
      </c>
    </row>
  </sheetData>
  <mergeCells count="10">
    <mergeCell ref="A16:B16"/>
    <mergeCell ref="A15:B15"/>
    <mergeCell ref="A11:B11"/>
    <mergeCell ref="A10:B10"/>
    <mergeCell ref="A13:B13"/>
    <mergeCell ref="A14:B14"/>
    <mergeCell ref="A17:B17"/>
    <mergeCell ref="A9:B9"/>
    <mergeCell ref="A8:B8"/>
    <mergeCell ref="A12:B12"/>
  </mergeCells>
  <conditionalFormatting sqref="C14">
    <cfRule type="cellIs" priority="1" operator="greaterThan" dxfId="1">
      <formula>0</formula>
    </cfRule>
  </conditionalFormatting>
  <conditionalFormatting sqref="C15">
    <cfRule type="cellIs" priority="2" operator="greaterThan" dxfId="2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2026-07-03T02:21:34Z</dcterms:created>
  <dcterms:modified xsi:type="dcterms:W3CDTF">2026-07-03T02:21:34Z</dcterms:modified>
</cp:coreProperties>
</file>